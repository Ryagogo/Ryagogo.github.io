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28389E77-7640-9E18-AD5C-E98E2F4A8B83}"/>
  <workbookPr codeName="ThisWorkbook"/>
  <mc:AlternateContent xmlns:mc="http://schemas.openxmlformats.org/markup-compatibility/2006">
    <mc:Choice Requires="x15">
      <x15ac:absPath xmlns:x15ac="http://schemas.microsoft.com/office/spreadsheetml/2010/11/ac" url="\\nexad.nexweb.us\HQ\Code_All\Code_M\Code_MG1\Group 257\257 Promotions\Buyer Promos\2026\"/>
    </mc:Choice>
  </mc:AlternateContent>
  <xr:revisionPtr revIDLastSave="0" documentId="13_ncr:1_{71CE3D95-376C-458C-B6C4-24DB43DE022F}" xr6:coauthVersionLast="47" xr6:coauthVersionMax="47" xr10:uidLastSave="{00000000-0000-0000-0000-000000000000}"/>
  <workbookProtection workbookAlgorithmName="SHA-512" workbookHashValue="Yc7Z2uyT4kKRobRmYrOIEBEckJINKZ0wXGb/PCTk3e3w3rgItuvXzZ7xnB8L+ur0ZBAnGE67apdnLmXHGrVZsg==" workbookSaltValue="AWCpPpwovJUQO3yeH3gvzQ==" workbookSpinCount="100000" lockStructure="1"/>
  <bookViews>
    <workbookView xWindow="-120" yWindow="-120" windowWidth="29040" windowHeight="15720" xr2:uid="{00000000-000D-0000-FFFF-FFFF00000000}"/>
  </bookViews>
  <sheets>
    <sheet name="Sheet1" sheetId="1" r:id="rId1"/>
  </sheets>
  <externalReferences>
    <externalReference r:id="rId2"/>
  </externalReferences>
  <definedNames>
    <definedName name="ALLOW_SAVE" hidden="1">FALSE</definedName>
    <definedName name="LOCK_PERMANENT" hidden="1">TRUE</definedName>
    <definedName name="lu_grp">[1]VADB!$F$8:$F$17</definedName>
    <definedName name="lu_reason_name">[1]VADB!$H$9:$H$24</definedName>
    <definedName name="PERMA_LOCK" hidden="1">1</definedName>
    <definedName name="PERMA_LOCK10" hidden="1">1</definedName>
    <definedName name="PERMA_LOCK11" hidden="1">1</definedName>
    <definedName name="PERMA_LOCK12" hidden="1">1</definedName>
    <definedName name="PERMA_LOCK13" hidden="1">1</definedName>
    <definedName name="PERMA_LOCK14" hidden="1">1</definedName>
    <definedName name="PERMA_LOCK15" hidden="1">1</definedName>
    <definedName name="PERMA_LOCK16" hidden="1">1</definedName>
    <definedName name="PERMA_LOCK2" hidden="1">1</definedName>
    <definedName name="PERMA_LOCK3" hidden="1">1</definedName>
    <definedName name="PERMA_LOCK4" hidden="1">1</definedName>
    <definedName name="PERMA_LOCK5" hidden="1">1</definedName>
    <definedName name="PERMA_LOCK6" hidden="1">1</definedName>
    <definedName name="PERMA_LOCK7" hidden="1">1</definedName>
    <definedName name="PERMA_LOCK8" hidden="1">1</definedName>
    <definedName name="PERMA_LOCK9" hidden="1">1</definedName>
    <definedName name="PERMANENT_LOCK" hidden="1">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1" i="1" l="1"/>
  <c r="S31" i="1" s="1"/>
  <c r="R32" i="1"/>
  <c r="S32" i="1" s="1"/>
  <c r="R33" i="1"/>
  <c r="S33" i="1" s="1"/>
  <c r="R34" i="1"/>
  <c r="S34" i="1" s="1"/>
  <c r="R35" i="1"/>
  <c r="S35" i="1" s="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0" i="1"/>
  <c r="N30" i="1" s="1"/>
  <c r="O30" i="1" s="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N32" i="1"/>
  <c r="O32" i="1" s="1"/>
  <c r="N33" i="1"/>
  <c r="O33" i="1" s="1"/>
  <c r="N34" i="1"/>
  <c r="O34" i="1" s="1"/>
  <c r="N35" i="1"/>
  <c r="O35" i="1" s="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1" i="1"/>
  <c r="O31" i="1" s="1"/>
  <c r="A23" i="1"/>
  <c r="A22" i="1"/>
  <c r="A21" i="1"/>
  <c r="A20" i="1"/>
  <c r="A19" i="1"/>
  <c r="C10" i="1"/>
  <c r="B3" i="1"/>
  <c r="S30" i="1" l="1"/>
  <c r="L334" i="1"/>
  <c r="D11" i="1" s="1"/>
</calcChain>
</file>

<file path=xl/sharedStrings.xml><?xml version="1.0" encoding="utf-8"?>
<sst xmlns="http://schemas.openxmlformats.org/spreadsheetml/2006/main" count="53" uniqueCount="50">
  <si>
    <t>NAVY  -   Deal Offer Form  -  NAVY                  NAVY  -   Deal Offer Form  -  NAVY                      NAVY  -   Deal Offer Form  -  NAVY                   NAVY  -   Deal Offer Form  -  NAVY</t>
  </si>
  <si>
    <t>Submit Date:</t>
  </si>
  <si>
    <t>Buyer Name:</t>
  </si>
  <si>
    <r>
      <rPr>
        <b/>
        <sz val="12"/>
        <color theme="1"/>
        <rFont val="Calibri"/>
        <family val="2"/>
        <scheme val="minor"/>
      </rPr>
      <t>Notes and Instructions:</t>
    </r>
    <r>
      <rPr>
        <sz val="12"/>
        <color theme="1"/>
        <rFont val="Calibri"/>
        <family val="2"/>
        <scheme val="minor"/>
      </rPr>
      <t xml:space="preserve">  All Promotions offered to the Navy Exchange must be accompanied with this completed document.  All yellow highlighted sections must be filled in. Parent RIN#s are not required but helpful. </t>
    </r>
  </si>
  <si>
    <t>Supplier Name:</t>
  </si>
  <si>
    <t>Lawson Group:</t>
  </si>
  <si>
    <t>Vendor Number(Duns#)</t>
  </si>
  <si>
    <t>v01.00.220406b</t>
  </si>
  <si>
    <t>Contact Name:</t>
  </si>
  <si>
    <t>Phone Number</t>
  </si>
  <si>
    <t>Contact Email:</t>
  </si>
  <si>
    <t>Type of Deal</t>
  </si>
  <si>
    <t>Scan Back</t>
  </si>
  <si>
    <t>Week #</t>
  </si>
  <si>
    <t>Total $</t>
  </si>
  <si>
    <t>Advertised</t>
  </si>
  <si>
    <t>RMS Dept:</t>
  </si>
  <si>
    <t>Description</t>
  </si>
  <si>
    <t>Start Date</t>
  </si>
  <si>
    <t>End Date</t>
  </si>
  <si>
    <t>Method of Payment</t>
  </si>
  <si>
    <t>RMA/AUTH#</t>
  </si>
  <si>
    <t>Locations</t>
  </si>
  <si>
    <t>Worldwide</t>
  </si>
  <si>
    <t>Yes</t>
  </si>
  <si>
    <t xml:space="preserve">Online </t>
  </si>
  <si>
    <t>UPC</t>
  </si>
  <si>
    <t>Model/Description</t>
  </si>
  <si>
    <t>Parent RIN#</t>
  </si>
  <si>
    <t>Navy RIN#</t>
  </si>
  <si>
    <t>Reg Cost</t>
  </si>
  <si>
    <t>Reg Sell</t>
  </si>
  <si>
    <t>Promo Sell</t>
  </si>
  <si>
    <t>Total Deal /IR</t>
  </si>
  <si>
    <t>Scanback $</t>
  </si>
  <si>
    <t>Bill Back / Markdown %</t>
  </si>
  <si>
    <t>Qty Sold</t>
  </si>
  <si>
    <t>Total Bill back Amount</t>
  </si>
  <si>
    <t>Comments /Program Authorization</t>
  </si>
  <si>
    <t>Total</t>
  </si>
  <si>
    <t>Terms and Conditions:</t>
  </si>
  <si>
    <t xml:space="preserve">- We are not required to advertise, display, or offer for sale any product except as stated in "Event Description." If "ad" is stated, we will circulate an ad for one or more of the products in "Item Description".  </t>
  </si>
  <si>
    <t xml:space="preserve"> The type, design and location of display, number and location of stores with the display, and dates of display will be within our sale discretion.</t>
  </si>
  <si>
    <t xml:space="preserve"> We are not required to charge a specific retail price, or alter its customary retail price, for any product except as stated in "Event Description," and does not agree to a minimum retail price.  Any other reference to retail price is only a suggestion.</t>
  </si>
  <si>
    <t xml:space="preserve"> All PO's processed during deal time frame are subject to lower cost.</t>
  </si>
  <si>
    <t>-This DOF, when signed by us, is a contract.  Any subsequent modification must be in writing, email, or fax that clearly identifies the DOF modified and the parties making the modification.  This is the complete and only agreement between the parties; re: the promotional offer described, and shall not be interpreted or construed against the drafting party.  The individuals who sign this DOF warrant they are authorized to sign on behalf of our company or Supplier, and no other signatures are  necessary to bind us or Supplier.</t>
  </si>
  <si>
    <t>Authorized Company Representative</t>
  </si>
  <si>
    <t>Acceptance Date</t>
  </si>
  <si>
    <t>Authorized Supplier Representative</t>
  </si>
  <si>
    <t>Grayr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</si>
</sst>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0.00_);[Red]\(&quot;$&quot;#,##0.00\)"/>
    <numFmt numFmtId="44" formatCode="_(&quot;$&quot;* #,##0.00_);_(&quot;$&quot;* \(#,##0.00\);_(&quot;$&quot;* &quot;-&quot;??_);_(@_)"/>
    <numFmt numFmtId="43" formatCode="_(* #,##0.00_);_(* \(#,##0.00\);_(* &quot;-&quot;??_);_(@_)"/>
    <numFmt numFmtId="164" formatCode="[&lt;=9999999]###\-####;\(###\)\ ###\-####"/>
    <numFmt numFmtId="165" formatCode="[$-F800]dddd\,\ mmmm\ dd\,\ yyyy"/>
  </numFmts>
  <fonts count="2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sz val="12"/>
      <color theme="1"/>
      <name val="Calibri"/>
      <family val="2"/>
      <scheme val="minor"/>
    </font>
    <font>
      <b/>
      <sz val="12"/>
      <color theme="1"/>
      <name val="Calibri"/>
      <family val="2"/>
      <scheme val="minor"/>
    </font>
    <font>
      <b/>
      <sz val="9"/>
      <color theme="1"/>
      <name val="Calibri"/>
      <family val="2"/>
      <scheme val="minor"/>
    </font>
    <font>
      <sz val="24"/>
      <color theme="0"/>
      <name val="Calibri"/>
      <family val="2"/>
      <scheme val="minor"/>
    </font>
    <font>
      <u/>
      <sz val="11"/>
      <color theme="10"/>
      <name val="Calibri"/>
      <family val="2"/>
      <scheme val="minor"/>
    </font>
    <font>
      <sz val="11"/>
      <name val="Calibri"/>
      <family val="2"/>
      <scheme val="minor"/>
    </font>
    <font>
      <b/>
      <sz val="11"/>
      <name val="Calibri"/>
      <family val="2"/>
      <scheme val="minor"/>
    </font>
    <font>
      <b/>
      <sz val="12"/>
      <color theme="0"/>
      <name val="Calibri"/>
      <family val="2"/>
      <scheme val="minor"/>
    </font>
    <font>
      <sz val="9"/>
      <name val="Arial"/>
      <family val="2"/>
    </font>
    <font>
      <sz val="8"/>
      <name val="Arial"/>
      <family val="2"/>
    </font>
    <font>
      <sz val="10"/>
      <name val="Arial"/>
      <family val="2"/>
    </font>
    <font>
      <sz val="11"/>
      <color rgb="FF000000"/>
      <name val="Calibri"/>
      <family val="2"/>
    </font>
    <font>
      <sz val="11"/>
      <color rgb="FF9C5700"/>
      <name val="Calibri"/>
      <family val="2"/>
      <scheme val="minor"/>
    </font>
    <font>
      <sz val="11"/>
      <color theme="1"/>
      <name val="Calibri"/>
      <family val="2"/>
    </font>
    <font>
      <sz val="10"/>
      <color rgb="FF000000"/>
      <name val="Arial"/>
      <family val="2"/>
    </font>
    <font>
      <sz val="12"/>
      <name val="Arial"/>
      <family val="2"/>
    </font>
    <font>
      <sz val="11"/>
      <color indexed="8"/>
      <name val="Calibri"/>
      <family val="2"/>
      <scheme val="minor"/>
    </font>
  </fonts>
  <fills count="13">
    <fill>
      <patternFill patternType="none"/>
    </fill>
    <fill>
      <patternFill patternType="gray125"/>
    </fill>
    <fill>
      <patternFill patternType="solid">
        <fgColor theme="3"/>
        <bgColor indexed="64"/>
      </patternFill>
    </fill>
    <fill>
      <patternFill patternType="solid">
        <fgColor rgb="FFFFFFCC"/>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EB9C"/>
      </patternFill>
    </fill>
    <fill>
      <patternFill patternType="solid">
        <fgColor theme="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right/>
      <top style="thin">
        <color indexed="64"/>
      </top>
      <bottom style="thin">
        <color indexed="64"/>
      </bottom>
      <diagonal/>
    </border>
    <border>
      <left style="thin">
        <color indexed="64"/>
      </left>
      <right style="thin">
        <color indexed="64"/>
      </right>
      <top/>
      <bottom/>
      <diagonal/>
    </border>
    <border>
      <left style="medium">
        <color rgb="FFFF0000"/>
      </left>
      <right/>
      <top/>
      <bottom style="thin">
        <color indexed="64"/>
      </bottom>
      <diagonal/>
    </border>
    <border>
      <left style="thin">
        <color indexed="64"/>
      </left>
      <right style="thin">
        <color indexed="64"/>
      </right>
      <top style="thin">
        <color indexed="64"/>
      </top>
      <bottom/>
      <diagonal/>
    </border>
    <border>
      <left style="double">
        <color rgb="FFFF0000"/>
      </left>
      <right/>
      <top style="thin">
        <color indexed="64"/>
      </top>
      <bottom style="thin">
        <color indexed="64"/>
      </bottom>
      <diagonal/>
    </border>
    <border>
      <left style="double">
        <color rgb="FFFF0000"/>
      </left>
      <right/>
      <top/>
      <bottom/>
      <diagonal/>
    </border>
  </borders>
  <cellStyleXfs count="79">
    <xf numFmtId="0" fontId="0" fillId="0" borderId="0"/>
    <xf numFmtId="44"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9" fontId="1" fillId="0" borderId="0" applyFont="0" applyFill="0" applyBorder="0" applyAlignment="0" applyProtection="0"/>
    <xf numFmtId="0" fontId="1" fillId="0" borderId="0"/>
    <xf numFmtId="0" fontId="19" fillId="0" borderId="0"/>
    <xf numFmtId="0" fontId="20" fillId="0" borderId="0"/>
    <xf numFmtId="0" fontId="20" fillId="0" borderId="0"/>
    <xf numFmtId="0" fontId="20" fillId="0" borderId="0"/>
    <xf numFmtId="165" fontId="1" fillId="0" borderId="0"/>
    <xf numFmtId="165" fontId="1" fillId="0" borderId="0"/>
    <xf numFmtId="0" fontId="18" fillId="11" borderId="0" applyNumberFormat="0" applyBorder="0" applyAlignment="0" applyProtection="0"/>
    <xf numFmtId="0" fontId="1" fillId="0" borderId="0"/>
    <xf numFmtId="0" fontId="1" fillId="0" borderId="0"/>
    <xf numFmtId="0" fontId="1" fillId="0" borderId="0"/>
    <xf numFmtId="165" fontId="1" fillId="0" borderId="0"/>
    <xf numFmtId="165" fontId="1" fillId="0" borderId="0"/>
    <xf numFmtId="165" fontId="1" fillId="0" borderId="0"/>
    <xf numFmtId="0" fontId="19" fillId="0" borderId="0"/>
    <xf numFmtId="0" fontId="19" fillId="0" borderId="0"/>
    <xf numFmtId="0" fontId="19" fillId="0" borderId="0"/>
    <xf numFmtId="0" fontId="20" fillId="0" borderId="0"/>
    <xf numFmtId="0" fontId="19" fillId="0" borderId="0"/>
    <xf numFmtId="0" fontId="1" fillId="0" borderId="0"/>
    <xf numFmtId="0" fontId="16" fillId="0" borderId="0"/>
    <xf numFmtId="43" fontId="16" fillId="0" borderId="0" applyFont="0" applyFill="0" applyBorder="0" applyAlignment="0" applyProtection="0"/>
    <xf numFmtId="9" fontId="16"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44" fontId="16" fillId="0" borderId="0" applyFont="0" applyFill="0" applyBorder="0" applyAlignment="0" applyProtection="0"/>
    <xf numFmtId="0" fontId="1" fillId="0" borderId="0"/>
    <xf numFmtId="0" fontId="19" fillId="0" borderId="0"/>
    <xf numFmtId="0" fontId="19" fillId="0" borderId="0"/>
    <xf numFmtId="0" fontId="19" fillId="0" borderId="0"/>
    <xf numFmtId="0" fontId="19" fillId="0" borderId="0"/>
    <xf numFmtId="0" fontId="19" fillId="0" borderId="0"/>
    <xf numFmtId="0" fontId="19" fillId="0" borderId="0"/>
    <xf numFmtId="0" fontId="16" fillId="0" borderId="0"/>
    <xf numFmtId="9" fontId="16" fillId="0" borderId="0" applyFont="0" applyFill="0" applyBorder="0" applyAlignment="0" applyProtection="0"/>
    <xf numFmtId="0" fontId="19" fillId="0" borderId="0"/>
    <xf numFmtId="0" fontId="19" fillId="0" borderId="0"/>
    <xf numFmtId="0" fontId="19" fillId="0" borderId="0"/>
    <xf numFmtId="0" fontId="2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6" fillId="0" borderId="0"/>
    <xf numFmtId="0" fontId="19" fillId="0" borderId="0"/>
    <xf numFmtId="0" fontId="19" fillId="0" borderId="0"/>
    <xf numFmtId="0" fontId="1" fillId="0" borderId="0"/>
    <xf numFmtId="0" fontId="19" fillId="0" borderId="0"/>
    <xf numFmtId="0" fontId="20" fillId="0" borderId="0"/>
    <xf numFmtId="0" fontId="16" fillId="0" borderId="0"/>
    <xf numFmtId="0" fontId="19" fillId="0" borderId="0"/>
    <xf numFmtId="0" fontId="19" fillId="0" borderId="0"/>
    <xf numFmtId="0" fontId="19" fillId="0" borderId="0"/>
    <xf numFmtId="0" fontId="20" fillId="0" borderId="0"/>
    <xf numFmtId="0" fontId="19" fillId="0" borderId="0"/>
    <xf numFmtId="0" fontId="19" fillId="0" borderId="0"/>
    <xf numFmtId="0" fontId="22" fillId="0" borderId="0"/>
    <xf numFmtId="0" fontId="1" fillId="0" borderId="0"/>
    <xf numFmtId="44" fontId="1" fillId="0" borderId="0" applyFont="0" applyFill="0" applyBorder="0" applyAlignment="0" applyProtection="0"/>
    <xf numFmtId="0" fontId="19" fillId="0" borderId="0"/>
    <xf numFmtId="0" fontId="20" fillId="0" borderId="0"/>
    <xf numFmtId="0" fontId="20" fillId="0" borderId="0"/>
    <xf numFmtId="0" fontId="16" fillId="0" borderId="0"/>
    <xf numFmtId="9" fontId="1" fillId="0" borderId="0" applyFont="0" applyFill="0" applyBorder="0" applyAlignment="0" applyProtection="0"/>
    <xf numFmtId="0" fontId="19" fillId="0" borderId="0"/>
    <xf numFmtId="0" fontId="19" fillId="0" borderId="0"/>
    <xf numFmtId="0" fontId="19" fillId="0" borderId="0"/>
    <xf numFmtId="0" fontId="20" fillId="0" borderId="0"/>
    <xf numFmtId="0" fontId="19" fillId="0" borderId="0"/>
    <xf numFmtId="0" fontId="19" fillId="0" borderId="0"/>
  </cellStyleXfs>
  <cellXfs count="112">
    <xf numFmtId="0" fontId="0" fillId="0" borderId="0" xfId="0"/>
    <xf numFmtId="0" fontId="3" fillId="0" borderId="1" xfId="0" applyFont="1" applyBorder="1" applyAlignment="1">
      <alignment horizontal="center"/>
    </xf>
    <xf numFmtId="14" fontId="0" fillId="3" borderId="1" xfId="0" applyNumberFormat="1" applyFill="1" applyBorder="1" applyProtection="1">
      <protection locked="0"/>
    </xf>
    <xf numFmtId="0" fontId="3" fillId="4" borderId="1" xfId="0" applyFont="1" applyFill="1" applyBorder="1" applyAlignment="1">
      <alignment horizontal="center"/>
    </xf>
    <xf numFmtId="0" fontId="0" fillId="3" borderId="1" xfId="0" applyFill="1" applyBorder="1" applyProtection="1">
      <protection locked="0"/>
    </xf>
    <xf numFmtId="0" fontId="0" fillId="0" borderId="0" xfId="0" applyAlignment="1">
      <alignment horizontal="center"/>
    </xf>
    <xf numFmtId="0" fontId="3" fillId="5" borderId="1" xfId="0" applyFont="1" applyFill="1" applyBorder="1" applyAlignment="1">
      <alignment horizontal="center"/>
    </xf>
    <xf numFmtId="0" fontId="0" fillId="3" borderId="1" xfId="0" applyFill="1" applyBorder="1" applyAlignment="1" applyProtection="1">
      <alignment horizontal="center"/>
      <protection locked="0"/>
    </xf>
    <xf numFmtId="0" fontId="3" fillId="0" borderId="0" xfId="0" applyFont="1" applyAlignment="1">
      <alignment horizontal="center"/>
    </xf>
    <xf numFmtId="0" fontId="8" fillId="0" borderId="0" xfId="0" applyFont="1" applyProtection="1">
      <protection locked="0"/>
    </xf>
    <xf numFmtId="0" fontId="9" fillId="0" borderId="0" xfId="0" applyFont="1" applyAlignment="1">
      <alignment vertical="center"/>
    </xf>
    <xf numFmtId="164" fontId="0" fillId="3" borderId="1" xfId="0" applyNumberFormat="1" applyFill="1" applyBorder="1" applyProtection="1">
      <protection locked="0"/>
    </xf>
    <xf numFmtId="164" fontId="0" fillId="0" borderId="0" xfId="0" applyNumberFormat="1"/>
    <xf numFmtId="0" fontId="10" fillId="3" borderId="1" xfId="3" applyFill="1" applyBorder="1" applyProtection="1">
      <protection locked="0"/>
    </xf>
    <xf numFmtId="0" fontId="3" fillId="6" borderId="1" xfId="0" applyFont="1" applyFill="1" applyBorder="1" applyAlignment="1">
      <alignment horizontal="center"/>
    </xf>
    <xf numFmtId="44" fontId="0" fillId="3" borderId="1" xfId="1" applyFont="1" applyFill="1" applyBorder="1" applyProtection="1"/>
    <xf numFmtId="44" fontId="0" fillId="0" borderId="0" xfId="1" applyFont="1" applyBorder="1" applyProtection="1"/>
    <xf numFmtId="0" fontId="11" fillId="0" borderId="0" xfId="0" applyFont="1"/>
    <xf numFmtId="0" fontId="0" fillId="0" borderId="0" xfId="0" applyAlignment="1">
      <alignment horizontal="left"/>
    </xf>
    <xf numFmtId="14" fontId="0" fillId="0" borderId="0" xfId="0" applyNumberFormat="1"/>
    <xf numFmtId="0" fontId="3" fillId="8" borderId="1" xfId="0" applyFont="1" applyFill="1" applyBorder="1"/>
    <xf numFmtId="0" fontId="3" fillId="0" borderId="0" xfId="0" applyFont="1"/>
    <xf numFmtId="0" fontId="3" fillId="3" borderId="13" xfId="0" applyFont="1" applyFill="1" applyBorder="1" applyAlignment="1">
      <alignment horizontal="center"/>
    </xf>
    <xf numFmtId="0" fontId="3" fillId="3" borderId="15" xfId="0" applyFont="1" applyFill="1" applyBorder="1" applyAlignment="1">
      <alignment horizontal="center"/>
    </xf>
    <xf numFmtId="0" fontId="4" fillId="0" borderId="0" xfId="0" applyFont="1" applyAlignment="1">
      <alignment horizontal="center"/>
    </xf>
    <xf numFmtId="0" fontId="3" fillId="3" borderId="18" xfId="0" applyFont="1" applyFill="1" applyBorder="1" applyAlignment="1">
      <alignment horizontal="center"/>
    </xf>
    <xf numFmtId="0" fontId="13" fillId="7" borderId="22" xfId="0" applyFont="1" applyFill="1" applyBorder="1" applyAlignment="1">
      <alignment horizontal="center" wrapText="1"/>
    </xf>
    <xf numFmtId="0" fontId="6" fillId="0" borderId="0" xfId="0" applyFont="1" applyAlignment="1">
      <alignment wrapText="1"/>
    </xf>
    <xf numFmtId="0" fontId="14" fillId="0" borderId="0" xfId="0" applyFont="1"/>
    <xf numFmtId="0" fontId="15" fillId="0" borderId="0" xfId="0" applyFont="1"/>
    <xf numFmtId="0" fontId="0" fillId="0" borderId="1" xfId="0" applyBorder="1" applyAlignment="1">
      <alignment wrapText="1"/>
    </xf>
    <xf numFmtId="49" fontId="0" fillId="3" borderId="23" xfId="0" applyNumberFormat="1" applyFill="1" applyBorder="1" applyAlignment="1" applyProtection="1">
      <alignment horizontal="center"/>
      <protection locked="0"/>
    </xf>
    <xf numFmtId="49" fontId="0" fillId="0" borderId="23" xfId="0" applyNumberFormat="1" applyBorder="1" applyProtection="1">
      <protection locked="0"/>
    </xf>
    <xf numFmtId="49" fontId="0" fillId="0" borderId="23" xfId="1" applyNumberFormat="1" applyFont="1" applyFill="1" applyBorder="1" applyAlignment="1" applyProtection="1">
      <alignment horizontal="right"/>
      <protection locked="0"/>
    </xf>
    <xf numFmtId="49" fontId="0" fillId="0" borderId="23" xfId="1" applyNumberFormat="1" applyFont="1" applyBorder="1" applyAlignment="1" applyProtection="1">
      <alignment horizontal="right"/>
      <protection locked="0"/>
    </xf>
    <xf numFmtId="49" fontId="0" fillId="0" borderId="23" xfId="2" applyNumberFormat="1" applyFont="1" applyBorder="1" applyAlignment="1" applyProtection="1">
      <protection locked="0"/>
    </xf>
    <xf numFmtId="49" fontId="0" fillId="0" borderId="23" xfId="2" applyNumberFormat="1" applyFont="1" applyBorder="1" applyAlignment="1" applyProtection="1">
      <alignment horizontal="center"/>
      <protection locked="0"/>
    </xf>
    <xf numFmtId="49" fontId="3" fillId="3" borderId="24" xfId="0" applyNumberFormat="1" applyFont="1" applyFill="1" applyBorder="1" applyAlignment="1">
      <alignment horizontal="left"/>
    </xf>
    <xf numFmtId="49" fontId="3" fillId="3" borderId="25" xfId="0" applyNumberFormat="1" applyFont="1" applyFill="1" applyBorder="1" applyAlignment="1">
      <alignment horizontal="left"/>
    </xf>
    <xf numFmtId="49" fontId="3" fillId="3" borderId="25" xfId="0" applyNumberFormat="1" applyFont="1" applyFill="1" applyBorder="1" applyAlignment="1">
      <alignment horizontal="right"/>
    </xf>
    <xf numFmtId="49" fontId="3" fillId="3" borderId="25" xfId="0" applyNumberFormat="1" applyFont="1" applyFill="1" applyBorder="1"/>
    <xf numFmtId="49" fontId="3" fillId="3" borderId="25" xfId="1" applyNumberFormat="1" applyFont="1" applyFill="1" applyBorder="1" applyAlignment="1" applyProtection="1"/>
    <xf numFmtId="49" fontId="3" fillId="3" borderId="25" xfId="2" applyNumberFormat="1" applyFont="1" applyFill="1" applyBorder="1" applyAlignment="1" applyProtection="1"/>
    <xf numFmtId="49" fontId="3" fillId="3" borderId="26" xfId="0" applyNumberFormat="1" applyFont="1" applyFill="1" applyBorder="1"/>
    <xf numFmtId="0" fontId="3" fillId="4" borderId="27" xfId="0" applyFont="1" applyFill="1" applyBorder="1" applyAlignment="1">
      <alignment horizontal="center"/>
    </xf>
    <xf numFmtId="0" fontId="0" fillId="0" borderId="3" xfId="0" applyBorder="1" applyAlignment="1" applyProtection="1">
      <alignment vertical="top" wrapText="1"/>
      <protection locked="0"/>
    </xf>
    <xf numFmtId="0" fontId="0" fillId="0" borderId="4" xfId="0" applyBorder="1" applyAlignment="1" applyProtection="1">
      <alignment vertical="top" wrapText="1"/>
      <protection locked="0"/>
    </xf>
    <xf numFmtId="0" fontId="0" fillId="0" borderId="8" xfId="0" applyBorder="1" applyAlignment="1" applyProtection="1">
      <alignment vertical="top" wrapText="1"/>
      <protection locked="0"/>
    </xf>
    <xf numFmtId="0" fontId="0" fillId="0" borderId="9" xfId="0" applyBorder="1" applyAlignment="1" applyProtection="1">
      <alignment vertical="top" wrapText="1"/>
      <protection locked="0"/>
    </xf>
    <xf numFmtId="0" fontId="0" fillId="0" borderId="28" xfId="0" applyBorder="1" applyAlignment="1" applyProtection="1">
      <alignment vertical="top" wrapText="1"/>
      <protection locked="0"/>
    </xf>
    <xf numFmtId="0" fontId="0" fillId="0" borderId="28" xfId="0" applyBorder="1" applyAlignment="1">
      <alignment horizontal="left"/>
    </xf>
    <xf numFmtId="0" fontId="11" fillId="0" borderId="28" xfId="0" applyFont="1" applyBorder="1" applyAlignment="1" applyProtection="1">
      <alignment horizontal="left" vertical="top" wrapText="1"/>
      <protection locked="0"/>
    </xf>
    <xf numFmtId="0" fontId="0" fillId="0" borderId="8" xfId="0" applyBorder="1"/>
    <xf numFmtId="0" fontId="0" fillId="0" borderId="29" xfId="0" applyBorder="1"/>
    <xf numFmtId="0" fontId="0" fillId="3" borderId="27" xfId="0" applyFill="1" applyBorder="1" applyProtection="1">
      <protection locked="0"/>
    </xf>
    <xf numFmtId="0" fontId="0" fillId="0" borderId="30" xfId="0" applyBorder="1"/>
    <xf numFmtId="0" fontId="0" fillId="0" borderId="31" xfId="0" applyBorder="1" applyAlignment="1" applyProtection="1">
      <alignment vertical="top" wrapText="1"/>
      <protection locked="0"/>
    </xf>
    <xf numFmtId="1" fontId="0" fillId="0" borderId="23" xfId="0" applyNumberFormat="1" applyBorder="1" applyProtection="1">
      <protection locked="0"/>
    </xf>
    <xf numFmtId="44" fontId="0" fillId="0" borderId="23" xfId="1" applyFont="1" applyFill="1" applyBorder="1" applyAlignment="1" applyProtection="1">
      <alignment horizontal="right"/>
      <protection locked="0"/>
    </xf>
    <xf numFmtId="44" fontId="0" fillId="0" borderId="23" xfId="1" applyFont="1" applyBorder="1" applyAlignment="1" applyProtection="1">
      <alignment horizontal="right"/>
      <protection locked="0"/>
    </xf>
    <xf numFmtId="1" fontId="0" fillId="3" borderId="23" xfId="0" applyNumberFormat="1" applyFill="1" applyBorder="1" applyAlignment="1" applyProtection="1">
      <alignment horizontal="center"/>
      <protection locked="0"/>
    </xf>
    <xf numFmtId="0" fontId="5" fillId="2" borderId="0" xfId="0" applyFont="1" applyFill="1" applyAlignment="1">
      <alignment horizontal="center"/>
    </xf>
    <xf numFmtId="0" fontId="16" fillId="0" borderId="0" xfId="0" applyFont="1" applyAlignment="1">
      <alignment horizontal="left"/>
    </xf>
    <xf numFmtId="0" fontId="16" fillId="0" borderId="0" xfId="0" applyFont="1" applyAlignment="1">
      <alignment horizontal="left" wrapText="1"/>
    </xf>
    <xf numFmtId="0" fontId="3" fillId="9" borderId="1" xfId="0" applyFont="1" applyFill="1" applyBorder="1" applyAlignment="1" applyProtection="1">
      <alignment horizontal="center"/>
      <protection locked="0"/>
    </xf>
    <xf numFmtId="14" fontId="0" fillId="0" borderId="8" xfId="0" applyNumberFormat="1" applyBorder="1" applyAlignment="1" applyProtection="1">
      <alignment horizontal="center"/>
      <protection locked="0"/>
    </xf>
    <xf numFmtId="0" fontId="0" fillId="0" borderId="8" xfId="0" applyBorder="1" applyAlignment="1" applyProtection="1">
      <alignment horizontal="center"/>
      <protection locked="0"/>
    </xf>
    <xf numFmtId="14" fontId="0" fillId="3" borderId="23" xfId="0" applyNumberFormat="1" applyFill="1" applyBorder="1" applyProtection="1">
      <protection locked="0"/>
    </xf>
    <xf numFmtId="0" fontId="2" fillId="7" borderId="27" xfId="0" applyFont="1" applyFill="1" applyBorder="1" applyAlignment="1">
      <alignment horizontal="center"/>
    </xf>
    <xf numFmtId="0" fontId="2" fillId="7" borderId="33" xfId="0" applyFont="1" applyFill="1" applyBorder="1" applyAlignment="1">
      <alignment horizontal="center"/>
    </xf>
    <xf numFmtId="14" fontId="0" fillId="0" borderId="34" xfId="0" applyNumberFormat="1" applyBorder="1"/>
    <xf numFmtId="1" fontId="0" fillId="10" borderId="23" xfId="0" applyNumberFormat="1" applyFill="1" applyBorder="1" applyAlignment="1" applyProtection="1">
      <alignment horizontal="right"/>
      <protection locked="0"/>
    </xf>
    <xf numFmtId="49" fontId="0" fillId="10" borderId="23" xfId="0" applyNumberFormat="1" applyFill="1" applyBorder="1" applyAlignment="1" applyProtection="1">
      <alignment horizontal="right"/>
      <protection locked="0"/>
    </xf>
    <xf numFmtId="44" fontId="0" fillId="10" borderId="23" xfId="1" applyFont="1" applyFill="1" applyBorder="1" applyAlignment="1" applyProtection="1">
      <alignment horizontal="right"/>
      <protection locked="0"/>
    </xf>
    <xf numFmtId="49" fontId="0" fillId="10" borderId="23" xfId="1" applyNumberFormat="1" applyFont="1" applyFill="1" applyBorder="1" applyAlignment="1" applyProtection="1">
      <alignment horizontal="right"/>
      <protection locked="0"/>
    </xf>
    <xf numFmtId="0" fontId="0" fillId="10" borderId="23" xfId="0" applyFill="1" applyBorder="1" applyProtection="1">
      <protection locked="0"/>
    </xf>
    <xf numFmtId="49" fontId="0" fillId="10" borderId="23" xfId="0" applyNumberFormat="1" applyFill="1" applyBorder="1" applyProtection="1">
      <protection locked="0"/>
    </xf>
    <xf numFmtId="8" fontId="0" fillId="10" borderId="23" xfId="0" applyNumberFormat="1" applyFill="1" applyBorder="1" applyProtection="1">
      <protection locked="0"/>
    </xf>
    <xf numFmtId="8" fontId="0" fillId="10" borderId="23" xfId="1" applyNumberFormat="1" applyFont="1" applyFill="1" applyBorder="1" applyAlignment="1" applyProtection="1">
      <alignment horizontal="right"/>
      <protection locked="0"/>
    </xf>
    <xf numFmtId="8" fontId="0" fillId="0" borderId="0" xfId="0" applyNumberFormat="1"/>
    <xf numFmtId="10" fontId="0" fillId="0" borderId="0" xfId="0" applyNumberFormat="1"/>
    <xf numFmtId="2" fontId="0" fillId="10" borderId="23" xfId="0" applyNumberFormat="1" applyFill="1" applyBorder="1" applyProtection="1">
      <protection locked="0"/>
    </xf>
    <xf numFmtId="2" fontId="0" fillId="10" borderId="23" xfId="1" applyNumberFormat="1" applyFont="1" applyFill="1" applyBorder="1" applyAlignment="1" applyProtection="1">
      <alignment horizontal="right"/>
      <protection locked="0"/>
    </xf>
    <xf numFmtId="0" fontId="0" fillId="12" borderId="23" xfId="0" applyFill="1" applyBorder="1" applyProtection="1">
      <protection locked="0"/>
    </xf>
    <xf numFmtId="0" fontId="0" fillId="0" borderId="2"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5" fillId="2" borderId="0" xfId="0" applyFont="1" applyFill="1" applyAlignment="1">
      <alignment horizontal="center"/>
    </xf>
    <xf numFmtId="0" fontId="6" fillId="0" borderId="2"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6" fillId="0" borderId="0" xfId="0" applyFont="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11" fillId="3" borderId="32" xfId="0" applyFont="1" applyFill="1" applyBorder="1" applyAlignment="1" applyProtection="1">
      <alignment horizontal="left"/>
      <protection locked="0"/>
    </xf>
    <xf numFmtId="0" fontId="11" fillId="3" borderId="1" xfId="0" applyFont="1" applyFill="1" applyBorder="1" applyAlignment="1" applyProtection="1">
      <alignment horizontal="left"/>
      <protection locked="0"/>
    </xf>
    <xf numFmtId="0" fontId="7" fillId="3" borderId="10" xfId="0" applyFont="1" applyFill="1" applyBorder="1" applyAlignment="1">
      <alignment horizontal="center"/>
    </xf>
    <xf numFmtId="0" fontId="7" fillId="3" borderId="11" xfId="0" applyFont="1" applyFill="1" applyBorder="1" applyAlignment="1">
      <alignment horizontal="center"/>
    </xf>
    <xf numFmtId="0" fontId="7" fillId="3" borderId="12" xfId="0" applyFont="1" applyFill="1" applyBorder="1" applyAlignment="1">
      <alignment horizontal="center"/>
    </xf>
    <xf numFmtId="0" fontId="3" fillId="3" borderId="8" xfId="0" applyFont="1" applyFill="1" applyBorder="1" applyAlignment="1" applyProtection="1">
      <alignment horizontal="center"/>
      <protection locked="0"/>
    </xf>
    <xf numFmtId="0" fontId="3" fillId="3" borderId="14" xfId="0" applyFont="1" applyFill="1" applyBorder="1" applyAlignment="1" applyProtection="1">
      <alignment horizontal="center"/>
      <protection locked="0"/>
    </xf>
    <xf numFmtId="0" fontId="12" fillId="3" borderId="0" xfId="0" applyFont="1" applyFill="1" applyAlignment="1" applyProtection="1">
      <alignment horizontal="center"/>
      <protection locked="0"/>
    </xf>
    <xf numFmtId="0" fontId="12" fillId="3" borderId="16" xfId="0" applyFont="1" applyFill="1" applyBorder="1" applyAlignment="1" applyProtection="1">
      <alignment horizontal="center"/>
      <protection locked="0"/>
    </xf>
    <xf numFmtId="0" fontId="12" fillId="3" borderId="3" xfId="0" applyFont="1" applyFill="1" applyBorder="1" applyAlignment="1" applyProtection="1">
      <alignment horizontal="center" wrapText="1"/>
      <protection locked="0"/>
    </xf>
    <xf numFmtId="0" fontId="12" fillId="3" borderId="17" xfId="0" applyFont="1" applyFill="1" applyBorder="1" applyAlignment="1" applyProtection="1">
      <alignment horizontal="center" wrapText="1"/>
      <protection locked="0"/>
    </xf>
    <xf numFmtId="0" fontId="12" fillId="3" borderId="19" xfId="0" applyFont="1" applyFill="1" applyBorder="1" applyAlignment="1" applyProtection="1">
      <alignment horizontal="center"/>
      <protection locked="0"/>
    </xf>
    <xf numFmtId="0" fontId="12" fillId="3" borderId="20" xfId="0" applyFont="1" applyFill="1" applyBorder="1" applyAlignment="1" applyProtection="1">
      <alignment horizontal="center"/>
      <protection locked="0"/>
    </xf>
    <xf numFmtId="0" fontId="12" fillId="3" borderId="21" xfId="0" applyFont="1" applyFill="1" applyBorder="1" applyAlignment="1" applyProtection="1">
      <alignment horizontal="center"/>
      <protection locked="0"/>
    </xf>
  </cellXfs>
  <cellStyles count="79">
    <cellStyle name="Comma 2" xfId="26" xr:uid="{DD49716A-0D4B-4C1C-BE43-625B639D2C39}"/>
    <cellStyle name="Currency" xfId="1" builtinId="4"/>
    <cellStyle name="Currency 2" xfId="31" xr:uid="{FE664AB8-7266-4EEA-9CEF-1E9C0AA8854D}"/>
    <cellStyle name="Currency 3" xfId="67" xr:uid="{6BD948F7-13C4-4C73-905C-BE7961F11F36}"/>
    <cellStyle name="Hyperlink" xfId="3" builtinId="8"/>
    <cellStyle name="Neutral 2" xfId="12" xr:uid="{DF3D4616-4D0E-49A9-A8DF-7D3C1E73BD38}"/>
    <cellStyle name="Normal" xfId="0" builtinId="0"/>
    <cellStyle name="Normal 10" xfId="13" xr:uid="{DE1E7E86-B70E-42C3-88DD-413594D05DED}"/>
    <cellStyle name="Normal 11" xfId="19" xr:uid="{42C34E82-4278-49DC-9227-FF4E50DF3832}"/>
    <cellStyle name="Normal 11 2" xfId="41" xr:uid="{98E45F59-1D2B-4806-AF18-74E9E626CB33}"/>
    <cellStyle name="Normal 12" xfId="20" xr:uid="{BB63AFFB-D71F-4415-AC97-849FCCA13446}"/>
    <cellStyle name="Normal 12 2" xfId="42" xr:uid="{931B0CCA-584A-43B6-AC4C-38FF153FAD18}"/>
    <cellStyle name="Normal 13" xfId="21" xr:uid="{B02823C1-62ED-4256-86B8-D4FFFB027B62}"/>
    <cellStyle name="Normal 13 2" xfId="43" xr:uid="{2E927136-BED3-4530-9D58-D95B6C95D0D1}"/>
    <cellStyle name="Normal 14" xfId="22" xr:uid="{D28C9420-842F-43C4-96C1-6C44DFC2C89A}"/>
    <cellStyle name="Normal 14 2" xfId="44" xr:uid="{B5A057A2-3ACC-4C08-89D4-46BA7A02858D}"/>
    <cellStyle name="Normal 15" xfId="23" xr:uid="{7E1E5C0B-6049-4DF4-BE96-D26EDF02F467}"/>
    <cellStyle name="Normal 15 2" xfId="45" xr:uid="{C3A30430-2F7C-494F-A3A6-719331372C03}"/>
    <cellStyle name="Normal 16" xfId="25" xr:uid="{92D0D658-5B2D-4B6D-9EE4-362E81024C89}"/>
    <cellStyle name="Normal 17" xfId="33" xr:uid="{E10E1E87-4D26-48DD-8A6E-03332C5DACD7}"/>
    <cellStyle name="Normal 17 2" xfId="46" xr:uid="{C5D58A42-30E0-4528-A3F6-EF024FA654E5}"/>
    <cellStyle name="Normal 18" xfId="34" xr:uid="{B0F71253-4B2B-4423-BC4A-A5FBBC748238}"/>
    <cellStyle name="Normal 18 2" xfId="47" xr:uid="{AD4FB98C-88DE-4FB3-969E-BED37C45721D}"/>
    <cellStyle name="Normal 19" xfId="35" xr:uid="{2ECF0B29-06A4-4E18-9B13-9D32F4BB8ECB}"/>
    <cellStyle name="Normal 19 2" xfId="48" xr:uid="{F06862BA-E544-4C81-8300-9B9049D004E1}"/>
    <cellStyle name="Normal 2" xfId="6" xr:uid="{DF19FFA6-21EB-4A80-8FC6-FE21805D5382}"/>
    <cellStyle name="Normal 2 2" xfId="7" xr:uid="{78B5FD56-C4CD-4BB2-85C6-F00F177C9AEA}"/>
    <cellStyle name="Normal 2 3" xfId="29" xr:uid="{D8D6FDEA-643F-42DD-8BBB-A802595D0888}"/>
    <cellStyle name="Normal 2 4" xfId="39" xr:uid="{74D58AEC-0F52-44D4-972B-D299E40D719A}"/>
    <cellStyle name="Normal 2 5" xfId="55" xr:uid="{4F177E0E-5C73-408B-A7DA-CC592D9A5982}"/>
    <cellStyle name="Normal 2 6" xfId="68" xr:uid="{8151B1BD-2598-46C6-9355-77143A5F5686}"/>
    <cellStyle name="Normal 20" xfId="36" xr:uid="{214B39D7-0D30-4B48-81F8-5FB7606BB953}"/>
    <cellStyle name="Normal 20 2" xfId="49" xr:uid="{878295C9-679A-486C-B3F9-B3AE582F0CB9}"/>
    <cellStyle name="Normal 21" xfId="37" xr:uid="{A4E402AF-83EE-4F5A-838A-CDFC43B27D83}"/>
    <cellStyle name="Normal 21 2" xfId="50" xr:uid="{B14760E5-A823-4A91-86CF-DD39FD29DE3D}"/>
    <cellStyle name="Normal 22" xfId="38" xr:uid="{4824FB9D-75D9-4DA8-88BC-2F4B1875BAD9}"/>
    <cellStyle name="Normal 22 2" xfId="51" xr:uid="{A6250449-2656-4B66-A760-405F1BE91681}"/>
    <cellStyle name="Normal 23" xfId="52" xr:uid="{8F51E9EF-1DA4-49B4-ADB9-E20C8FA66B40}"/>
    <cellStyle name="Normal 23 2" xfId="58" xr:uid="{AF1BC888-BA9E-48A3-A165-86F83030503B}"/>
    <cellStyle name="Normal 24" xfId="53" xr:uid="{97DCC577-1261-4E1E-AFC2-26CA1351ADB5}"/>
    <cellStyle name="Normal 24 2" xfId="59" xr:uid="{43B68D9E-FEE3-4E31-AA47-7DC1312857A2}"/>
    <cellStyle name="Normal 25" xfId="54" xr:uid="{B215E551-A742-4F13-86EC-64B629B3235A}"/>
    <cellStyle name="Normal 25 2" xfId="60" xr:uid="{B14AE7DB-5316-4AB8-A6E9-27694AC005A2}"/>
    <cellStyle name="Normal 26" xfId="56" xr:uid="{63FB8459-C3AC-460A-ABBF-57923F36A547}"/>
    <cellStyle name="Normal 26 2" xfId="61" xr:uid="{2F0C9D03-365D-4A06-9533-3FABE27C5F33}"/>
    <cellStyle name="Normal 27" xfId="57" xr:uid="{51A02D73-8FB7-4A56-B5EC-DD5E6CA38825}"/>
    <cellStyle name="Normal 27 2" xfId="62" xr:uid="{7AF755CA-7615-498B-949D-8B8938570A36}"/>
    <cellStyle name="Normal 28" xfId="63" xr:uid="{515A8FBD-D4C1-4787-976C-E7FD8AB9C647}"/>
    <cellStyle name="Normal 28 2" xfId="73" xr:uid="{E4FC9308-48DD-4009-B1E5-7C6344A24619}"/>
    <cellStyle name="Normal 29" xfId="64" xr:uid="{65666544-7CC6-4946-8400-40DCD91747B7}"/>
    <cellStyle name="Normal 29 2" xfId="74" xr:uid="{7AD26DF9-2F80-4EE7-8912-0C7A36611D58}"/>
    <cellStyle name="Normal 3" xfId="5" xr:uid="{00000000-0005-0000-0000-000003000000}"/>
    <cellStyle name="Normal 3 2" xfId="28" xr:uid="{E34E4BD8-5C9C-465D-A3A1-21FCFC3CF966}"/>
    <cellStyle name="Normal 3 3" xfId="69" xr:uid="{95F38E66-7BB0-4F5F-81C6-57819F387441}"/>
    <cellStyle name="Normal 3 4" xfId="8" xr:uid="{22DEA383-3456-4EE3-BE41-1DE39F77698F}"/>
    <cellStyle name="Normal 30" xfId="65" xr:uid="{47E5D2CB-41DB-470A-B6A3-1E05446F20D2}"/>
    <cellStyle name="Normal 31" xfId="66" xr:uid="{AF47B968-78BC-4CCC-B9F5-3DBF2C11682E}"/>
    <cellStyle name="Normal 32" xfId="71" xr:uid="{842C9AC8-9446-4F0D-ADEB-9E534DF97A75}"/>
    <cellStyle name="Normal 33" xfId="75" xr:uid="{C67EBEE8-D03B-4617-BC49-FB2E0DEC5272}"/>
    <cellStyle name="Normal 34" xfId="76" xr:uid="{B36E652C-547C-456A-9DDD-EFBD42DD866F}"/>
    <cellStyle name="Normal 35" xfId="77" xr:uid="{F562F248-8A90-42E5-8E94-1A1E297AC536}"/>
    <cellStyle name="Normal 36" xfId="78" xr:uid="{E16B079B-9FCB-43E2-BB8B-1BD1113FC886}"/>
    <cellStyle name="Normal 4" xfId="9" xr:uid="{88F9A9BD-3905-465C-ACBF-DF551DFF5C97}"/>
    <cellStyle name="Normal 4 2" xfId="32" xr:uid="{06BB5556-ADE9-46B2-B09F-CF9BD7DF8145}"/>
    <cellStyle name="Normal 4 3" xfId="70" xr:uid="{23F8D44B-3D18-4E67-B965-1FFFA001AEC2}"/>
    <cellStyle name="Normal 5" xfId="10" xr:uid="{8AE1A9FC-714C-41F5-A6E0-DE4FE7190016}"/>
    <cellStyle name="Normal 549" xfId="14" xr:uid="{39386970-1E6E-4779-B14C-A350FC3D1FB8}"/>
    <cellStyle name="Normal 550" xfId="15" xr:uid="{56215134-5E9F-4537-BF35-2A18C650AEE2}"/>
    <cellStyle name="Normal 6" xfId="11" xr:uid="{84023555-8D26-475C-B152-533BA9E4DAD8}"/>
    <cellStyle name="Normal 7" xfId="17" xr:uid="{5D739368-836E-451C-815C-C16C0FEF20E8}"/>
    <cellStyle name="Normal 8" xfId="16" xr:uid="{319F4BCB-09E2-444D-AC15-33D5F4DB551E}"/>
    <cellStyle name="Normal 9" xfId="18" xr:uid="{68CFC09A-ED0E-4B90-BC4B-4F801CB3AFE2}"/>
    <cellStyle name="Percent" xfId="2" builtinId="5"/>
    <cellStyle name="Percent 2" xfId="30" xr:uid="{107D2191-744C-431B-A591-BD24158F4FE8}"/>
    <cellStyle name="Percent 2 2" xfId="40" xr:uid="{7AFA4418-A376-486F-A883-0F38152CC864}"/>
    <cellStyle name="Percent 3" xfId="4" xr:uid="{00000000-0005-0000-0000-000005000000}"/>
    <cellStyle name="Percent 3 2" xfId="72" xr:uid="{1468CD1E-5EA6-4DF7-B088-A619B006A699}"/>
    <cellStyle name="Percent 4" xfId="27" xr:uid="{79566B7B-CFB5-4E9C-9823-924693D604B9}"/>
    <cellStyle name="一般 2" xfId="24" xr:uid="{B98EDCD1-7799-453B-A30F-F931319161D4}"/>
  </cellStyles>
  <dxfs count="39">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patternType="none">
          <bgColor auto="1"/>
        </patternFill>
      </fill>
      <border>
        <bottom style="thin">
          <color auto="1"/>
        </bottom>
      </border>
    </dxf>
    <dxf>
      <fill>
        <patternFill>
          <bgColor rgb="FFFFFF00"/>
        </patternFill>
      </fill>
    </dxf>
    <dxf>
      <fill>
        <patternFill>
          <bgColor theme="1"/>
        </patternFill>
      </fill>
    </dxf>
    <dxf>
      <border>
        <bottom style="thin">
          <color auto="1"/>
        </bottom>
        <vertical/>
        <horizontal/>
      </border>
    </dxf>
    <dxf>
      <border>
        <bottom style="thin">
          <color auto="1"/>
        </bottom>
        <vertical/>
        <horizontal/>
      </border>
    </dxf>
    <dxf>
      <fill>
        <patternFill>
          <bgColor theme="0"/>
        </patternFill>
      </fill>
      <border>
        <bottom style="thin">
          <color auto="1"/>
        </bottom>
        <vertical/>
        <horizontal/>
      </border>
    </dxf>
    <dxf>
      <border>
        <bottom style="thin">
          <color auto="1"/>
        </bottom>
        <vertical/>
        <horizontal/>
      </border>
    </dxf>
    <dxf>
      <border>
        <bottom style="thin">
          <color auto="1"/>
        </bottom>
        <vertical/>
        <horizontal/>
      </border>
    </dxf>
    <dxf>
      <fill>
        <patternFill>
          <bgColor theme="0"/>
        </patternFill>
      </fill>
      <border>
        <bottom style="thin">
          <color auto="1"/>
        </bottom>
        <vertical/>
        <horizontal/>
      </border>
    </dxf>
    <dxf>
      <border>
        <bottom style="thin">
          <color auto="1"/>
        </bottom>
        <vertical/>
        <horizontal/>
      </border>
    </dxf>
    <dxf>
      <border>
        <bottom style="thin">
          <color auto="1"/>
        </bottom>
        <vertical/>
        <horizontal/>
      </border>
    </dxf>
    <dxf>
      <fill>
        <patternFill>
          <bgColor theme="0"/>
        </patternFill>
      </fill>
      <border>
        <bottom style="thin">
          <color auto="1"/>
        </bottom>
        <vertical/>
        <horizontal/>
      </border>
    </dxf>
    <dxf>
      <fill>
        <patternFill>
          <bgColor rgb="FFFFFF00"/>
        </patternFill>
      </fill>
    </dxf>
    <dxf>
      <fill>
        <patternFill patternType="none">
          <bgColor auto="1"/>
        </patternFill>
      </fill>
    </dxf>
    <dxf>
      <font>
        <color theme="1"/>
      </font>
      <fill>
        <patternFill patternType="none">
          <bgColor auto="1"/>
        </patternFill>
      </fill>
      <border>
        <bottom style="thin">
          <color auto="1"/>
        </bottom>
      </border>
    </dxf>
    <dxf>
      <fill>
        <patternFill patternType="solid">
          <fgColor theme="0" tint="-0.14999847407452621"/>
          <bgColor theme="0" tint="-0.14999847407452621"/>
        </patternFill>
      </fill>
    </dxf>
    <dxf>
      <fill>
        <patternFill patternType="solid">
          <fgColor theme="0" tint="-0.14996795556505021"/>
          <bgColor theme="0" tint="-4.9989318521683403E-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border>
        <top style="medium">
          <color theme="1"/>
        </top>
        <bottom/>
      </border>
    </dxf>
  </dxfs>
  <tableStyles count="1" defaultTableStyle="TableStyleMedium2" defaultPivotStyle="PivotStyleLight16">
    <tableStyle name="MinMaxTableStyle" pivot="0" count="7" xr9:uid="{9839EDDF-7C08-4593-AF10-8B00B9D78393}">
      <tableStyleElement type="wholeTable" dxfId="38"/>
      <tableStyleElement type="headerRow" dxfId="37"/>
      <tableStyleElement type="totalRow" dxfId="36"/>
      <tableStyleElement type="firstColumn" dxfId="35"/>
      <tableStyleElement type="lastColumn" dxfId="34"/>
      <tableStyleElement type="firstRowStripe" dxfId="33"/>
      <tableStyleElement type="firstColumnStripe" dxfId="3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9</xdr:col>
      <xdr:colOff>111684</xdr:colOff>
      <xdr:row>10</xdr:row>
      <xdr:rowOff>116540</xdr:rowOff>
    </xdr:from>
    <xdr:to>
      <xdr:col>13</xdr:col>
      <xdr:colOff>2053</xdr:colOff>
      <xdr:row>21</xdr:row>
      <xdr:rowOff>112151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35919" y="2447364"/>
          <a:ext cx="4745318" cy="233073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9</xdr:row>
          <xdr:rowOff>9525</xdr:rowOff>
        </xdr:from>
        <xdr:to>
          <xdr:col>8</xdr:col>
          <xdr:colOff>857250</xdr:colOff>
          <xdr:row>23</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Promotion</a:t>
              </a:r>
            </a:p>
          </xdr:txBody>
        </xdr:sp>
        <xdr:clientData fPrintsWithSheet="0"/>
      </xdr:twoCellAnchor>
    </mc:Choice>
    <mc:Fallback/>
  </mc:AlternateContent>
  <xdr:twoCellAnchor>
    <xdr:from>
      <xdr:col>0</xdr:col>
      <xdr:colOff>127000</xdr:colOff>
      <xdr:row>25</xdr:row>
      <xdr:rowOff>22412</xdr:rowOff>
    </xdr:from>
    <xdr:to>
      <xdr:col>1</xdr:col>
      <xdr:colOff>717178</xdr:colOff>
      <xdr:row>25</xdr:row>
      <xdr:rowOff>283883</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5475941"/>
          <a:ext cx="2345766" cy="2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Input</a:t>
          </a:r>
          <a:r>
            <a:rPr lang="en-US" sz="1400" baseline="0"/>
            <a:t> Vendor Name Here!!!</a:t>
          </a:r>
          <a:endParaRPr lang="en-US" sz="1400"/>
        </a:p>
      </xdr:txBody>
    </xdr:sp>
    <xdr:clientData/>
  </xdr:twoCellAnchor>
  <xdr:twoCellAnchor>
    <xdr:from>
      <xdr:col>1</xdr:col>
      <xdr:colOff>903942</xdr:colOff>
      <xdr:row>25</xdr:row>
      <xdr:rowOff>59765</xdr:rowOff>
    </xdr:from>
    <xdr:to>
      <xdr:col>1</xdr:col>
      <xdr:colOff>2151530</xdr:colOff>
      <xdr:row>25</xdr:row>
      <xdr:rowOff>276412</xdr:rowOff>
    </xdr:to>
    <xdr:sp macro="" textlink="">
      <xdr:nvSpPr>
        <xdr:cNvPr id="4" name="Right Arrow 3">
          <a:extLst>
            <a:ext uri="{FF2B5EF4-FFF2-40B4-BE49-F238E27FC236}">
              <a16:creationId xmlns:a16="http://schemas.microsoft.com/office/drawing/2014/main" id="{00000000-0008-0000-0000-000004000000}"/>
            </a:ext>
          </a:extLst>
        </xdr:cNvPr>
        <xdr:cNvSpPr/>
      </xdr:nvSpPr>
      <xdr:spPr>
        <a:xfrm>
          <a:off x="2659530" y="5513294"/>
          <a:ext cx="1247588" cy="216647"/>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903941</xdr:colOff>
      <xdr:row>26</xdr:row>
      <xdr:rowOff>52294</xdr:rowOff>
    </xdr:from>
    <xdr:to>
      <xdr:col>1</xdr:col>
      <xdr:colOff>2151529</xdr:colOff>
      <xdr:row>26</xdr:row>
      <xdr:rowOff>268941</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2659529" y="5842000"/>
          <a:ext cx="1247588" cy="216647"/>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119529</xdr:colOff>
      <xdr:row>26</xdr:row>
      <xdr:rowOff>7470</xdr:rowOff>
    </xdr:from>
    <xdr:to>
      <xdr:col>1</xdr:col>
      <xdr:colOff>709707</xdr:colOff>
      <xdr:row>26</xdr:row>
      <xdr:rowOff>268941</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19529" y="5797176"/>
          <a:ext cx="2345766" cy="2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Input</a:t>
          </a:r>
          <a:r>
            <a:rPr lang="en-US" sz="1400" baseline="0"/>
            <a:t> Buyer Number Here!!!</a:t>
          </a:r>
          <a:endParaRPr lang="en-US" sz="1400"/>
        </a:p>
      </xdr:txBody>
    </xdr:sp>
    <xdr:clientData/>
  </xdr:twoCellAnchor>
  <xdr:twoCellAnchor>
    <xdr:from>
      <xdr:col>4</xdr:col>
      <xdr:colOff>82177</xdr:colOff>
      <xdr:row>25</xdr:row>
      <xdr:rowOff>44823</xdr:rowOff>
    </xdr:from>
    <xdr:to>
      <xdr:col>5</xdr:col>
      <xdr:colOff>530411</xdr:colOff>
      <xdr:row>25</xdr:row>
      <xdr:rowOff>283882</xdr:rowOff>
    </xdr:to>
    <xdr:sp macro="" textlink="">
      <xdr:nvSpPr>
        <xdr:cNvPr id="9" name="Right Arrow 8">
          <a:extLst>
            <a:ext uri="{FF2B5EF4-FFF2-40B4-BE49-F238E27FC236}">
              <a16:creationId xmlns:a16="http://schemas.microsoft.com/office/drawing/2014/main" id="{00000000-0008-0000-0000-000009000000}"/>
            </a:ext>
          </a:extLst>
        </xdr:cNvPr>
        <xdr:cNvSpPr/>
      </xdr:nvSpPr>
      <xdr:spPr>
        <a:xfrm flipH="1">
          <a:off x="6417236" y="5490882"/>
          <a:ext cx="1396999" cy="239059"/>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22412</xdr:colOff>
      <xdr:row>25</xdr:row>
      <xdr:rowOff>14941</xdr:rowOff>
    </xdr:from>
    <xdr:to>
      <xdr:col>7</xdr:col>
      <xdr:colOff>1225177</xdr:colOff>
      <xdr:row>25</xdr:row>
      <xdr:rowOff>321235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217647" y="5461000"/>
          <a:ext cx="2233706" cy="306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Submitted By ID</a:t>
          </a:r>
        </a:p>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rayr\Desktop\Exports\Copy%20of%20DOF%20for%20Josh%20Garmin%20In%20Store%202025.11.5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AFES Proposed Promo Calendar"/>
      <sheetName val="DOF"/>
      <sheetName val="Additional Items"/>
      <sheetName val="VADB"/>
      <sheetName val="Worksheet"/>
      <sheetName val="DBase Load"/>
    </sheetNames>
    <sheetDataSet>
      <sheetData sheetId="0" refreshError="1"/>
      <sheetData sheetId="1" refreshError="1"/>
      <sheetData sheetId="2">
        <row r="56">
          <cell r="L56">
            <v>0</v>
          </cell>
        </row>
      </sheetData>
      <sheetData sheetId="3">
        <row r="8">
          <cell r="F8" t="str">
            <v xml:space="preserve"> 205 - Video Games </v>
          </cell>
        </row>
        <row r="9">
          <cell r="F9" t="str">
            <v xml:space="preserve"> 208 - Pre-Recorded AV </v>
          </cell>
          <cell r="H9" t="str">
            <v>Ad - Sale Event Week</v>
          </cell>
        </row>
        <row r="10">
          <cell r="F10" t="str">
            <v xml:space="preserve"> 211 - Cameras </v>
          </cell>
          <cell r="H10" t="str">
            <v>Advertising</v>
          </cell>
        </row>
        <row r="11">
          <cell r="F11" t="str">
            <v xml:space="preserve"> 215 - TV and Video </v>
          </cell>
          <cell r="H11" t="str">
            <v>Bill Back</v>
          </cell>
        </row>
        <row r="12">
          <cell r="F12" t="str">
            <v xml:space="preserve"> 226 - Mobile Electronics </v>
          </cell>
          <cell r="H12" t="str">
            <v>Defective Allowance</v>
          </cell>
        </row>
        <row r="13">
          <cell r="F13" t="str">
            <v xml:space="preserve"> 227 - Service Plans </v>
          </cell>
          <cell r="H13" t="str">
            <v>Freight Allowance</v>
          </cell>
        </row>
        <row r="14">
          <cell r="F14" t="str">
            <v xml:space="preserve"> 252 - Smart Home </v>
          </cell>
          <cell r="H14" t="str">
            <v>Instant Rebate</v>
          </cell>
        </row>
        <row r="15">
          <cell r="F15" t="str">
            <v xml:space="preserve"> 255 - Audio/Elec Access </v>
          </cell>
          <cell r="H15" t="str">
            <v>Margin Assistance</v>
          </cell>
        </row>
        <row r="16">
          <cell r="F16" t="str">
            <v xml:space="preserve"> 257 - Computer &amp; Periph </v>
          </cell>
          <cell r="H16" t="str">
            <v>Markdown Assistance</v>
          </cell>
        </row>
        <row r="17">
          <cell r="F17" t="str">
            <v xml:space="preserve"> 271 - Digital Fitness </v>
          </cell>
          <cell r="H17" t="str">
            <v>Marketing Funds</v>
          </cell>
        </row>
        <row r="18">
          <cell r="H18" t="str">
            <v>Other</v>
          </cell>
        </row>
        <row r="19">
          <cell r="H19" t="str">
            <v>Price Protection</v>
          </cell>
        </row>
        <row r="20">
          <cell r="H20" t="str">
            <v>Scan Back</v>
          </cell>
        </row>
        <row r="21">
          <cell r="H21" t="str">
            <v>Special Event</v>
          </cell>
        </row>
        <row r="22">
          <cell r="H22" t="str">
            <v>Temp Price Reduction</v>
          </cell>
        </row>
        <row r="23">
          <cell r="H23" t="str">
            <v>Trailing Credit</v>
          </cell>
        </row>
        <row r="24">
          <cell r="H24" t="str">
            <v>Vendor Allowance</v>
          </cell>
        </row>
      </sheetData>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45"/>
  <sheetViews>
    <sheetView tabSelected="1" topLeftCell="A7" zoomScale="68" zoomScaleNormal="68" workbookViewId="0">
      <selection activeCell="C38" sqref="C38"/>
    </sheetView>
  </sheetViews>
  <sheetFormatPr defaultColWidth="8.7109375" defaultRowHeight="15" x14ac:dyDescent="0.25"/>
  <cols>
    <col min="1" max="1" width="25.140625" customWidth="1"/>
    <col min="2" max="2" width="32.7109375" customWidth="1"/>
    <col min="3" max="3" width="14.5703125" bestFit="1" customWidth="1"/>
    <col min="4" max="4" width="18.28515625" customWidth="1"/>
    <col min="5" max="5" width="13.5703125" customWidth="1"/>
    <col min="6" max="6" width="13" customWidth="1"/>
    <col min="7" max="7" width="14.7109375" customWidth="1"/>
    <col min="8" max="8" width="17.7109375" customWidth="1"/>
    <col min="9" max="9" width="16.5703125" bestFit="1" customWidth="1"/>
    <col min="10" max="10" width="18.85546875" customWidth="1"/>
    <col min="11" max="11" width="8.140625" customWidth="1"/>
    <col min="12" max="12" width="14.85546875" customWidth="1"/>
    <col min="13" max="13" width="28" customWidth="1"/>
    <col min="15" max="15" width="8.7109375" customWidth="1"/>
    <col min="18" max="18" width="9.85546875" bestFit="1" customWidth="1"/>
    <col min="19" max="19" width="11.7109375" bestFit="1" customWidth="1"/>
  </cols>
  <sheetData>
    <row r="1" spans="1:13" ht="18" customHeight="1" x14ac:dyDescent="0.3">
      <c r="A1" s="88" t="s">
        <v>0</v>
      </c>
      <c r="B1" s="88"/>
      <c r="C1" s="88"/>
      <c r="D1" s="88"/>
      <c r="E1" s="88"/>
      <c r="F1" s="88"/>
      <c r="G1" s="88"/>
      <c r="H1" s="88"/>
      <c r="I1" s="88"/>
      <c r="J1" s="88"/>
      <c r="K1" s="88"/>
      <c r="L1" s="88"/>
      <c r="M1" s="88"/>
    </row>
    <row r="2" spans="1:13" x14ac:dyDescent="0.25">
      <c r="D2" s="52"/>
    </row>
    <row r="3" spans="1:13" ht="20.100000000000001" customHeight="1" x14ac:dyDescent="0.25">
      <c r="A3" s="1" t="s">
        <v>1</v>
      </c>
      <c r="B3" s="2">
        <f ca="1">TODAY()</f>
        <v>46161</v>
      </c>
      <c r="C3" s="44" t="s">
        <v>2</v>
      </c>
      <c r="D3" s="54"/>
      <c r="E3" s="55"/>
      <c r="F3" s="89" t="s">
        <v>3</v>
      </c>
      <c r="G3" s="90"/>
      <c r="H3" s="90"/>
      <c r="I3" s="90"/>
      <c r="J3" s="90"/>
      <c r="K3" s="90"/>
      <c r="L3" s="90"/>
      <c r="M3" s="91"/>
    </row>
    <row r="4" spans="1:13" ht="10.5" customHeight="1" x14ac:dyDescent="0.25">
      <c r="A4" s="5"/>
      <c r="C4" s="5"/>
      <c r="D4" s="53"/>
      <c r="F4" s="92"/>
      <c r="G4" s="93"/>
      <c r="H4" s="93"/>
      <c r="I4" s="93"/>
      <c r="J4" s="93"/>
      <c r="K4" s="93"/>
      <c r="L4" s="93"/>
      <c r="M4" s="94"/>
    </row>
    <row r="5" spans="1:13" ht="20.100000000000001" customHeight="1" x14ac:dyDescent="0.25">
      <c r="A5" s="6" t="s">
        <v>4</v>
      </c>
      <c r="B5" s="4"/>
      <c r="C5" s="3" t="s">
        <v>5</v>
      </c>
      <c r="D5" s="7"/>
      <c r="F5" s="95"/>
      <c r="G5" s="96"/>
      <c r="H5" s="96"/>
      <c r="I5" s="96"/>
      <c r="J5" s="96"/>
      <c r="K5" s="96"/>
      <c r="L5" s="96"/>
      <c r="M5" s="97"/>
    </row>
    <row r="6" spans="1:13" ht="20.100000000000001" customHeight="1" x14ac:dyDescent="0.25">
      <c r="A6" s="6" t="s">
        <v>6</v>
      </c>
      <c r="B6" s="4"/>
      <c r="C6" s="8"/>
      <c r="F6" s="9" t="s">
        <v>7</v>
      </c>
      <c r="H6" s="10"/>
    </row>
    <row r="7" spans="1:13" ht="20.100000000000001" customHeight="1" x14ac:dyDescent="0.25">
      <c r="A7" s="6" t="s">
        <v>8</v>
      </c>
      <c r="B7" s="4"/>
      <c r="C7" s="3" t="s">
        <v>9</v>
      </c>
      <c r="D7" s="11"/>
      <c r="E7" s="12"/>
      <c r="F7" s="12"/>
      <c r="G7" s="12"/>
      <c r="H7" s="10"/>
    </row>
    <row r="8" spans="1:13" ht="20.100000000000001" customHeight="1" x14ac:dyDescent="0.25">
      <c r="A8" s="6" t="s">
        <v>10</v>
      </c>
      <c r="B8" s="13"/>
      <c r="C8" s="5"/>
      <c r="D8" s="12"/>
      <c r="E8" s="12"/>
      <c r="F8" s="12"/>
      <c r="G8" s="12"/>
      <c r="H8" s="10"/>
    </row>
    <row r="9" spans="1:13" ht="20.100000000000001" customHeight="1" x14ac:dyDescent="0.25">
      <c r="A9" s="5"/>
      <c r="C9" s="5"/>
      <c r="H9" s="10"/>
    </row>
    <row r="10" spans="1:13" ht="20.100000000000001" customHeight="1" x14ac:dyDescent="0.25">
      <c r="A10" s="14" t="s">
        <v>11</v>
      </c>
      <c r="B10" s="4" t="s">
        <v>12</v>
      </c>
      <c r="C10" s="1" t="str">
        <f>IF(B10="Advertising","Type",IF(B10="Ad &amp; Scanback","Type",IF(B10="Ad &amp; Bill Back","Type","")))</f>
        <v/>
      </c>
      <c r="D10" s="4"/>
      <c r="H10" s="10"/>
    </row>
    <row r="11" spans="1:13" ht="20.100000000000001" customHeight="1" x14ac:dyDescent="0.25">
      <c r="A11" s="14" t="s">
        <v>13</v>
      </c>
      <c r="B11" s="4"/>
      <c r="C11" s="1" t="s">
        <v>14</v>
      </c>
      <c r="D11" s="15">
        <f>(L334+'[1]Additional Items'!L56)</f>
        <v>0</v>
      </c>
      <c r="E11" s="16"/>
      <c r="F11" s="16"/>
      <c r="G11" s="16"/>
      <c r="H11" s="10"/>
    </row>
    <row r="12" spans="1:13" ht="20.100000000000001" customHeight="1" x14ac:dyDescent="0.25">
      <c r="A12" s="14" t="s">
        <v>15</v>
      </c>
      <c r="B12" s="4"/>
      <c r="C12" s="3" t="s">
        <v>16</v>
      </c>
      <c r="D12" s="4"/>
      <c r="H12" s="10"/>
    </row>
    <row r="13" spans="1:13" ht="20.100000000000001" customHeight="1" x14ac:dyDescent="0.25">
      <c r="A13" s="14" t="s">
        <v>17</v>
      </c>
      <c r="B13" s="98"/>
      <c r="C13" s="99"/>
      <c r="D13" s="98"/>
      <c r="E13" s="17"/>
      <c r="F13" s="17"/>
      <c r="G13" s="18"/>
      <c r="H13" s="10"/>
    </row>
    <row r="14" spans="1:13" ht="20.100000000000001" customHeight="1" x14ac:dyDescent="0.25">
      <c r="A14" s="68" t="s">
        <v>18</v>
      </c>
      <c r="B14" s="2"/>
      <c r="C14" s="69" t="s">
        <v>19</v>
      </c>
      <c r="D14" s="2"/>
      <c r="E14" s="70"/>
      <c r="F14" s="19"/>
      <c r="G14" s="19"/>
      <c r="H14" s="10"/>
    </row>
    <row r="15" spans="1:13" ht="20.100000000000001" customHeight="1" x14ac:dyDescent="0.25">
      <c r="A15" s="20" t="s">
        <v>20</v>
      </c>
      <c r="B15" s="67"/>
      <c r="C15" s="20" t="s">
        <v>21</v>
      </c>
      <c r="D15" s="67"/>
      <c r="E15" s="19"/>
      <c r="F15" s="19"/>
      <c r="G15" s="19"/>
      <c r="H15" s="10"/>
    </row>
    <row r="16" spans="1:13" ht="7.5" customHeight="1" thickBot="1" x14ac:dyDescent="0.3">
      <c r="A16" s="21"/>
      <c r="B16" s="19"/>
      <c r="C16" s="21"/>
      <c r="D16" s="19"/>
      <c r="E16" s="19"/>
      <c r="F16" s="19"/>
      <c r="G16" s="19"/>
      <c r="H16" s="10"/>
    </row>
    <row r="17" spans="1:19" ht="15.75" customHeight="1" thickBot="1" x14ac:dyDescent="0.3">
      <c r="A17" s="100" t="s">
        <v>22</v>
      </c>
      <c r="B17" s="101"/>
      <c r="C17" s="101"/>
      <c r="D17" s="102"/>
      <c r="E17" s="8"/>
      <c r="F17" s="8"/>
      <c r="G17" s="8"/>
      <c r="H17" s="10"/>
    </row>
    <row r="18" spans="1:19" ht="15" customHeight="1" x14ac:dyDescent="0.25">
      <c r="A18" s="22" t="s">
        <v>23</v>
      </c>
      <c r="B18" s="103" t="s">
        <v>24</v>
      </c>
      <c r="C18" s="103"/>
      <c r="D18" s="104"/>
      <c r="E18" s="5"/>
      <c r="F18" s="5"/>
      <c r="G18" s="5"/>
      <c r="H18" s="10"/>
    </row>
    <row r="19" spans="1:19" ht="15" customHeight="1" x14ac:dyDescent="0.25">
      <c r="A19" s="23" t="str">
        <f>IF($B$18="Yes","","Conus")</f>
        <v/>
      </c>
      <c r="B19" s="105"/>
      <c r="C19" s="105"/>
      <c r="D19" s="106"/>
      <c r="E19" s="24"/>
      <c r="F19" s="24"/>
      <c r="G19" s="24"/>
      <c r="H19" s="10"/>
    </row>
    <row r="20" spans="1:19" ht="15" customHeight="1" x14ac:dyDescent="0.25">
      <c r="A20" s="23" t="str">
        <f>IF($B$18="Yes","","Alaska/Hawaii")</f>
        <v/>
      </c>
      <c r="B20" s="107"/>
      <c r="C20" s="107"/>
      <c r="D20" s="108"/>
      <c r="E20" s="24"/>
      <c r="F20" s="24"/>
      <c r="G20" s="24"/>
      <c r="H20" s="10"/>
    </row>
    <row r="21" spans="1:19" ht="15" customHeight="1" x14ac:dyDescent="0.25">
      <c r="A21" s="23" t="str">
        <f>IF($B$18="Yes","","Europe")</f>
        <v/>
      </c>
      <c r="B21" s="107"/>
      <c r="C21" s="107"/>
      <c r="D21" s="108"/>
      <c r="E21" s="24"/>
      <c r="F21" s="24"/>
      <c r="G21" s="24"/>
      <c r="H21" s="10"/>
    </row>
    <row r="22" spans="1:19" ht="15" customHeight="1" x14ac:dyDescent="0.25">
      <c r="A22" s="23" t="str">
        <f>IF($B$18="Yes","","Pacific")</f>
        <v/>
      </c>
      <c r="B22" s="107"/>
      <c r="C22" s="107"/>
      <c r="D22" s="108"/>
      <c r="E22" s="24"/>
      <c r="F22" s="24"/>
      <c r="G22" s="24"/>
      <c r="H22" s="10"/>
    </row>
    <row r="23" spans="1:19" ht="15" customHeight="1" x14ac:dyDescent="0.25">
      <c r="A23" s="23" t="str">
        <f>IF($B$18="Yes","","Contingency")</f>
        <v/>
      </c>
      <c r="B23" s="107"/>
      <c r="C23" s="107"/>
      <c r="D23" s="108"/>
      <c r="E23" s="24"/>
      <c r="F23" s="24"/>
      <c r="G23" s="24"/>
      <c r="H23" s="10"/>
    </row>
    <row r="24" spans="1:19" ht="15.75" thickBot="1" x14ac:dyDescent="0.3">
      <c r="A24" s="25" t="s">
        <v>25</v>
      </c>
      <c r="B24" s="109" t="s">
        <v>24</v>
      </c>
      <c r="C24" s="110"/>
      <c r="D24" s="111"/>
      <c r="E24" s="5"/>
      <c r="F24" s="5"/>
      <c r="G24" s="5"/>
    </row>
    <row r="25" spans="1:19" ht="15.75" thickBot="1" x14ac:dyDescent="0.3">
      <c r="B25" s="5"/>
      <c r="C25" s="5"/>
      <c r="D25" s="5"/>
      <c r="E25" s="5"/>
      <c r="F25" s="5"/>
      <c r="G25" s="5"/>
    </row>
    <row r="26" spans="1:19" ht="26.45" customHeight="1" thickBot="1" x14ac:dyDescent="0.3">
      <c r="A26" s="84"/>
      <c r="B26" s="85"/>
      <c r="C26" s="51"/>
      <c r="D26" s="49" t="s">
        <v>49</v>
      </c>
      <c r="E26" s="45"/>
      <c r="F26" s="45"/>
      <c r="G26" s="45"/>
      <c r="H26" s="45"/>
      <c r="I26" s="45"/>
      <c r="J26" s="45"/>
      <c r="K26" s="45"/>
      <c r="L26" s="45"/>
      <c r="M26" s="46"/>
    </row>
    <row r="27" spans="1:19" ht="24" customHeight="1" thickBot="1" x14ac:dyDescent="0.3">
      <c r="A27" s="86"/>
      <c r="B27" s="87"/>
      <c r="C27" s="50">
        <v>430</v>
      </c>
      <c r="D27" s="56"/>
      <c r="E27" s="47"/>
      <c r="F27" s="47"/>
      <c r="G27" s="47"/>
      <c r="H27" s="47"/>
      <c r="I27" s="47"/>
      <c r="J27" s="47"/>
      <c r="K27" s="47"/>
      <c r="L27" s="47"/>
      <c r="M27" s="48"/>
    </row>
    <row r="29" spans="1:19" s="27" customFormat="1" ht="32.25" thickBot="1" x14ac:dyDescent="0.3">
      <c r="A29" s="26" t="s">
        <v>26</v>
      </c>
      <c r="B29" s="26" t="s">
        <v>27</v>
      </c>
      <c r="C29" s="26" t="s">
        <v>28</v>
      </c>
      <c r="D29" s="26" t="s">
        <v>29</v>
      </c>
      <c r="E29" s="26" t="s">
        <v>30</v>
      </c>
      <c r="F29" s="26" t="s">
        <v>31</v>
      </c>
      <c r="G29" s="26" t="s">
        <v>32</v>
      </c>
      <c r="H29" s="26" t="s">
        <v>33</v>
      </c>
      <c r="I29" s="26" t="s">
        <v>34</v>
      </c>
      <c r="J29" s="26" t="s">
        <v>35</v>
      </c>
      <c r="K29" s="26" t="s">
        <v>36</v>
      </c>
      <c r="L29" s="26" t="s">
        <v>37</v>
      </c>
      <c r="M29" s="26" t="s">
        <v>38</v>
      </c>
    </row>
    <row r="30" spans="1:19" x14ac:dyDescent="0.25">
      <c r="A30" s="60"/>
      <c r="B30" s="75"/>
      <c r="C30" s="83"/>
      <c r="D30" s="75"/>
      <c r="E30" s="83"/>
      <c r="F30" s="75"/>
      <c r="G30" s="75"/>
      <c r="H30" s="83"/>
      <c r="I30" s="75"/>
      <c r="J30" s="35"/>
      <c r="K30" s="36"/>
      <c r="L30" s="35"/>
      <c r="M30" s="32"/>
      <c r="N30" s="80" t="e">
        <f>(F30-G30)/F30</f>
        <v>#DIV/0!</v>
      </c>
      <c r="O30" s="79" t="e">
        <f>F30*N30</f>
        <v>#DIV/0!</v>
      </c>
      <c r="Q30" s="80">
        <v>5.2633684252632394E-2</v>
      </c>
      <c r="R30" s="79">
        <f>F30*Q30</f>
        <v>0</v>
      </c>
      <c r="S30" s="79">
        <f>F30-R30</f>
        <v>0</v>
      </c>
    </row>
    <row r="31" spans="1:19" x14ac:dyDescent="0.25">
      <c r="A31" s="60"/>
      <c r="B31" s="75"/>
      <c r="C31" s="57"/>
      <c r="D31" s="71"/>
      <c r="E31" s="58"/>
      <c r="F31" s="77"/>
      <c r="G31" s="77"/>
      <c r="H31" s="59"/>
      <c r="I31" s="81"/>
      <c r="J31" s="35"/>
      <c r="K31" s="36"/>
      <c r="L31" s="35"/>
      <c r="M31" s="32"/>
      <c r="N31" s="80" t="e">
        <f>(F31-G31)/F31</f>
        <v>#DIV/0!</v>
      </c>
      <c r="O31" s="79" t="e">
        <f t="shared" ref="O31:O94" si="0">F31*N31</f>
        <v>#DIV/0!</v>
      </c>
      <c r="Q31" s="80">
        <v>0.15790315823159237</v>
      </c>
      <c r="R31" s="79">
        <f t="shared" ref="R31:R94" si="1">F31*Q31</f>
        <v>0</v>
      </c>
      <c r="S31" s="79">
        <f t="shared" ref="S31:S35" si="2">F31-R31</f>
        <v>0</v>
      </c>
    </row>
    <row r="32" spans="1:19" x14ac:dyDescent="0.25">
      <c r="A32" s="60"/>
      <c r="B32" s="75"/>
      <c r="C32" s="57"/>
      <c r="D32" s="71"/>
      <c r="E32" s="58"/>
      <c r="F32" s="77"/>
      <c r="G32" s="77"/>
      <c r="H32" s="59"/>
      <c r="I32" s="81"/>
      <c r="J32" s="35"/>
      <c r="K32" s="36"/>
      <c r="L32" s="35"/>
      <c r="M32" s="32"/>
      <c r="N32" s="80" t="e">
        <f t="shared" ref="N32:N95" si="3">(F32-G32)/F32</f>
        <v>#DIV/0!</v>
      </c>
      <c r="O32" s="79" t="e">
        <f t="shared" si="0"/>
        <v>#DIV/0!</v>
      </c>
      <c r="Q32" s="80">
        <v>0.12281286569201426</v>
      </c>
      <c r="R32" s="79">
        <f t="shared" si="1"/>
        <v>0</v>
      </c>
      <c r="S32" s="79">
        <f t="shared" si="2"/>
        <v>0</v>
      </c>
    </row>
    <row r="33" spans="1:19" x14ac:dyDescent="0.25">
      <c r="A33" s="60"/>
      <c r="B33" s="75"/>
      <c r="C33" s="57"/>
      <c r="D33" s="71"/>
      <c r="E33" s="58"/>
      <c r="F33" s="77"/>
      <c r="G33" s="77"/>
      <c r="H33" s="59"/>
      <c r="I33" s="81"/>
      <c r="J33" s="35"/>
      <c r="K33" s="36"/>
      <c r="L33" s="35"/>
      <c r="M33" s="32"/>
      <c r="N33" s="80" t="e">
        <f t="shared" si="3"/>
        <v>#DIV/0!</v>
      </c>
      <c r="O33" s="79" t="e">
        <f t="shared" si="0"/>
        <v>#DIV/0!</v>
      </c>
      <c r="Q33" s="80">
        <v>0.12281286569201426</v>
      </c>
      <c r="R33" s="79">
        <f t="shared" si="1"/>
        <v>0</v>
      </c>
      <c r="S33" s="79">
        <f t="shared" si="2"/>
        <v>0</v>
      </c>
    </row>
    <row r="34" spans="1:19" x14ac:dyDescent="0.25">
      <c r="A34" s="60"/>
      <c r="B34" s="75"/>
      <c r="C34" s="57"/>
      <c r="D34" s="71"/>
      <c r="E34" s="58"/>
      <c r="F34" s="78"/>
      <c r="G34" s="78"/>
      <c r="H34" s="59"/>
      <c r="I34" s="82"/>
      <c r="J34" s="35"/>
      <c r="K34" s="36"/>
      <c r="L34" s="35"/>
      <c r="M34" s="32"/>
      <c r="N34" s="80" t="e">
        <f t="shared" si="3"/>
        <v>#DIV/0!</v>
      </c>
      <c r="O34" s="79" t="e">
        <f t="shared" si="0"/>
        <v>#DIV/0!</v>
      </c>
      <c r="Q34" s="80"/>
      <c r="R34" s="79">
        <f t="shared" si="1"/>
        <v>0</v>
      </c>
      <c r="S34" s="79">
        <f t="shared" si="2"/>
        <v>0</v>
      </c>
    </row>
    <row r="35" spans="1:19" x14ac:dyDescent="0.25">
      <c r="A35" s="60"/>
      <c r="B35" s="75"/>
      <c r="C35" s="57"/>
      <c r="D35" s="71"/>
      <c r="E35" s="58"/>
      <c r="F35" s="78"/>
      <c r="G35" s="78"/>
      <c r="H35" s="59"/>
      <c r="I35" s="82"/>
      <c r="J35" s="35"/>
      <c r="K35" s="36"/>
      <c r="L35" s="35"/>
      <c r="M35" s="32"/>
      <c r="N35" s="80" t="e">
        <f t="shared" si="3"/>
        <v>#DIV/0!</v>
      </c>
      <c r="O35" s="79" t="e">
        <f t="shared" si="0"/>
        <v>#DIV/0!</v>
      </c>
      <c r="Q35" s="80"/>
      <c r="R35" s="79">
        <f t="shared" si="1"/>
        <v>0</v>
      </c>
      <c r="S35" s="79">
        <f t="shared" si="2"/>
        <v>0</v>
      </c>
    </row>
    <row r="36" spans="1:19" x14ac:dyDescent="0.25">
      <c r="A36" s="60"/>
      <c r="B36" s="75"/>
      <c r="C36" s="57"/>
      <c r="D36" s="71"/>
      <c r="E36" s="58"/>
      <c r="F36" s="78"/>
      <c r="G36" s="78"/>
      <c r="H36" s="59"/>
      <c r="I36" s="73"/>
      <c r="J36" s="35"/>
      <c r="K36" s="36"/>
      <c r="L36" s="35"/>
      <c r="M36" s="32"/>
      <c r="N36" s="80" t="e">
        <f t="shared" si="3"/>
        <v>#DIV/0!</v>
      </c>
      <c r="O36" s="79" t="e">
        <f t="shared" si="0"/>
        <v>#DIV/0!</v>
      </c>
      <c r="R36" s="79">
        <f t="shared" si="1"/>
        <v>0</v>
      </c>
    </row>
    <row r="37" spans="1:19" x14ac:dyDescent="0.25">
      <c r="A37" s="60"/>
      <c r="B37" s="75"/>
      <c r="C37" s="57"/>
      <c r="D37" s="71"/>
      <c r="E37" s="58"/>
      <c r="F37" s="78"/>
      <c r="G37" s="78"/>
      <c r="H37" s="59"/>
      <c r="I37" s="73"/>
      <c r="J37" s="35"/>
      <c r="K37" s="36"/>
      <c r="L37" s="35"/>
      <c r="M37" s="32"/>
      <c r="N37" s="80" t="e">
        <f t="shared" si="3"/>
        <v>#DIV/0!</v>
      </c>
      <c r="O37" s="79" t="e">
        <f t="shared" si="0"/>
        <v>#DIV/0!</v>
      </c>
      <c r="R37" s="79">
        <f t="shared" si="1"/>
        <v>0</v>
      </c>
    </row>
    <row r="38" spans="1:19" x14ac:dyDescent="0.25">
      <c r="A38" s="60"/>
      <c r="B38" s="75"/>
      <c r="C38" s="57"/>
      <c r="D38" s="71"/>
      <c r="E38" s="58"/>
      <c r="F38" s="78"/>
      <c r="G38" s="78"/>
      <c r="H38" s="59"/>
      <c r="I38" s="73"/>
      <c r="J38" s="35"/>
      <c r="K38" s="36"/>
      <c r="L38" s="35"/>
      <c r="M38" s="32"/>
      <c r="N38" s="80" t="e">
        <f t="shared" si="3"/>
        <v>#DIV/0!</v>
      </c>
      <c r="O38" s="79" t="e">
        <f t="shared" si="0"/>
        <v>#DIV/0!</v>
      </c>
      <c r="R38" s="79">
        <f t="shared" si="1"/>
        <v>0</v>
      </c>
    </row>
    <row r="39" spans="1:19" x14ac:dyDescent="0.25">
      <c r="A39" s="60"/>
      <c r="B39" s="75"/>
      <c r="C39" s="57"/>
      <c r="D39" s="71"/>
      <c r="E39" s="58"/>
      <c r="F39" s="78"/>
      <c r="G39" s="78"/>
      <c r="H39" s="59"/>
      <c r="I39" s="73"/>
      <c r="J39" s="35"/>
      <c r="K39" s="36"/>
      <c r="L39" s="35"/>
      <c r="M39" s="32"/>
      <c r="N39" s="80" t="e">
        <f t="shared" si="3"/>
        <v>#DIV/0!</v>
      </c>
      <c r="O39" s="79" t="e">
        <f t="shared" si="0"/>
        <v>#DIV/0!</v>
      </c>
      <c r="R39" s="79">
        <f t="shared" si="1"/>
        <v>0</v>
      </c>
    </row>
    <row r="40" spans="1:19" x14ac:dyDescent="0.25">
      <c r="A40" s="60"/>
      <c r="B40" s="75"/>
      <c r="C40" s="57"/>
      <c r="D40" s="71"/>
      <c r="E40" s="58"/>
      <c r="F40" s="78"/>
      <c r="G40" s="78"/>
      <c r="H40" s="59"/>
      <c r="I40" s="73"/>
      <c r="J40" s="35"/>
      <c r="K40" s="36"/>
      <c r="L40" s="35"/>
      <c r="M40" s="32"/>
      <c r="N40" s="80" t="e">
        <f t="shared" si="3"/>
        <v>#DIV/0!</v>
      </c>
      <c r="O40" s="79" t="e">
        <f t="shared" si="0"/>
        <v>#DIV/0!</v>
      </c>
      <c r="R40" s="79">
        <f t="shared" si="1"/>
        <v>0</v>
      </c>
    </row>
    <row r="41" spans="1:19" x14ac:dyDescent="0.25">
      <c r="A41" s="60"/>
      <c r="B41" s="75"/>
      <c r="C41" s="57"/>
      <c r="D41" s="71"/>
      <c r="E41" s="58"/>
      <c r="F41" s="78"/>
      <c r="G41" s="78"/>
      <c r="H41" s="59"/>
      <c r="I41" s="73"/>
      <c r="J41" s="35"/>
      <c r="K41" s="36"/>
      <c r="L41" s="35"/>
      <c r="M41" s="32"/>
      <c r="N41" s="80" t="e">
        <f t="shared" si="3"/>
        <v>#DIV/0!</v>
      </c>
      <c r="O41" s="79" t="e">
        <f t="shared" si="0"/>
        <v>#DIV/0!</v>
      </c>
      <c r="R41" s="79">
        <f t="shared" si="1"/>
        <v>0</v>
      </c>
    </row>
    <row r="42" spans="1:19" x14ac:dyDescent="0.25">
      <c r="A42" s="60"/>
      <c r="B42" s="75"/>
      <c r="C42" s="57"/>
      <c r="D42" s="71"/>
      <c r="E42" s="58"/>
      <c r="F42" s="78"/>
      <c r="G42" s="78"/>
      <c r="H42" s="59"/>
      <c r="I42" s="73"/>
      <c r="J42" s="35"/>
      <c r="K42" s="36"/>
      <c r="L42" s="35"/>
      <c r="M42" s="32"/>
      <c r="N42" s="80" t="e">
        <f t="shared" si="3"/>
        <v>#DIV/0!</v>
      </c>
      <c r="O42" s="79" t="e">
        <f t="shared" si="0"/>
        <v>#DIV/0!</v>
      </c>
      <c r="R42" s="79">
        <f t="shared" si="1"/>
        <v>0</v>
      </c>
    </row>
    <row r="43" spans="1:19" x14ac:dyDescent="0.25">
      <c r="A43" s="60"/>
      <c r="B43" s="75"/>
      <c r="C43" s="57"/>
      <c r="D43" s="71"/>
      <c r="E43" s="58"/>
      <c r="F43" s="78"/>
      <c r="G43" s="78"/>
      <c r="H43" s="59"/>
      <c r="I43" s="73"/>
      <c r="J43" s="35"/>
      <c r="K43" s="36"/>
      <c r="L43" s="35"/>
      <c r="M43" s="32"/>
      <c r="N43" s="80" t="e">
        <f t="shared" si="3"/>
        <v>#DIV/0!</v>
      </c>
      <c r="O43" s="79" t="e">
        <f t="shared" si="0"/>
        <v>#DIV/0!</v>
      </c>
      <c r="R43" s="79">
        <f t="shared" si="1"/>
        <v>0</v>
      </c>
    </row>
    <row r="44" spans="1:19" x14ac:dyDescent="0.25">
      <c r="A44" s="60"/>
      <c r="B44" s="75"/>
      <c r="C44" s="57"/>
      <c r="D44" s="71"/>
      <c r="E44" s="58"/>
      <c r="F44" s="78"/>
      <c r="G44" s="78"/>
      <c r="H44" s="59"/>
      <c r="I44" s="73"/>
      <c r="J44" s="35"/>
      <c r="K44" s="36"/>
      <c r="L44" s="35"/>
      <c r="M44" s="32"/>
      <c r="N44" s="80" t="e">
        <f t="shared" si="3"/>
        <v>#DIV/0!</v>
      </c>
      <c r="O44" s="79" t="e">
        <f t="shared" si="0"/>
        <v>#DIV/0!</v>
      </c>
      <c r="R44" s="79">
        <f t="shared" si="1"/>
        <v>0</v>
      </c>
    </row>
    <row r="45" spans="1:19" x14ac:dyDescent="0.25">
      <c r="A45" s="60"/>
      <c r="B45" s="75"/>
      <c r="C45" s="57"/>
      <c r="D45" s="71"/>
      <c r="E45" s="58"/>
      <c r="F45" s="78"/>
      <c r="G45" s="78"/>
      <c r="H45" s="59"/>
      <c r="I45" s="73"/>
      <c r="J45" s="35"/>
      <c r="K45" s="36"/>
      <c r="L45" s="35"/>
      <c r="M45" s="32"/>
      <c r="N45" s="80" t="e">
        <f t="shared" si="3"/>
        <v>#DIV/0!</v>
      </c>
      <c r="O45" s="79" t="e">
        <f t="shared" si="0"/>
        <v>#DIV/0!</v>
      </c>
      <c r="R45" s="79">
        <f t="shared" si="1"/>
        <v>0</v>
      </c>
    </row>
    <row r="46" spans="1:19" x14ac:dyDescent="0.25">
      <c r="A46" s="60"/>
      <c r="B46" s="75"/>
      <c r="C46" s="57"/>
      <c r="D46" s="71"/>
      <c r="E46" s="58"/>
      <c r="F46" s="78"/>
      <c r="G46" s="78"/>
      <c r="H46" s="59"/>
      <c r="I46" s="73"/>
      <c r="J46" s="35"/>
      <c r="K46" s="36"/>
      <c r="L46" s="35"/>
      <c r="M46" s="32"/>
      <c r="N46" s="80" t="e">
        <f t="shared" si="3"/>
        <v>#DIV/0!</v>
      </c>
      <c r="O46" s="79" t="e">
        <f t="shared" si="0"/>
        <v>#DIV/0!</v>
      </c>
      <c r="R46" s="79">
        <f t="shared" si="1"/>
        <v>0</v>
      </c>
    </row>
    <row r="47" spans="1:19" x14ac:dyDescent="0.25">
      <c r="A47" s="60"/>
      <c r="B47" s="75"/>
      <c r="C47" s="57"/>
      <c r="D47" s="71"/>
      <c r="E47" s="58"/>
      <c r="F47" s="78"/>
      <c r="G47" s="78"/>
      <c r="H47" s="59"/>
      <c r="I47" s="73"/>
      <c r="J47" s="35"/>
      <c r="K47" s="36"/>
      <c r="L47" s="35"/>
      <c r="M47" s="32"/>
      <c r="N47" s="80" t="e">
        <f t="shared" si="3"/>
        <v>#DIV/0!</v>
      </c>
      <c r="O47" s="79" t="e">
        <f t="shared" si="0"/>
        <v>#DIV/0!</v>
      </c>
      <c r="R47" s="79">
        <f t="shared" si="1"/>
        <v>0</v>
      </c>
    </row>
    <row r="48" spans="1:19" x14ac:dyDescent="0.25">
      <c r="A48" s="60"/>
      <c r="B48" s="75"/>
      <c r="C48" s="57"/>
      <c r="D48" s="71"/>
      <c r="E48" s="58"/>
      <c r="F48" s="78"/>
      <c r="G48" s="78"/>
      <c r="H48" s="59"/>
      <c r="I48" s="73"/>
      <c r="J48" s="35"/>
      <c r="K48" s="36"/>
      <c r="L48" s="35"/>
      <c r="M48" s="32"/>
      <c r="N48" s="80" t="e">
        <f t="shared" si="3"/>
        <v>#DIV/0!</v>
      </c>
      <c r="O48" s="79" t="e">
        <f t="shared" si="0"/>
        <v>#DIV/0!</v>
      </c>
      <c r="R48" s="79">
        <f t="shared" si="1"/>
        <v>0</v>
      </c>
    </row>
    <row r="49" spans="1:18" x14ac:dyDescent="0.25">
      <c r="A49" s="60"/>
      <c r="B49" s="75"/>
      <c r="C49" s="57"/>
      <c r="D49" s="71"/>
      <c r="E49" s="58"/>
      <c r="F49" s="78"/>
      <c r="G49" s="78"/>
      <c r="H49" s="59"/>
      <c r="I49" s="73"/>
      <c r="J49" s="35"/>
      <c r="K49" s="36"/>
      <c r="L49" s="35"/>
      <c r="M49" s="32"/>
      <c r="N49" s="80" t="e">
        <f t="shared" si="3"/>
        <v>#DIV/0!</v>
      </c>
      <c r="O49" s="79" t="e">
        <f t="shared" si="0"/>
        <v>#DIV/0!</v>
      </c>
      <c r="R49" s="79">
        <f t="shared" si="1"/>
        <v>0</v>
      </c>
    </row>
    <row r="50" spans="1:18" x14ac:dyDescent="0.25">
      <c r="A50" s="60"/>
      <c r="B50" s="75"/>
      <c r="C50" s="57"/>
      <c r="D50" s="71"/>
      <c r="E50" s="58"/>
      <c r="F50" s="78"/>
      <c r="G50" s="78"/>
      <c r="H50" s="59"/>
      <c r="I50" s="73"/>
      <c r="J50" s="35"/>
      <c r="K50" s="36"/>
      <c r="L50" s="35"/>
      <c r="M50" s="32"/>
      <c r="N50" s="80" t="e">
        <f t="shared" si="3"/>
        <v>#DIV/0!</v>
      </c>
      <c r="O50" s="79" t="e">
        <f t="shared" si="0"/>
        <v>#DIV/0!</v>
      </c>
      <c r="R50" s="79">
        <f t="shared" si="1"/>
        <v>0</v>
      </c>
    </row>
    <row r="51" spans="1:18" x14ac:dyDescent="0.25">
      <c r="A51" s="31"/>
      <c r="B51" s="75"/>
      <c r="C51" s="32"/>
      <c r="D51" s="71"/>
      <c r="E51" s="58"/>
      <c r="F51" s="78"/>
      <c r="G51" s="78"/>
      <c r="H51" s="34"/>
      <c r="I51" s="74"/>
      <c r="J51" s="35"/>
      <c r="K51" s="36"/>
      <c r="L51" s="35"/>
      <c r="M51" s="32"/>
      <c r="N51" s="80" t="e">
        <f t="shared" si="3"/>
        <v>#DIV/0!</v>
      </c>
      <c r="O51" s="79" t="e">
        <f t="shared" si="0"/>
        <v>#DIV/0!</v>
      </c>
      <c r="R51" s="79">
        <f t="shared" si="1"/>
        <v>0</v>
      </c>
    </row>
    <row r="52" spans="1:18" x14ac:dyDescent="0.25">
      <c r="A52" s="31"/>
      <c r="B52" s="75"/>
      <c r="C52" s="32"/>
      <c r="D52" s="71"/>
      <c r="E52" s="58"/>
      <c r="F52" s="78"/>
      <c r="G52" s="78"/>
      <c r="H52" s="34"/>
      <c r="I52" s="74"/>
      <c r="J52" s="35"/>
      <c r="K52" s="36"/>
      <c r="L52" s="35"/>
      <c r="M52" s="32"/>
      <c r="N52" s="80" t="e">
        <f t="shared" si="3"/>
        <v>#DIV/0!</v>
      </c>
      <c r="O52" s="79" t="e">
        <f t="shared" si="0"/>
        <v>#DIV/0!</v>
      </c>
      <c r="R52" s="79">
        <f t="shared" si="1"/>
        <v>0</v>
      </c>
    </row>
    <row r="53" spans="1:18" x14ac:dyDescent="0.25">
      <c r="A53" s="31"/>
      <c r="B53" s="75"/>
      <c r="C53" s="32"/>
      <c r="D53" s="71"/>
      <c r="E53" s="58"/>
      <c r="F53" s="78"/>
      <c r="G53" s="78"/>
      <c r="H53" s="34"/>
      <c r="I53" s="74"/>
      <c r="J53" s="35"/>
      <c r="K53" s="36"/>
      <c r="L53" s="35"/>
      <c r="M53" s="32"/>
      <c r="N53" s="80" t="e">
        <f t="shared" si="3"/>
        <v>#DIV/0!</v>
      </c>
      <c r="O53" s="79" t="e">
        <f t="shared" si="0"/>
        <v>#DIV/0!</v>
      </c>
      <c r="R53" s="79">
        <f t="shared" si="1"/>
        <v>0</v>
      </c>
    </row>
    <row r="54" spans="1:18" x14ac:dyDescent="0.25">
      <c r="A54" s="31"/>
      <c r="B54" s="75"/>
      <c r="C54" s="32"/>
      <c r="D54" s="71"/>
      <c r="E54" s="58"/>
      <c r="F54" s="78"/>
      <c r="G54" s="78"/>
      <c r="H54" s="34"/>
      <c r="I54" s="74"/>
      <c r="J54" s="35"/>
      <c r="K54" s="36"/>
      <c r="L54" s="35"/>
      <c r="M54" s="32"/>
      <c r="N54" s="80" t="e">
        <f t="shared" si="3"/>
        <v>#DIV/0!</v>
      </c>
      <c r="O54" s="79" t="e">
        <f t="shared" si="0"/>
        <v>#DIV/0!</v>
      </c>
      <c r="R54" s="79">
        <f t="shared" si="1"/>
        <v>0</v>
      </c>
    </row>
    <row r="55" spans="1:18" x14ac:dyDescent="0.25">
      <c r="A55" s="31"/>
      <c r="B55" s="75"/>
      <c r="C55" s="32"/>
      <c r="D55" s="72"/>
      <c r="E55" s="33"/>
      <c r="F55" s="74"/>
      <c r="G55" s="74"/>
      <c r="H55" s="34"/>
      <c r="I55" s="74"/>
      <c r="J55" s="35"/>
      <c r="K55" s="36"/>
      <c r="L55" s="35"/>
      <c r="M55" s="32"/>
      <c r="N55" s="80" t="e">
        <f t="shared" si="3"/>
        <v>#DIV/0!</v>
      </c>
      <c r="O55" s="79" t="e">
        <f t="shared" si="0"/>
        <v>#DIV/0!</v>
      </c>
      <c r="R55" s="79">
        <f t="shared" si="1"/>
        <v>0</v>
      </c>
    </row>
    <row r="56" spans="1:18" x14ac:dyDescent="0.25">
      <c r="A56" s="31"/>
      <c r="B56" s="75"/>
      <c r="C56" s="32"/>
      <c r="D56" s="72"/>
      <c r="E56" s="33"/>
      <c r="F56" s="74"/>
      <c r="G56" s="74"/>
      <c r="H56" s="34"/>
      <c r="I56" s="74"/>
      <c r="J56" s="35"/>
      <c r="K56" s="36"/>
      <c r="L56" s="35"/>
      <c r="M56" s="32"/>
      <c r="N56" s="80" t="e">
        <f t="shared" si="3"/>
        <v>#DIV/0!</v>
      </c>
      <c r="O56" s="79" t="e">
        <f t="shared" si="0"/>
        <v>#DIV/0!</v>
      </c>
      <c r="R56" s="79">
        <f t="shared" si="1"/>
        <v>0</v>
      </c>
    </row>
    <row r="57" spans="1:18" x14ac:dyDescent="0.25">
      <c r="A57" s="31"/>
      <c r="B57" s="75"/>
      <c r="C57" s="32"/>
      <c r="D57" s="72"/>
      <c r="E57" s="33"/>
      <c r="F57" s="74"/>
      <c r="G57" s="74"/>
      <c r="H57" s="34"/>
      <c r="I57" s="74"/>
      <c r="J57" s="35"/>
      <c r="K57" s="36"/>
      <c r="L57" s="35"/>
      <c r="M57" s="32"/>
      <c r="N57" s="80" t="e">
        <f t="shared" si="3"/>
        <v>#DIV/0!</v>
      </c>
      <c r="O57" s="79" t="e">
        <f t="shared" si="0"/>
        <v>#DIV/0!</v>
      </c>
      <c r="R57" s="79">
        <f t="shared" si="1"/>
        <v>0</v>
      </c>
    </row>
    <row r="58" spans="1:18" x14ac:dyDescent="0.25">
      <c r="A58" s="31"/>
      <c r="B58" s="75"/>
      <c r="C58" s="32"/>
      <c r="D58" s="72"/>
      <c r="E58" s="33"/>
      <c r="F58" s="74"/>
      <c r="G58" s="74"/>
      <c r="H58" s="34"/>
      <c r="I58" s="74"/>
      <c r="J58" s="35"/>
      <c r="K58" s="36"/>
      <c r="L58" s="35"/>
      <c r="M58" s="32"/>
      <c r="N58" s="80" t="e">
        <f t="shared" si="3"/>
        <v>#DIV/0!</v>
      </c>
      <c r="O58" s="79" t="e">
        <f t="shared" si="0"/>
        <v>#DIV/0!</v>
      </c>
      <c r="R58" s="79">
        <f t="shared" si="1"/>
        <v>0</v>
      </c>
    </row>
    <row r="59" spans="1:18" x14ac:dyDescent="0.25">
      <c r="A59" s="31"/>
      <c r="B59" s="75"/>
      <c r="C59" s="32"/>
      <c r="D59" s="72"/>
      <c r="E59" s="33"/>
      <c r="F59" s="74"/>
      <c r="G59" s="74"/>
      <c r="H59" s="34"/>
      <c r="I59" s="74"/>
      <c r="J59" s="35"/>
      <c r="K59" s="36"/>
      <c r="L59" s="35"/>
      <c r="M59" s="32"/>
      <c r="N59" s="80" t="e">
        <f t="shared" si="3"/>
        <v>#DIV/0!</v>
      </c>
      <c r="O59" s="79" t="e">
        <f t="shared" si="0"/>
        <v>#DIV/0!</v>
      </c>
      <c r="R59" s="79">
        <f t="shared" si="1"/>
        <v>0</v>
      </c>
    </row>
    <row r="60" spans="1:18" x14ac:dyDescent="0.25">
      <c r="A60" s="31"/>
      <c r="B60" s="75"/>
      <c r="C60" s="32"/>
      <c r="D60" s="72"/>
      <c r="E60" s="33"/>
      <c r="F60" s="74"/>
      <c r="G60" s="74"/>
      <c r="H60" s="34"/>
      <c r="I60" s="74"/>
      <c r="J60" s="35"/>
      <c r="K60" s="36"/>
      <c r="L60" s="35"/>
      <c r="M60" s="32"/>
      <c r="N60" s="80" t="e">
        <f t="shared" si="3"/>
        <v>#DIV/0!</v>
      </c>
      <c r="O60" s="79" t="e">
        <f t="shared" si="0"/>
        <v>#DIV/0!</v>
      </c>
      <c r="R60" s="79">
        <f t="shared" si="1"/>
        <v>0</v>
      </c>
    </row>
    <row r="61" spans="1:18" x14ac:dyDescent="0.25">
      <c r="A61" s="31"/>
      <c r="B61" s="75"/>
      <c r="C61" s="32"/>
      <c r="D61" s="72"/>
      <c r="E61" s="33"/>
      <c r="F61" s="74"/>
      <c r="G61" s="74"/>
      <c r="H61" s="34"/>
      <c r="I61" s="74"/>
      <c r="J61" s="35"/>
      <c r="K61" s="36"/>
      <c r="L61" s="35"/>
      <c r="M61" s="32"/>
      <c r="N61" s="80" t="e">
        <f t="shared" si="3"/>
        <v>#DIV/0!</v>
      </c>
      <c r="O61" s="79" t="e">
        <f t="shared" si="0"/>
        <v>#DIV/0!</v>
      </c>
      <c r="R61" s="79">
        <f t="shared" si="1"/>
        <v>0</v>
      </c>
    </row>
    <row r="62" spans="1:18" x14ac:dyDescent="0.25">
      <c r="A62" s="31"/>
      <c r="B62" s="75"/>
      <c r="C62" s="32"/>
      <c r="D62" s="72"/>
      <c r="E62" s="33"/>
      <c r="F62" s="74"/>
      <c r="G62" s="74"/>
      <c r="H62" s="34"/>
      <c r="I62" s="74"/>
      <c r="J62" s="35"/>
      <c r="K62" s="36"/>
      <c r="L62" s="35"/>
      <c r="M62" s="32"/>
      <c r="N62" s="80" t="e">
        <f t="shared" si="3"/>
        <v>#DIV/0!</v>
      </c>
      <c r="O62" s="79" t="e">
        <f t="shared" si="0"/>
        <v>#DIV/0!</v>
      </c>
      <c r="R62" s="79">
        <f t="shared" si="1"/>
        <v>0</v>
      </c>
    </row>
    <row r="63" spans="1:18" x14ac:dyDescent="0.25">
      <c r="A63" s="31"/>
      <c r="B63" s="75"/>
      <c r="C63" s="32"/>
      <c r="D63" s="72"/>
      <c r="E63" s="33"/>
      <c r="F63" s="74"/>
      <c r="G63" s="74"/>
      <c r="H63" s="34"/>
      <c r="I63" s="74"/>
      <c r="J63" s="35"/>
      <c r="K63" s="36"/>
      <c r="L63" s="35"/>
      <c r="M63" s="32"/>
      <c r="N63" s="80" t="e">
        <f t="shared" si="3"/>
        <v>#DIV/0!</v>
      </c>
      <c r="O63" s="79" t="e">
        <f t="shared" si="0"/>
        <v>#DIV/0!</v>
      </c>
      <c r="R63" s="79">
        <f t="shared" si="1"/>
        <v>0</v>
      </c>
    </row>
    <row r="64" spans="1:18" x14ac:dyDescent="0.25">
      <c r="A64" s="31"/>
      <c r="B64" s="75"/>
      <c r="C64" s="32"/>
      <c r="D64" s="72"/>
      <c r="E64" s="33"/>
      <c r="F64" s="74"/>
      <c r="G64" s="74"/>
      <c r="H64" s="34"/>
      <c r="I64" s="74"/>
      <c r="J64" s="35"/>
      <c r="K64" s="36"/>
      <c r="L64" s="35"/>
      <c r="M64" s="32"/>
      <c r="N64" s="80" t="e">
        <f t="shared" si="3"/>
        <v>#DIV/0!</v>
      </c>
      <c r="O64" s="79" t="e">
        <f t="shared" si="0"/>
        <v>#DIV/0!</v>
      </c>
      <c r="R64" s="79">
        <f t="shared" si="1"/>
        <v>0</v>
      </c>
    </row>
    <row r="65" spans="1:18" x14ac:dyDescent="0.25">
      <c r="A65" s="31"/>
      <c r="B65" s="75"/>
      <c r="C65" s="32"/>
      <c r="D65" s="72"/>
      <c r="E65" s="33"/>
      <c r="F65" s="74"/>
      <c r="G65" s="74"/>
      <c r="H65" s="34"/>
      <c r="I65" s="74"/>
      <c r="J65" s="35"/>
      <c r="K65" s="36"/>
      <c r="L65" s="35"/>
      <c r="M65" s="32"/>
      <c r="N65" s="80" t="e">
        <f t="shared" si="3"/>
        <v>#DIV/0!</v>
      </c>
      <c r="O65" s="79" t="e">
        <f t="shared" si="0"/>
        <v>#DIV/0!</v>
      </c>
      <c r="R65" s="79">
        <f t="shared" si="1"/>
        <v>0</v>
      </c>
    </row>
    <row r="66" spans="1:18" x14ac:dyDescent="0.25">
      <c r="A66" s="31"/>
      <c r="B66" s="75"/>
      <c r="C66" s="32"/>
      <c r="D66" s="72"/>
      <c r="E66" s="33"/>
      <c r="F66" s="74"/>
      <c r="G66" s="74"/>
      <c r="H66" s="34"/>
      <c r="I66" s="74"/>
      <c r="J66" s="35"/>
      <c r="K66" s="36"/>
      <c r="L66" s="35"/>
      <c r="M66" s="32"/>
      <c r="N66" s="80" t="e">
        <f t="shared" si="3"/>
        <v>#DIV/0!</v>
      </c>
      <c r="O66" s="79" t="e">
        <f t="shared" si="0"/>
        <v>#DIV/0!</v>
      </c>
      <c r="R66" s="79">
        <f t="shared" si="1"/>
        <v>0</v>
      </c>
    </row>
    <row r="67" spans="1:18" x14ac:dyDescent="0.25">
      <c r="A67" s="31"/>
      <c r="B67" s="75"/>
      <c r="C67" s="32"/>
      <c r="D67" s="72"/>
      <c r="E67" s="33"/>
      <c r="F67" s="74"/>
      <c r="G67" s="74"/>
      <c r="H67" s="34"/>
      <c r="I67" s="74"/>
      <c r="J67" s="35"/>
      <c r="K67" s="36"/>
      <c r="L67" s="35"/>
      <c r="M67" s="32"/>
      <c r="N67" s="80" t="e">
        <f t="shared" si="3"/>
        <v>#DIV/0!</v>
      </c>
      <c r="O67" s="79" t="e">
        <f t="shared" si="0"/>
        <v>#DIV/0!</v>
      </c>
      <c r="R67" s="79">
        <f t="shared" si="1"/>
        <v>0</v>
      </c>
    </row>
    <row r="68" spans="1:18" x14ac:dyDescent="0.25">
      <c r="A68" s="31"/>
      <c r="B68" s="75"/>
      <c r="C68" s="32"/>
      <c r="D68" s="72"/>
      <c r="E68" s="33"/>
      <c r="F68" s="74"/>
      <c r="G68" s="74"/>
      <c r="H68" s="34"/>
      <c r="I68" s="74"/>
      <c r="J68" s="35"/>
      <c r="K68" s="36"/>
      <c r="L68" s="35"/>
      <c r="M68" s="32"/>
      <c r="N68" s="80" t="e">
        <f t="shared" si="3"/>
        <v>#DIV/0!</v>
      </c>
      <c r="O68" s="79" t="e">
        <f t="shared" si="0"/>
        <v>#DIV/0!</v>
      </c>
      <c r="R68" s="79">
        <f t="shared" si="1"/>
        <v>0</v>
      </c>
    </row>
    <row r="69" spans="1:18" x14ac:dyDescent="0.25">
      <c r="A69" s="31"/>
      <c r="B69" s="75"/>
      <c r="C69" s="32"/>
      <c r="D69" s="72"/>
      <c r="E69" s="33"/>
      <c r="F69" s="74"/>
      <c r="G69" s="74"/>
      <c r="H69" s="34"/>
      <c r="I69" s="74"/>
      <c r="J69" s="35"/>
      <c r="K69" s="36"/>
      <c r="L69" s="35"/>
      <c r="M69" s="32"/>
      <c r="N69" s="80" t="e">
        <f t="shared" si="3"/>
        <v>#DIV/0!</v>
      </c>
      <c r="O69" s="79" t="e">
        <f t="shared" si="0"/>
        <v>#DIV/0!</v>
      </c>
      <c r="R69" s="79">
        <f t="shared" si="1"/>
        <v>0</v>
      </c>
    </row>
    <row r="70" spans="1:18" x14ac:dyDescent="0.25">
      <c r="A70" s="31"/>
      <c r="B70" s="75"/>
      <c r="C70" s="32"/>
      <c r="D70" s="72"/>
      <c r="E70" s="33"/>
      <c r="F70" s="74"/>
      <c r="G70" s="74"/>
      <c r="H70" s="34"/>
      <c r="I70" s="74"/>
      <c r="J70" s="35"/>
      <c r="K70" s="36"/>
      <c r="L70" s="35"/>
      <c r="M70" s="32"/>
      <c r="N70" s="80" t="e">
        <f t="shared" si="3"/>
        <v>#DIV/0!</v>
      </c>
      <c r="O70" s="79" t="e">
        <f t="shared" si="0"/>
        <v>#DIV/0!</v>
      </c>
      <c r="R70" s="79">
        <f t="shared" si="1"/>
        <v>0</v>
      </c>
    </row>
    <row r="71" spans="1:18" x14ac:dyDescent="0.25">
      <c r="A71" s="31"/>
      <c r="B71" s="75"/>
      <c r="C71" s="32"/>
      <c r="D71" s="72"/>
      <c r="E71" s="33"/>
      <c r="F71" s="74"/>
      <c r="G71" s="74"/>
      <c r="H71" s="34"/>
      <c r="I71" s="74"/>
      <c r="J71" s="35"/>
      <c r="K71" s="36"/>
      <c r="L71" s="35"/>
      <c r="M71" s="32"/>
      <c r="N71" s="80" t="e">
        <f t="shared" si="3"/>
        <v>#DIV/0!</v>
      </c>
      <c r="O71" s="79" t="e">
        <f t="shared" si="0"/>
        <v>#DIV/0!</v>
      </c>
      <c r="R71" s="79">
        <f t="shared" si="1"/>
        <v>0</v>
      </c>
    </row>
    <row r="72" spans="1:18" x14ac:dyDescent="0.25">
      <c r="A72" s="31"/>
      <c r="B72" s="75"/>
      <c r="C72" s="32"/>
      <c r="D72" s="72"/>
      <c r="E72" s="33"/>
      <c r="F72" s="74"/>
      <c r="G72" s="74"/>
      <c r="H72" s="34"/>
      <c r="I72" s="74"/>
      <c r="J72" s="35"/>
      <c r="K72" s="36"/>
      <c r="L72" s="35"/>
      <c r="M72" s="32"/>
      <c r="N72" s="80" t="e">
        <f t="shared" si="3"/>
        <v>#DIV/0!</v>
      </c>
      <c r="O72" s="79" t="e">
        <f t="shared" si="0"/>
        <v>#DIV/0!</v>
      </c>
      <c r="R72" s="79">
        <f t="shared" si="1"/>
        <v>0</v>
      </c>
    </row>
    <row r="73" spans="1:18" x14ac:dyDescent="0.25">
      <c r="A73" s="31"/>
      <c r="B73" s="75"/>
      <c r="C73" s="32"/>
      <c r="D73" s="72"/>
      <c r="E73" s="33"/>
      <c r="F73" s="74"/>
      <c r="G73" s="74"/>
      <c r="H73" s="34"/>
      <c r="I73" s="74"/>
      <c r="J73" s="35"/>
      <c r="K73" s="36"/>
      <c r="L73" s="35"/>
      <c r="M73" s="32"/>
      <c r="N73" s="80" t="e">
        <f t="shared" si="3"/>
        <v>#DIV/0!</v>
      </c>
      <c r="O73" s="79" t="e">
        <f t="shared" si="0"/>
        <v>#DIV/0!</v>
      </c>
      <c r="R73" s="79">
        <f t="shared" si="1"/>
        <v>0</v>
      </c>
    </row>
    <row r="74" spans="1:18" x14ac:dyDescent="0.25">
      <c r="A74" s="31"/>
      <c r="B74" s="75"/>
      <c r="C74" s="32"/>
      <c r="D74" s="72"/>
      <c r="E74" s="33"/>
      <c r="F74" s="74"/>
      <c r="G74" s="74"/>
      <c r="H74" s="34"/>
      <c r="I74" s="74"/>
      <c r="J74" s="35"/>
      <c r="K74" s="36"/>
      <c r="L74" s="35"/>
      <c r="M74" s="32"/>
      <c r="N74" s="80" t="e">
        <f t="shared" si="3"/>
        <v>#DIV/0!</v>
      </c>
      <c r="O74" s="79" t="e">
        <f t="shared" si="0"/>
        <v>#DIV/0!</v>
      </c>
      <c r="R74" s="79">
        <f t="shared" si="1"/>
        <v>0</v>
      </c>
    </row>
    <row r="75" spans="1:18" x14ac:dyDescent="0.25">
      <c r="A75" s="31"/>
      <c r="B75" s="75"/>
      <c r="C75" s="32"/>
      <c r="D75" s="72"/>
      <c r="E75" s="33"/>
      <c r="F75" s="74"/>
      <c r="G75" s="74"/>
      <c r="H75" s="34"/>
      <c r="I75" s="74"/>
      <c r="J75" s="35"/>
      <c r="K75" s="36"/>
      <c r="L75" s="35"/>
      <c r="M75" s="32"/>
      <c r="N75" s="80" t="e">
        <f t="shared" si="3"/>
        <v>#DIV/0!</v>
      </c>
      <c r="O75" s="79" t="e">
        <f t="shared" si="0"/>
        <v>#DIV/0!</v>
      </c>
      <c r="R75" s="79">
        <f t="shared" si="1"/>
        <v>0</v>
      </c>
    </row>
    <row r="76" spans="1:18" x14ac:dyDescent="0.25">
      <c r="A76" s="31"/>
      <c r="B76" s="75"/>
      <c r="C76" s="32"/>
      <c r="D76" s="72"/>
      <c r="E76" s="33"/>
      <c r="F76" s="74"/>
      <c r="G76" s="74"/>
      <c r="H76" s="34"/>
      <c r="I76" s="74"/>
      <c r="J76" s="35"/>
      <c r="K76" s="36"/>
      <c r="L76" s="35"/>
      <c r="M76" s="32"/>
      <c r="N76" s="80" t="e">
        <f t="shared" si="3"/>
        <v>#DIV/0!</v>
      </c>
      <c r="O76" s="79" t="e">
        <f t="shared" si="0"/>
        <v>#DIV/0!</v>
      </c>
      <c r="R76" s="79">
        <f t="shared" si="1"/>
        <v>0</v>
      </c>
    </row>
    <row r="77" spans="1:18" x14ac:dyDescent="0.25">
      <c r="A77" s="31"/>
      <c r="B77" s="75"/>
      <c r="C77" s="32"/>
      <c r="D77" s="72"/>
      <c r="E77" s="33"/>
      <c r="F77" s="74"/>
      <c r="G77" s="74"/>
      <c r="H77" s="34"/>
      <c r="I77" s="74"/>
      <c r="J77" s="35"/>
      <c r="K77" s="36"/>
      <c r="L77" s="35"/>
      <c r="M77" s="32"/>
      <c r="N77" s="80" t="e">
        <f t="shared" si="3"/>
        <v>#DIV/0!</v>
      </c>
      <c r="O77" s="79" t="e">
        <f t="shared" si="0"/>
        <v>#DIV/0!</v>
      </c>
      <c r="R77" s="79">
        <f t="shared" si="1"/>
        <v>0</v>
      </c>
    </row>
    <row r="78" spans="1:18" x14ac:dyDescent="0.25">
      <c r="A78" s="31"/>
      <c r="B78" s="75"/>
      <c r="C78" s="32"/>
      <c r="D78" s="72"/>
      <c r="E78" s="33"/>
      <c r="F78" s="74"/>
      <c r="G78" s="74"/>
      <c r="H78" s="34"/>
      <c r="I78" s="74"/>
      <c r="J78" s="35"/>
      <c r="K78" s="36"/>
      <c r="L78" s="35"/>
      <c r="M78" s="32"/>
      <c r="N78" s="80" t="e">
        <f t="shared" si="3"/>
        <v>#DIV/0!</v>
      </c>
      <c r="O78" s="79" t="e">
        <f t="shared" si="0"/>
        <v>#DIV/0!</v>
      </c>
      <c r="R78" s="79">
        <f t="shared" si="1"/>
        <v>0</v>
      </c>
    </row>
    <row r="79" spans="1:18" x14ac:dyDescent="0.25">
      <c r="A79" s="31"/>
      <c r="B79" s="76"/>
      <c r="C79" s="32"/>
      <c r="D79" s="72"/>
      <c r="E79" s="33"/>
      <c r="F79" s="74"/>
      <c r="G79" s="74"/>
      <c r="H79" s="34"/>
      <c r="I79" s="74"/>
      <c r="J79" s="35"/>
      <c r="K79" s="36"/>
      <c r="L79" s="35"/>
      <c r="M79" s="32"/>
      <c r="N79" s="80" t="e">
        <f t="shared" si="3"/>
        <v>#DIV/0!</v>
      </c>
      <c r="O79" s="79" t="e">
        <f t="shared" si="0"/>
        <v>#DIV/0!</v>
      </c>
      <c r="R79" s="79">
        <f t="shared" si="1"/>
        <v>0</v>
      </c>
    </row>
    <row r="80" spans="1:18" x14ac:dyDescent="0.25">
      <c r="A80" s="31"/>
      <c r="B80" s="76"/>
      <c r="C80" s="32"/>
      <c r="D80" s="72"/>
      <c r="E80" s="33"/>
      <c r="F80" s="74"/>
      <c r="G80" s="74"/>
      <c r="H80" s="34"/>
      <c r="I80" s="74"/>
      <c r="J80" s="35"/>
      <c r="K80" s="36"/>
      <c r="L80" s="35"/>
      <c r="M80" s="32"/>
      <c r="N80" s="80" t="e">
        <f t="shared" si="3"/>
        <v>#DIV/0!</v>
      </c>
      <c r="O80" s="79" t="e">
        <f t="shared" si="0"/>
        <v>#DIV/0!</v>
      </c>
      <c r="R80" s="79">
        <f t="shared" si="1"/>
        <v>0</v>
      </c>
    </row>
    <row r="81" spans="1:18" x14ac:dyDescent="0.25">
      <c r="A81" s="31"/>
      <c r="B81" s="76"/>
      <c r="C81" s="32"/>
      <c r="D81" s="72"/>
      <c r="E81" s="33"/>
      <c r="F81" s="74"/>
      <c r="G81" s="74"/>
      <c r="H81" s="34"/>
      <c r="I81" s="74"/>
      <c r="J81" s="35"/>
      <c r="K81" s="36"/>
      <c r="L81" s="35"/>
      <c r="M81" s="32"/>
      <c r="N81" s="80" t="e">
        <f t="shared" si="3"/>
        <v>#DIV/0!</v>
      </c>
      <c r="O81" s="79" t="e">
        <f t="shared" si="0"/>
        <v>#DIV/0!</v>
      </c>
      <c r="R81" s="79">
        <f t="shared" si="1"/>
        <v>0</v>
      </c>
    </row>
    <row r="82" spans="1:18" x14ac:dyDescent="0.25">
      <c r="A82" s="31"/>
      <c r="B82" s="76"/>
      <c r="C82" s="32"/>
      <c r="D82" s="72"/>
      <c r="E82" s="33"/>
      <c r="F82" s="74"/>
      <c r="G82" s="74"/>
      <c r="H82" s="34"/>
      <c r="I82" s="74"/>
      <c r="J82" s="35"/>
      <c r="K82" s="36"/>
      <c r="L82" s="35"/>
      <c r="M82" s="32"/>
      <c r="N82" s="80" t="e">
        <f t="shared" si="3"/>
        <v>#DIV/0!</v>
      </c>
      <c r="O82" s="79" t="e">
        <f t="shared" si="0"/>
        <v>#DIV/0!</v>
      </c>
      <c r="R82" s="79">
        <f t="shared" si="1"/>
        <v>0</v>
      </c>
    </row>
    <row r="83" spans="1:18" x14ac:dyDescent="0.25">
      <c r="A83" s="31"/>
      <c r="B83" s="76"/>
      <c r="C83" s="32"/>
      <c r="D83" s="72"/>
      <c r="E83" s="33"/>
      <c r="F83" s="74"/>
      <c r="G83" s="74"/>
      <c r="H83" s="34"/>
      <c r="I83" s="74"/>
      <c r="J83" s="35"/>
      <c r="K83" s="36"/>
      <c r="L83" s="35"/>
      <c r="M83" s="32"/>
      <c r="N83" s="80" t="e">
        <f t="shared" si="3"/>
        <v>#DIV/0!</v>
      </c>
      <c r="O83" s="79" t="e">
        <f t="shared" si="0"/>
        <v>#DIV/0!</v>
      </c>
      <c r="R83" s="79">
        <f t="shared" si="1"/>
        <v>0</v>
      </c>
    </row>
    <row r="84" spans="1:18" x14ac:dyDescent="0.25">
      <c r="A84" s="31"/>
      <c r="B84" s="76"/>
      <c r="C84" s="32"/>
      <c r="D84" s="72"/>
      <c r="E84" s="33"/>
      <c r="F84" s="74"/>
      <c r="G84" s="74"/>
      <c r="H84" s="34"/>
      <c r="I84" s="74"/>
      <c r="J84" s="35"/>
      <c r="K84" s="36"/>
      <c r="L84" s="35"/>
      <c r="M84" s="32"/>
      <c r="N84" s="80" t="e">
        <f t="shared" si="3"/>
        <v>#DIV/0!</v>
      </c>
      <c r="O84" s="79" t="e">
        <f t="shared" si="0"/>
        <v>#DIV/0!</v>
      </c>
      <c r="R84" s="79">
        <f t="shared" si="1"/>
        <v>0</v>
      </c>
    </row>
    <row r="85" spans="1:18" x14ac:dyDescent="0.25">
      <c r="A85" s="31"/>
      <c r="B85" s="76"/>
      <c r="C85" s="32"/>
      <c r="D85" s="72"/>
      <c r="E85" s="33"/>
      <c r="F85" s="74"/>
      <c r="G85" s="74"/>
      <c r="H85" s="34"/>
      <c r="I85" s="74"/>
      <c r="J85" s="35"/>
      <c r="K85" s="36"/>
      <c r="L85" s="35"/>
      <c r="M85" s="32"/>
      <c r="N85" s="80" t="e">
        <f t="shared" si="3"/>
        <v>#DIV/0!</v>
      </c>
      <c r="O85" s="79" t="e">
        <f t="shared" si="0"/>
        <v>#DIV/0!</v>
      </c>
      <c r="R85" s="79">
        <f t="shared" si="1"/>
        <v>0</v>
      </c>
    </row>
    <row r="86" spans="1:18" x14ac:dyDescent="0.25">
      <c r="A86" s="31"/>
      <c r="B86" s="76"/>
      <c r="C86" s="32"/>
      <c r="D86" s="72"/>
      <c r="E86" s="33"/>
      <c r="F86" s="74"/>
      <c r="G86" s="74"/>
      <c r="H86" s="34"/>
      <c r="I86" s="74"/>
      <c r="J86" s="35"/>
      <c r="K86" s="36"/>
      <c r="L86" s="35"/>
      <c r="M86" s="32"/>
      <c r="N86" s="80" t="e">
        <f t="shared" si="3"/>
        <v>#DIV/0!</v>
      </c>
      <c r="O86" s="79" t="e">
        <f t="shared" si="0"/>
        <v>#DIV/0!</v>
      </c>
      <c r="R86" s="79">
        <f t="shared" si="1"/>
        <v>0</v>
      </c>
    </row>
    <row r="87" spans="1:18" x14ac:dyDescent="0.25">
      <c r="A87" s="31"/>
      <c r="B87" s="76"/>
      <c r="C87" s="32"/>
      <c r="D87" s="72"/>
      <c r="E87" s="33"/>
      <c r="F87" s="74"/>
      <c r="G87" s="74"/>
      <c r="H87" s="34"/>
      <c r="I87" s="74"/>
      <c r="J87" s="35"/>
      <c r="K87" s="36"/>
      <c r="L87" s="35"/>
      <c r="M87" s="32"/>
      <c r="N87" s="80" t="e">
        <f t="shared" si="3"/>
        <v>#DIV/0!</v>
      </c>
      <c r="O87" s="79" t="e">
        <f t="shared" si="0"/>
        <v>#DIV/0!</v>
      </c>
      <c r="R87" s="79">
        <f t="shared" si="1"/>
        <v>0</v>
      </c>
    </row>
    <row r="88" spans="1:18" x14ac:dyDescent="0.25">
      <c r="A88" s="31"/>
      <c r="B88" s="76"/>
      <c r="C88" s="32"/>
      <c r="D88" s="72"/>
      <c r="E88" s="33"/>
      <c r="F88" s="74"/>
      <c r="G88" s="74"/>
      <c r="H88" s="34"/>
      <c r="I88" s="74"/>
      <c r="J88" s="35"/>
      <c r="K88" s="36"/>
      <c r="L88" s="35"/>
      <c r="M88" s="32"/>
      <c r="N88" s="80" t="e">
        <f t="shared" si="3"/>
        <v>#DIV/0!</v>
      </c>
      <c r="O88" s="79" t="e">
        <f t="shared" si="0"/>
        <v>#DIV/0!</v>
      </c>
      <c r="R88" s="79">
        <f t="shared" si="1"/>
        <v>0</v>
      </c>
    </row>
    <row r="89" spans="1:18" x14ac:dyDescent="0.25">
      <c r="A89" s="31"/>
      <c r="B89" s="76"/>
      <c r="C89" s="32"/>
      <c r="D89" s="72"/>
      <c r="E89" s="33"/>
      <c r="F89" s="74"/>
      <c r="G89" s="74"/>
      <c r="H89" s="34"/>
      <c r="I89" s="74"/>
      <c r="J89" s="35"/>
      <c r="K89" s="36"/>
      <c r="L89" s="35"/>
      <c r="M89" s="32"/>
      <c r="N89" s="80" t="e">
        <f t="shared" si="3"/>
        <v>#DIV/0!</v>
      </c>
      <c r="O89" s="79" t="e">
        <f t="shared" si="0"/>
        <v>#DIV/0!</v>
      </c>
      <c r="R89" s="79">
        <f t="shared" si="1"/>
        <v>0</v>
      </c>
    </row>
    <row r="90" spans="1:18" x14ac:dyDescent="0.25">
      <c r="A90" s="31"/>
      <c r="B90" s="76"/>
      <c r="C90" s="32"/>
      <c r="D90" s="72"/>
      <c r="E90" s="33"/>
      <c r="F90" s="74"/>
      <c r="G90" s="74"/>
      <c r="H90" s="34"/>
      <c r="I90" s="74"/>
      <c r="J90" s="35"/>
      <c r="K90" s="36"/>
      <c r="L90" s="35"/>
      <c r="M90" s="32"/>
      <c r="N90" s="80" t="e">
        <f t="shared" si="3"/>
        <v>#DIV/0!</v>
      </c>
      <c r="O90" s="79" t="e">
        <f t="shared" si="0"/>
        <v>#DIV/0!</v>
      </c>
      <c r="R90" s="79">
        <f t="shared" si="1"/>
        <v>0</v>
      </c>
    </row>
    <row r="91" spans="1:18" x14ac:dyDescent="0.25">
      <c r="A91" s="31"/>
      <c r="B91" s="76"/>
      <c r="C91" s="32"/>
      <c r="D91" s="72"/>
      <c r="E91" s="33"/>
      <c r="F91" s="74"/>
      <c r="G91" s="74"/>
      <c r="H91" s="34"/>
      <c r="I91" s="74"/>
      <c r="J91" s="35"/>
      <c r="K91" s="36"/>
      <c r="L91" s="35"/>
      <c r="M91" s="32"/>
      <c r="N91" s="80" t="e">
        <f t="shared" si="3"/>
        <v>#DIV/0!</v>
      </c>
      <c r="O91" s="79" t="e">
        <f t="shared" si="0"/>
        <v>#DIV/0!</v>
      </c>
      <c r="R91" s="79">
        <f t="shared" si="1"/>
        <v>0</v>
      </c>
    </row>
    <row r="92" spans="1:18" x14ac:dyDescent="0.25">
      <c r="A92" s="31"/>
      <c r="B92" s="76"/>
      <c r="C92" s="32"/>
      <c r="D92" s="72"/>
      <c r="E92" s="33"/>
      <c r="F92" s="74"/>
      <c r="G92" s="74"/>
      <c r="H92" s="34"/>
      <c r="I92" s="74"/>
      <c r="J92" s="35"/>
      <c r="K92" s="36"/>
      <c r="L92" s="35"/>
      <c r="M92" s="32"/>
      <c r="N92" s="80" t="e">
        <f t="shared" si="3"/>
        <v>#DIV/0!</v>
      </c>
      <c r="O92" s="79" t="e">
        <f t="shared" si="0"/>
        <v>#DIV/0!</v>
      </c>
      <c r="R92" s="79">
        <f t="shared" si="1"/>
        <v>0</v>
      </c>
    </row>
    <row r="93" spans="1:18" x14ac:dyDescent="0.25">
      <c r="A93" s="31"/>
      <c r="B93" s="76"/>
      <c r="C93" s="32"/>
      <c r="D93" s="72"/>
      <c r="E93" s="33"/>
      <c r="F93" s="74"/>
      <c r="G93" s="74"/>
      <c r="H93" s="34"/>
      <c r="I93" s="74"/>
      <c r="J93" s="35"/>
      <c r="K93" s="36"/>
      <c r="L93" s="35"/>
      <c r="M93" s="32"/>
      <c r="N93" s="80" t="e">
        <f t="shared" si="3"/>
        <v>#DIV/0!</v>
      </c>
      <c r="O93" s="79" t="e">
        <f t="shared" si="0"/>
        <v>#DIV/0!</v>
      </c>
      <c r="R93" s="79">
        <f t="shared" si="1"/>
        <v>0</v>
      </c>
    </row>
    <row r="94" spans="1:18" x14ac:dyDescent="0.25">
      <c r="A94" s="31"/>
      <c r="B94" s="76"/>
      <c r="C94" s="32"/>
      <c r="D94" s="72"/>
      <c r="E94" s="33"/>
      <c r="F94" s="74"/>
      <c r="G94" s="74"/>
      <c r="H94" s="34"/>
      <c r="I94" s="74"/>
      <c r="J94" s="35"/>
      <c r="K94" s="36"/>
      <c r="L94" s="35"/>
      <c r="M94" s="32"/>
      <c r="N94" s="80" t="e">
        <f t="shared" si="3"/>
        <v>#DIV/0!</v>
      </c>
      <c r="O94" s="79" t="e">
        <f t="shared" si="0"/>
        <v>#DIV/0!</v>
      </c>
      <c r="R94" s="79">
        <f t="shared" si="1"/>
        <v>0</v>
      </c>
    </row>
    <row r="95" spans="1:18" x14ac:dyDescent="0.25">
      <c r="A95" s="31"/>
      <c r="B95" s="76"/>
      <c r="C95" s="32"/>
      <c r="D95" s="72"/>
      <c r="E95" s="33"/>
      <c r="F95" s="74"/>
      <c r="G95" s="74"/>
      <c r="H95" s="34"/>
      <c r="I95" s="74"/>
      <c r="J95" s="35"/>
      <c r="K95" s="36"/>
      <c r="L95" s="35"/>
      <c r="M95" s="32"/>
      <c r="N95" s="80" t="e">
        <f t="shared" si="3"/>
        <v>#DIV/0!</v>
      </c>
      <c r="O95" s="79" t="e">
        <f t="shared" ref="O95:O158" si="4">F95*N95</f>
        <v>#DIV/0!</v>
      </c>
      <c r="R95" s="79">
        <f t="shared" ref="R95:R158" si="5">F95*Q95</f>
        <v>0</v>
      </c>
    </row>
    <row r="96" spans="1:18" x14ac:dyDescent="0.25">
      <c r="A96" s="31"/>
      <c r="B96" s="76"/>
      <c r="C96" s="32"/>
      <c r="D96" s="72"/>
      <c r="E96" s="33"/>
      <c r="F96" s="74"/>
      <c r="G96" s="74"/>
      <c r="H96" s="34"/>
      <c r="I96" s="74"/>
      <c r="J96" s="35"/>
      <c r="K96" s="36"/>
      <c r="L96" s="35"/>
      <c r="M96" s="32"/>
      <c r="N96" s="80" t="e">
        <f t="shared" ref="N96:N159" si="6">(F96-G96)/F96</f>
        <v>#DIV/0!</v>
      </c>
      <c r="O96" s="79" t="e">
        <f t="shared" si="4"/>
        <v>#DIV/0!</v>
      </c>
      <c r="R96" s="79">
        <f t="shared" si="5"/>
        <v>0</v>
      </c>
    </row>
    <row r="97" spans="1:18" x14ac:dyDescent="0.25">
      <c r="A97" s="31"/>
      <c r="B97" s="76"/>
      <c r="C97" s="32"/>
      <c r="D97" s="72"/>
      <c r="E97" s="33"/>
      <c r="F97" s="74"/>
      <c r="G97" s="74"/>
      <c r="H97" s="34"/>
      <c r="I97" s="74"/>
      <c r="J97" s="35"/>
      <c r="K97" s="36"/>
      <c r="L97" s="35"/>
      <c r="M97" s="32"/>
      <c r="N97" s="80" t="e">
        <f t="shared" si="6"/>
        <v>#DIV/0!</v>
      </c>
      <c r="O97" s="79" t="e">
        <f t="shared" si="4"/>
        <v>#DIV/0!</v>
      </c>
      <c r="R97" s="79">
        <f t="shared" si="5"/>
        <v>0</v>
      </c>
    </row>
    <row r="98" spans="1:18" x14ac:dyDescent="0.25">
      <c r="A98" s="31"/>
      <c r="B98" s="76"/>
      <c r="C98" s="32"/>
      <c r="D98" s="72"/>
      <c r="E98" s="33"/>
      <c r="F98" s="74"/>
      <c r="G98" s="74"/>
      <c r="H98" s="34"/>
      <c r="I98" s="74"/>
      <c r="J98" s="35"/>
      <c r="K98" s="36"/>
      <c r="L98" s="35"/>
      <c r="M98" s="32"/>
      <c r="N98" s="80" t="e">
        <f t="shared" si="6"/>
        <v>#DIV/0!</v>
      </c>
      <c r="O98" s="79" t="e">
        <f t="shared" si="4"/>
        <v>#DIV/0!</v>
      </c>
      <c r="R98" s="79">
        <f t="shared" si="5"/>
        <v>0</v>
      </c>
    </row>
    <row r="99" spans="1:18" x14ac:dyDescent="0.25">
      <c r="A99" s="31"/>
      <c r="B99" s="76"/>
      <c r="C99" s="32"/>
      <c r="D99" s="72"/>
      <c r="E99" s="33"/>
      <c r="F99" s="74"/>
      <c r="G99" s="74"/>
      <c r="H99" s="34"/>
      <c r="I99" s="74"/>
      <c r="J99" s="35"/>
      <c r="K99" s="36"/>
      <c r="L99" s="35"/>
      <c r="M99" s="32"/>
      <c r="N99" s="80" t="e">
        <f t="shared" si="6"/>
        <v>#DIV/0!</v>
      </c>
      <c r="O99" s="79" t="e">
        <f t="shared" si="4"/>
        <v>#DIV/0!</v>
      </c>
      <c r="R99" s="79">
        <f t="shared" si="5"/>
        <v>0</v>
      </c>
    </row>
    <row r="100" spans="1:18" x14ac:dyDescent="0.25">
      <c r="A100" s="31"/>
      <c r="B100" s="76"/>
      <c r="C100" s="32"/>
      <c r="D100" s="72"/>
      <c r="E100" s="33"/>
      <c r="F100" s="74"/>
      <c r="G100" s="74"/>
      <c r="H100" s="34"/>
      <c r="I100" s="74"/>
      <c r="J100" s="35"/>
      <c r="K100" s="36"/>
      <c r="L100" s="35"/>
      <c r="M100" s="32"/>
      <c r="N100" s="80" t="e">
        <f t="shared" si="6"/>
        <v>#DIV/0!</v>
      </c>
      <c r="O100" s="79" t="e">
        <f t="shared" si="4"/>
        <v>#DIV/0!</v>
      </c>
      <c r="R100" s="79">
        <f t="shared" si="5"/>
        <v>0</v>
      </c>
    </row>
    <row r="101" spans="1:18" x14ac:dyDescent="0.25">
      <c r="A101" s="31"/>
      <c r="B101" s="76"/>
      <c r="C101" s="32"/>
      <c r="D101" s="72"/>
      <c r="E101" s="33"/>
      <c r="F101" s="74"/>
      <c r="G101" s="74"/>
      <c r="H101" s="34"/>
      <c r="I101" s="74"/>
      <c r="J101" s="35"/>
      <c r="K101" s="36"/>
      <c r="L101" s="35"/>
      <c r="M101" s="32"/>
      <c r="N101" s="80" t="e">
        <f t="shared" si="6"/>
        <v>#DIV/0!</v>
      </c>
      <c r="O101" s="79" t="e">
        <f t="shared" si="4"/>
        <v>#DIV/0!</v>
      </c>
      <c r="R101" s="79">
        <f t="shared" si="5"/>
        <v>0</v>
      </c>
    </row>
    <row r="102" spans="1:18" x14ac:dyDescent="0.25">
      <c r="A102" s="31"/>
      <c r="B102" s="76"/>
      <c r="C102" s="32"/>
      <c r="D102" s="72"/>
      <c r="E102" s="33"/>
      <c r="F102" s="74"/>
      <c r="G102" s="74"/>
      <c r="H102" s="34"/>
      <c r="I102" s="74"/>
      <c r="J102" s="35"/>
      <c r="K102" s="36"/>
      <c r="L102" s="35"/>
      <c r="M102" s="32"/>
      <c r="N102" s="80" t="e">
        <f t="shared" si="6"/>
        <v>#DIV/0!</v>
      </c>
      <c r="O102" s="79" t="e">
        <f t="shared" si="4"/>
        <v>#DIV/0!</v>
      </c>
      <c r="R102" s="79">
        <f t="shared" si="5"/>
        <v>0</v>
      </c>
    </row>
    <row r="103" spans="1:18" x14ac:dyDescent="0.25">
      <c r="A103" s="31"/>
      <c r="B103" s="76"/>
      <c r="C103" s="32"/>
      <c r="D103" s="72"/>
      <c r="E103" s="33"/>
      <c r="F103" s="74"/>
      <c r="G103" s="74"/>
      <c r="H103" s="34"/>
      <c r="I103" s="74"/>
      <c r="J103" s="35"/>
      <c r="K103" s="36"/>
      <c r="L103" s="35"/>
      <c r="M103" s="32"/>
      <c r="N103" s="80" t="e">
        <f t="shared" si="6"/>
        <v>#DIV/0!</v>
      </c>
      <c r="O103" s="79" t="e">
        <f t="shared" si="4"/>
        <v>#DIV/0!</v>
      </c>
      <c r="R103" s="79">
        <f t="shared" si="5"/>
        <v>0</v>
      </c>
    </row>
    <row r="104" spans="1:18" x14ac:dyDescent="0.25">
      <c r="A104" s="31"/>
      <c r="B104" s="76"/>
      <c r="C104" s="32"/>
      <c r="D104" s="72"/>
      <c r="E104" s="33"/>
      <c r="F104" s="74"/>
      <c r="G104" s="74"/>
      <c r="H104" s="34"/>
      <c r="I104" s="74"/>
      <c r="J104" s="35"/>
      <c r="K104" s="36"/>
      <c r="L104" s="35"/>
      <c r="M104" s="32"/>
      <c r="N104" s="80" t="e">
        <f t="shared" si="6"/>
        <v>#DIV/0!</v>
      </c>
      <c r="O104" s="79" t="e">
        <f t="shared" si="4"/>
        <v>#DIV/0!</v>
      </c>
      <c r="R104" s="79">
        <f t="shared" si="5"/>
        <v>0</v>
      </c>
    </row>
    <row r="105" spans="1:18" x14ac:dyDescent="0.25">
      <c r="A105" s="31"/>
      <c r="B105" s="76"/>
      <c r="C105" s="32"/>
      <c r="D105" s="72"/>
      <c r="E105" s="33"/>
      <c r="F105" s="74"/>
      <c r="G105" s="74"/>
      <c r="H105" s="34"/>
      <c r="I105" s="74"/>
      <c r="J105" s="35"/>
      <c r="K105" s="36"/>
      <c r="L105" s="35"/>
      <c r="M105" s="32"/>
      <c r="N105" s="80" t="e">
        <f t="shared" si="6"/>
        <v>#DIV/0!</v>
      </c>
      <c r="O105" s="79" t="e">
        <f t="shared" si="4"/>
        <v>#DIV/0!</v>
      </c>
      <c r="R105" s="79">
        <f t="shared" si="5"/>
        <v>0</v>
      </c>
    </row>
    <row r="106" spans="1:18" x14ac:dyDescent="0.25">
      <c r="A106" s="31"/>
      <c r="B106" s="76"/>
      <c r="C106" s="32"/>
      <c r="D106" s="72"/>
      <c r="E106" s="33"/>
      <c r="F106" s="74"/>
      <c r="G106" s="74"/>
      <c r="H106" s="34"/>
      <c r="I106" s="74"/>
      <c r="J106" s="35"/>
      <c r="K106" s="36"/>
      <c r="L106" s="35"/>
      <c r="M106" s="32"/>
      <c r="N106" s="80" t="e">
        <f t="shared" si="6"/>
        <v>#DIV/0!</v>
      </c>
      <c r="O106" s="79" t="e">
        <f t="shared" si="4"/>
        <v>#DIV/0!</v>
      </c>
      <c r="R106" s="79">
        <f t="shared" si="5"/>
        <v>0</v>
      </c>
    </row>
    <row r="107" spans="1:18" x14ac:dyDescent="0.25">
      <c r="A107" s="31"/>
      <c r="B107" s="76"/>
      <c r="C107" s="32"/>
      <c r="D107" s="72"/>
      <c r="E107" s="33"/>
      <c r="F107" s="74"/>
      <c r="G107" s="74"/>
      <c r="H107" s="34"/>
      <c r="I107" s="74"/>
      <c r="J107" s="35"/>
      <c r="K107" s="36"/>
      <c r="L107" s="35"/>
      <c r="M107" s="32"/>
      <c r="N107" s="80" t="e">
        <f t="shared" si="6"/>
        <v>#DIV/0!</v>
      </c>
      <c r="O107" s="79" t="e">
        <f t="shared" si="4"/>
        <v>#DIV/0!</v>
      </c>
      <c r="R107" s="79">
        <f t="shared" si="5"/>
        <v>0</v>
      </c>
    </row>
    <row r="108" spans="1:18" x14ac:dyDescent="0.25">
      <c r="A108" s="31"/>
      <c r="B108" s="76"/>
      <c r="C108" s="32"/>
      <c r="D108" s="72"/>
      <c r="E108" s="33"/>
      <c r="F108" s="74"/>
      <c r="G108" s="74"/>
      <c r="H108" s="34"/>
      <c r="I108" s="74"/>
      <c r="J108" s="35"/>
      <c r="K108" s="36"/>
      <c r="L108" s="35"/>
      <c r="M108" s="32"/>
      <c r="N108" s="80" t="e">
        <f t="shared" si="6"/>
        <v>#DIV/0!</v>
      </c>
      <c r="O108" s="79" t="e">
        <f t="shared" si="4"/>
        <v>#DIV/0!</v>
      </c>
      <c r="R108" s="79">
        <f t="shared" si="5"/>
        <v>0</v>
      </c>
    </row>
    <row r="109" spans="1:18" x14ac:dyDescent="0.25">
      <c r="A109" s="31"/>
      <c r="B109" s="76"/>
      <c r="C109" s="32"/>
      <c r="D109" s="72"/>
      <c r="E109" s="33"/>
      <c r="F109" s="74"/>
      <c r="G109" s="74"/>
      <c r="H109" s="34"/>
      <c r="I109" s="74"/>
      <c r="J109" s="35"/>
      <c r="K109" s="36"/>
      <c r="L109" s="35"/>
      <c r="M109" s="32"/>
      <c r="N109" s="80" t="e">
        <f t="shared" si="6"/>
        <v>#DIV/0!</v>
      </c>
      <c r="O109" s="79" t="e">
        <f t="shared" si="4"/>
        <v>#DIV/0!</v>
      </c>
      <c r="R109" s="79">
        <f t="shared" si="5"/>
        <v>0</v>
      </c>
    </row>
    <row r="110" spans="1:18" x14ac:dyDescent="0.25">
      <c r="A110" s="31"/>
      <c r="B110" s="76"/>
      <c r="C110" s="32"/>
      <c r="D110" s="72"/>
      <c r="E110" s="33"/>
      <c r="F110" s="74"/>
      <c r="G110" s="74"/>
      <c r="H110" s="34"/>
      <c r="I110" s="74"/>
      <c r="J110" s="35"/>
      <c r="K110" s="36"/>
      <c r="L110" s="35"/>
      <c r="M110" s="32"/>
      <c r="N110" s="80" t="e">
        <f t="shared" si="6"/>
        <v>#DIV/0!</v>
      </c>
      <c r="O110" s="79" t="e">
        <f t="shared" si="4"/>
        <v>#DIV/0!</v>
      </c>
      <c r="R110" s="79">
        <f t="shared" si="5"/>
        <v>0</v>
      </c>
    </row>
    <row r="111" spans="1:18" x14ac:dyDescent="0.25">
      <c r="A111" s="31"/>
      <c r="B111" s="76"/>
      <c r="C111" s="32"/>
      <c r="D111" s="72"/>
      <c r="E111" s="33"/>
      <c r="F111" s="74"/>
      <c r="G111" s="74"/>
      <c r="H111" s="34"/>
      <c r="I111" s="74"/>
      <c r="J111" s="35"/>
      <c r="K111" s="36"/>
      <c r="L111" s="35"/>
      <c r="M111" s="32"/>
      <c r="N111" s="80" t="e">
        <f t="shared" si="6"/>
        <v>#DIV/0!</v>
      </c>
      <c r="O111" s="79" t="e">
        <f t="shared" si="4"/>
        <v>#DIV/0!</v>
      </c>
      <c r="R111" s="79">
        <f t="shared" si="5"/>
        <v>0</v>
      </c>
    </row>
    <row r="112" spans="1:18" x14ac:dyDescent="0.25">
      <c r="A112" s="31"/>
      <c r="B112" s="76"/>
      <c r="C112" s="32"/>
      <c r="D112" s="72"/>
      <c r="E112" s="33"/>
      <c r="F112" s="74"/>
      <c r="G112" s="74"/>
      <c r="H112" s="34"/>
      <c r="I112" s="74"/>
      <c r="J112" s="35"/>
      <c r="K112" s="36"/>
      <c r="L112" s="35"/>
      <c r="M112" s="32"/>
      <c r="N112" s="80" t="e">
        <f t="shared" si="6"/>
        <v>#DIV/0!</v>
      </c>
      <c r="O112" s="79" t="e">
        <f t="shared" si="4"/>
        <v>#DIV/0!</v>
      </c>
      <c r="R112" s="79">
        <f t="shared" si="5"/>
        <v>0</v>
      </c>
    </row>
    <row r="113" spans="1:18" x14ac:dyDescent="0.25">
      <c r="A113" s="31"/>
      <c r="B113" s="76"/>
      <c r="C113" s="32"/>
      <c r="D113" s="72"/>
      <c r="E113" s="33"/>
      <c r="F113" s="74"/>
      <c r="G113" s="74"/>
      <c r="H113" s="34"/>
      <c r="I113" s="74"/>
      <c r="J113" s="35"/>
      <c r="K113" s="36"/>
      <c r="L113" s="35"/>
      <c r="M113" s="32"/>
      <c r="N113" s="80" t="e">
        <f t="shared" si="6"/>
        <v>#DIV/0!</v>
      </c>
      <c r="O113" s="79" t="e">
        <f t="shared" si="4"/>
        <v>#DIV/0!</v>
      </c>
      <c r="R113" s="79">
        <f t="shared" si="5"/>
        <v>0</v>
      </c>
    </row>
    <row r="114" spans="1:18" x14ac:dyDescent="0.25">
      <c r="A114" s="31"/>
      <c r="B114" s="76"/>
      <c r="C114" s="32"/>
      <c r="D114" s="72"/>
      <c r="E114" s="33"/>
      <c r="F114" s="74"/>
      <c r="G114" s="74"/>
      <c r="H114" s="34"/>
      <c r="I114" s="74"/>
      <c r="J114" s="35"/>
      <c r="K114" s="36"/>
      <c r="L114" s="35"/>
      <c r="M114" s="32"/>
      <c r="N114" s="80" t="e">
        <f t="shared" si="6"/>
        <v>#DIV/0!</v>
      </c>
      <c r="O114" s="79" t="e">
        <f t="shared" si="4"/>
        <v>#DIV/0!</v>
      </c>
      <c r="R114" s="79">
        <f t="shared" si="5"/>
        <v>0</v>
      </c>
    </row>
    <row r="115" spans="1:18" x14ac:dyDescent="0.25">
      <c r="A115" s="31"/>
      <c r="B115" s="76"/>
      <c r="C115" s="32"/>
      <c r="D115" s="72"/>
      <c r="E115" s="33"/>
      <c r="F115" s="74"/>
      <c r="G115" s="74"/>
      <c r="H115" s="34"/>
      <c r="I115" s="74"/>
      <c r="J115" s="35"/>
      <c r="K115" s="36"/>
      <c r="L115" s="35"/>
      <c r="M115" s="32"/>
      <c r="N115" s="80" t="e">
        <f t="shared" si="6"/>
        <v>#DIV/0!</v>
      </c>
      <c r="O115" s="79" t="e">
        <f t="shared" si="4"/>
        <v>#DIV/0!</v>
      </c>
      <c r="R115" s="79">
        <f t="shared" si="5"/>
        <v>0</v>
      </c>
    </row>
    <row r="116" spans="1:18" x14ac:dyDescent="0.25">
      <c r="A116" s="31"/>
      <c r="B116" s="76"/>
      <c r="C116" s="32"/>
      <c r="D116" s="72"/>
      <c r="E116" s="33"/>
      <c r="F116" s="74"/>
      <c r="G116" s="74"/>
      <c r="H116" s="34"/>
      <c r="I116" s="74"/>
      <c r="J116" s="35"/>
      <c r="K116" s="36"/>
      <c r="L116" s="35"/>
      <c r="M116" s="32"/>
      <c r="N116" s="80" t="e">
        <f t="shared" si="6"/>
        <v>#DIV/0!</v>
      </c>
      <c r="O116" s="79" t="e">
        <f t="shared" si="4"/>
        <v>#DIV/0!</v>
      </c>
      <c r="R116" s="79">
        <f t="shared" si="5"/>
        <v>0</v>
      </c>
    </row>
    <row r="117" spans="1:18" x14ac:dyDescent="0.25">
      <c r="A117" s="31"/>
      <c r="B117" s="76"/>
      <c r="C117" s="32"/>
      <c r="D117" s="72"/>
      <c r="E117" s="33"/>
      <c r="F117" s="74"/>
      <c r="G117" s="74"/>
      <c r="H117" s="34"/>
      <c r="I117" s="74"/>
      <c r="J117" s="35"/>
      <c r="K117" s="36"/>
      <c r="L117" s="35"/>
      <c r="M117" s="32"/>
      <c r="N117" s="80" t="e">
        <f t="shared" si="6"/>
        <v>#DIV/0!</v>
      </c>
      <c r="O117" s="79" t="e">
        <f t="shared" si="4"/>
        <v>#DIV/0!</v>
      </c>
      <c r="R117" s="79">
        <f t="shared" si="5"/>
        <v>0</v>
      </c>
    </row>
    <row r="118" spans="1:18" x14ac:dyDescent="0.25">
      <c r="A118" s="31"/>
      <c r="B118" s="76"/>
      <c r="C118" s="32"/>
      <c r="D118" s="72"/>
      <c r="E118" s="33"/>
      <c r="F118" s="74"/>
      <c r="G118" s="74"/>
      <c r="H118" s="34"/>
      <c r="I118" s="74"/>
      <c r="J118" s="35"/>
      <c r="K118" s="36"/>
      <c r="L118" s="35"/>
      <c r="M118" s="32"/>
      <c r="N118" s="80" t="e">
        <f t="shared" si="6"/>
        <v>#DIV/0!</v>
      </c>
      <c r="O118" s="79" t="e">
        <f t="shared" si="4"/>
        <v>#DIV/0!</v>
      </c>
      <c r="R118" s="79">
        <f t="shared" si="5"/>
        <v>0</v>
      </c>
    </row>
    <row r="119" spans="1:18" x14ac:dyDescent="0.25">
      <c r="A119" s="31"/>
      <c r="B119" s="76"/>
      <c r="C119" s="32"/>
      <c r="D119" s="72"/>
      <c r="E119" s="33"/>
      <c r="F119" s="74"/>
      <c r="G119" s="74"/>
      <c r="H119" s="34"/>
      <c r="I119" s="74"/>
      <c r="J119" s="35"/>
      <c r="K119" s="36"/>
      <c r="L119" s="35"/>
      <c r="M119" s="32"/>
      <c r="N119" s="80" t="e">
        <f t="shared" si="6"/>
        <v>#DIV/0!</v>
      </c>
      <c r="O119" s="79" t="e">
        <f t="shared" si="4"/>
        <v>#DIV/0!</v>
      </c>
      <c r="R119" s="79">
        <f t="shared" si="5"/>
        <v>0</v>
      </c>
    </row>
    <row r="120" spans="1:18" x14ac:dyDescent="0.25">
      <c r="A120" s="31"/>
      <c r="B120" s="76"/>
      <c r="C120" s="32"/>
      <c r="D120" s="72"/>
      <c r="E120" s="33"/>
      <c r="F120" s="74"/>
      <c r="G120" s="74"/>
      <c r="H120" s="34"/>
      <c r="I120" s="74"/>
      <c r="J120" s="35"/>
      <c r="K120" s="36"/>
      <c r="L120" s="35"/>
      <c r="M120" s="32"/>
      <c r="N120" s="80" t="e">
        <f t="shared" si="6"/>
        <v>#DIV/0!</v>
      </c>
      <c r="O120" s="79" t="e">
        <f t="shared" si="4"/>
        <v>#DIV/0!</v>
      </c>
      <c r="R120" s="79">
        <f t="shared" si="5"/>
        <v>0</v>
      </c>
    </row>
    <row r="121" spans="1:18" x14ac:dyDescent="0.25">
      <c r="A121" s="31"/>
      <c r="B121" s="76"/>
      <c r="C121" s="32"/>
      <c r="D121" s="72"/>
      <c r="E121" s="33"/>
      <c r="F121" s="74"/>
      <c r="G121" s="74"/>
      <c r="H121" s="34"/>
      <c r="I121" s="74"/>
      <c r="J121" s="35"/>
      <c r="K121" s="36"/>
      <c r="L121" s="35"/>
      <c r="M121" s="32"/>
      <c r="N121" s="80" t="e">
        <f t="shared" si="6"/>
        <v>#DIV/0!</v>
      </c>
      <c r="O121" s="79" t="e">
        <f t="shared" si="4"/>
        <v>#DIV/0!</v>
      </c>
      <c r="R121" s="79">
        <f t="shared" si="5"/>
        <v>0</v>
      </c>
    </row>
    <row r="122" spans="1:18" x14ac:dyDescent="0.25">
      <c r="A122" s="31"/>
      <c r="B122" s="76"/>
      <c r="C122" s="32"/>
      <c r="D122" s="72"/>
      <c r="E122" s="33"/>
      <c r="F122" s="74"/>
      <c r="G122" s="74"/>
      <c r="H122" s="34"/>
      <c r="I122" s="74"/>
      <c r="J122" s="35"/>
      <c r="K122" s="36"/>
      <c r="L122" s="35"/>
      <c r="M122" s="32"/>
      <c r="N122" s="80" t="e">
        <f t="shared" si="6"/>
        <v>#DIV/0!</v>
      </c>
      <c r="O122" s="79" t="e">
        <f t="shared" si="4"/>
        <v>#DIV/0!</v>
      </c>
      <c r="R122" s="79">
        <f t="shared" si="5"/>
        <v>0</v>
      </c>
    </row>
    <row r="123" spans="1:18" x14ac:dyDescent="0.25">
      <c r="A123" s="31"/>
      <c r="B123" s="76"/>
      <c r="C123" s="32"/>
      <c r="D123" s="72"/>
      <c r="E123" s="33"/>
      <c r="F123" s="74"/>
      <c r="G123" s="74"/>
      <c r="H123" s="34"/>
      <c r="I123" s="74"/>
      <c r="J123" s="35"/>
      <c r="K123" s="36"/>
      <c r="L123" s="35"/>
      <c r="M123" s="32"/>
      <c r="N123" s="80" t="e">
        <f t="shared" si="6"/>
        <v>#DIV/0!</v>
      </c>
      <c r="O123" s="79" t="e">
        <f t="shared" si="4"/>
        <v>#DIV/0!</v>
      </c>
      <c r="R123" s="79">
        <f t="shared" si="5"/>
        <v>0</v>
      </c>
    </row>
    <row r="124" spans="1:18" x14ac:dyDescent="0.25">
      <c r="A124" s="31"/>
      <c r="B124" s="76"/>
      <c r="C124" s="32"/>
      <c r="D124" s="72"/>
      <c r="E124" s="33"/>
      <c r="F124" s="74"/>
      <c r="G124" s="74"/>
      <c r="H124" s="34"/>
      <c r="I124" s="74"/>
      <c r="J124" s="35"/>
      <c r="K124" s="36"/>
      <c r="L124" s="35"/>
      <c r="M124" s="32"/>
      <c r="N124" s="80" t="e">
        <f t="shared" si="6"/>
        <v>#DIV/0!</v>
      </c>
      <c r="O124" s="79" t="e">
        <f t="shared" si="4"/>
        <v>#DIV/0!</v>
      </c>
      <c r="R124" s="79">
        <f t="shared" si="5"/>
        <v>0</v>
      </c>
    </row>
    <row r="125" spans="1:18" x14ac:dyDescent="0.25">
      <c r="A125" s="31"/>
      <c r="B125" s="76"/>
      <c r="C125" s="32"/>
      <c r="D125" s="72"/>
      <c r="E125" s="33"/>
      <c r="F125" s="74"/>
      <c r="G125" s="74"/>
      <c r="H125" s="34"/>
      <c r="I125" s="74"/>
      <c r="J125" s="35"/>
      <c r="K125" s="36"/>
      <c r="L125" s="35"/>
      <c r="M125" s="32"/>
      <c r="N125" s="80" t="e">
        <f t="shared" si="6"/>
        <v>#DIV/0!</v>
      </c>
      <c r="O125" s="79" t="e">
        <f t="shared" si="4"/>
        <v>#DIV/0!</v>
      </c>
      <c r="R125" s="79">
        <f t="shared" si="5"/>
        <v>0</v>
      </c>
    </row>
    <row r="126" spans="1:18" x14ac:dyDescent="0.25">
      <c r="A126" s="31"/>
      <c r="B126" s="76"/>
      <c r="C126" s="32"/>
      <c r="D126" s="72"/>
      <c r="E126" s="33"/>
      <c r="F126" s="74"/>
      <c r="G126" s="74"/>
      <c r="H126" s="34"/>
      <c r="I126" s="74"/>
      <c r="J126" s="35"/>
      <c r="K126" s="36"/>
      <c r="L126" s="35"/>
      <c r="M126" s="32"/>
      <c r="N126" s="80" t="e">
        <f t="shared" si="6"/>
        <v>#DIV/0!</v>
      </c>
      <c r="O126" s="79" t="e">
        <f t="shared" si="4"/>
        <v>#DIV/0!</v>
      </c>
      <c r="R126" s="79">
        <f t="shared" si="5"/>
        <v>0</v>
      </c>
    </row>
    <row r="127" spans="1:18" x14ac:dyDescent="0.25">
      <c r="A127" s="31"/>
      <c r="B127" s="76"/>
      <c r="C127" s="32"/>
      <c r="D127" s="72"/>
      <c r="E127" s="33"/>
      <c r="F127" s="74"/>
      <c r="G127" s="74"/>
      <c r="H127" s="34"/>
      <c r="I127" s="74"/>
      <c r="J127" s="35"/>
      <c r="K127" s="36"/>
      <c r="L127" s="35"/>
      <c r="M127" s="32"/>
      <c r="N127" s="80" t="e">
        <f t="shared" si="6"/>
        <v>#DIV/0!</v>
      </c>
      <c r="O127" s="79" t="e">
        <f t="shared" si="4"/>
        <v>#DIV/0!</v>
      </c>
      <c r="R127" s="79">
        <f t="shared" si="5"/>
        <v>0</v>
      </c>
    </row>
    <row r="128" spans="1:18" x14ac:dyDescent="0.25">
      <c r="A128" s="31"/>
      <c r="B128" s="76"/>
      <c r="C128" s="32"/>
      <c r="D128" s="72"/>
      <c r="E128" s="33"/>
      <c r="F128" s="74"/>
      <c r="G128" s="74"/>
      <c r="H128" s="34"/>
      <c r="I128" s="74"/>
      <c r="J128" s="35"/>
      <c r="K128" s="36"/>
      <c r="L128" s="35"/>
      <c r="M128" s="32"/>
      <c r="N128" s="80" t="e">
        <f t="shared" si="6"/>
        <v>#DIV/0!</v>
      </c>
      <c r="O128" s="79" t="e">
        <f t="shared" si="4"/>
        <v>#DIV/0!</v>
      </c>
      <c r="R128" s="79">
        <f t="shared" si="5"/>
        <v>0</v>
      </c>
    </row>
    <row r="129" spans="1:18" x14ac:dyDescent="0.25">
      <c r="A129" s="31"/>
      <c r="B129" s="76"/>
      <c r="C129" s="32"/>
      <c r="D129" s="72"/>
      <c r="E129" s="33"/>
      <c r="F129" s="74"/>
      <c r="G129" s="74"/>
      <c r="H129" s="34"/>
      <c r="I129" s="74"/>
      <c r="J129" s="35"/>
      <c r="K129" s="36"/>
      <c r="L129" s="35"/>
      <c r="M129" s="32"/>
      <c r="N129" s="80" t="e">
        <f t="shared" si="6"/>
        <v>#DIV/0!</v>
      </c>
      <c r="O129" s="79" t="e">
        <f t="shared" si="4"/>
        <v>#DIV/0!</v>
      </c>
      <c r="R129" s="79">
        <f t="shared" si="5"/>
        <v>0</v>
      </c>
    </row>
    <row r="130" spans="1:18" x14ac:dyDescent="0.25">
      <c r="A130" s="31"/>
      <c r="B130" s="76"/>
      <c r="C130" s="32"/>
      <c r="D130" s="72"/>
      <c r="E130" s="33"/>
      <c r="F130" s="74"/>
      <c r="G130" s="74"/>
      <c r="H130" s="34"/>
      <c r="I130" s="74"/>
      <c r="J130" s="35"/>
      <c r="K130" s="36"/>
      <c r="L130" s="35"/>
      <c r="M130" s="32"/>
      <c r="N130" s="80" t="e">
        <f t="shared" si="6"/>
        <v>#DIV/0!</v>
      </c>
      <c r="O130" s="79" t="e">
        <f t="shared" si="4"/>
        <v>#DIV/0!</v>
      </c>
      <c r="R130" s="79">
        <f t="shared" si="5"/>
        <v>0</v>
      </c>
    </row>
    <row r="131" spans="1:18" x14ac:dyDescent="0.25">
      <c r="A131" s="31"/>
      <c r="B131" s="76"/>
      <c r="C131" s="32"/>
      <c r="D131" s="72"/>
      <c r="E131" s="33"/>
      <c r="F131" s="74"/>
      <c r="G131" s="74"/>
      <c r="H131" s="34"/>
      <c r="I131" s="74"/>
      <c r="J131" s="35"/>
      <c r="K131" s="36"/>
      <c r="L131" s="35"/>
      <c r="M131" s="32"/>
      <c r="N131" s="80" t="e">
        <f t="shared" si="6"/>
        <v>#DIV/0!</v>
      </c>
      <c r="O131" s="79" t="e">
        <f t="shared" si="4"/>
        <v>#DIV/0!</v>
      </c>
      <c r="R131" s="79">
        <f t="shared" si="5"/>
        <v>0</v>
      </c>
    </row>
    <row r="132" spans="1:18" x14ac:dyDescent="0.25">
      <c r="A132" s="31"/>
      <c r="B132" s="76"/>
      <c r="C132" s="32"/>
      <c r="D132" s="72"/>
      <c r="E132" s="33"/>
      <c r="F132" s="74"/>
      <c r="G132" s="74"/>
      <c r="H132" s="34"/>
      <c r="I132" s="74"/>
      <c r="J132" s="35"/>
      <c r="K132" s="36"/>
      <c r="L132" s="35"/>
      <c r="M132" s="32"/>
      <c r="N132" s="80" t="e">
        <f t="shared" si="6"/>
        <v>#DIV/0!</v>
      </c>
      <c r="O132" s="79" t="e">
        <f t="shared" si="4"/>
        <v>#DIV/0!</v>
      </c>
      <c r="R132" s="79">
        <f t="shared" si="5"/>
        <v>0</v>
      </c>
    </row>
    <row r="133" spans="1:18" x14ac:dyDescent="0.25">
      <c r="A133" s="31"/>
      <c r="B133" s="76"/>
      <c r="C133" s="32"/>
      <c r="D133" s="72"/>
      <c r="E133" s="33"/>
      <c r="F133" s="74"/>
      <c r="G133" s="74"/>
      <c r="H133" s="34"/>
      <c r="I133" s="74"/>
      <c r="J133" s="35"/>
      <c r="K133" s="36"/>
      <c r="L133" s="35"/>
      <c r="M133" s="32"/>
      <c r="N133" s="80" t="e">
        <f t="shared" si="6"/>
        <v>#DIV/0!</v>
      </c>
      <c r="O133" s="79" t="e">
        <f t="shared" si="4"/>
        <v>#DIV/0!</v>
      </c>
      <c r="R133" s="79">
        <f t="shared" si="5"/>
        <v>0</v>
      </c>
    </row>
    <row r="134" spans="1:18" x14ac:dyDescent="0.25">
      <c r="A134" s="31"/>
      <c r="B134" s="76"/>
      <c r="C134" s="32"/>
      <c r="D134" s="72"/>
      <c r="E134" s="33"/>
      <c r="F134" s="74"/>
      <c r="G134" s="74"/>
      <c r="H134" s="34"/>
      <c r="I134" s="74"/>
      <c r="J134" s="35"/>
      <c r="K134" s="36"/>
      <c r="L134" s="35"/>
      <c r="M134" s="32"/>
      <c r="N134" s="80" t="e">
        <f t="shared" si="6"/>
        <v>#DIV/0!</v>
      </c>
      <c r="O134" s="79" t="e">
        <f t="shared" si="4"/>
        <v>#DIV/0!</v>
      </c>
      <c r="R134" s="79">
        <f t="shared" si="5"/>
        <v>0</v>
      </c>
    </row>
    <row r="135" spans="1:18" x14ac:dyDescent="0.25">
      <c r="A135" s="31"/>
      <c r="B135" s="76"/>
      <c r="C135" s="32"/>
      <c r="D135" s="72"/>
      <c r="E135" s="33"/>
      <c r="F135" s="74"/>
      <c r="G135" s="74"/>
      <c r="H135" s="34"/>
      <c r="I135" s="74"/>
      <c r="J135" s="35"/>
      <c r="K135" s="36"/>
      <c r="L135" s="35"/>
      <c r="M135" s="32"/>
      <c r="N135" s="80" t="e">
        <f t="shared" si="6"/>
        <v>#DIV/0!</v>
      </c>
      <c r="O135" s="79" t="e">
        <f t="shared" si="4"/>
        <v>#DIV/0!</v>
      </c>
      <c r="R135" s="79">
        <f t="shared" si="5"/>
        <v>0</v>
      </c>
    </row>
    <row r="136" spans="1:18" x14ac:dyDescent="0.25">
      <c r="A136" s="31"/>
      <c r="B136" s="76"/>
      <c r="C136" s="32"/>
      <c r="D136" s="72"/>
      <c r="E136" s="33"/>
      <c r="F136" s="74"/>
      <c r="G136" s="74"/>
      <c r="H136" s="34"/>
      <c r="I136" s="74"/>
      <c r="J136" s="35"/>
      <c r="K136" s="36"/>
      <c r="L136" s="35"/>
      <c r="M136" s="32"/>
      <c r="N136" s="80" t="e">
        <f t="shared" si="6"/>
        <v>#DIV/0!</v>
      </c>
      <c r="O136" s="79" t="e">
        <f t="shared" si="4"/>
        <v>#DIV/0!</v>
      </c>
      <c r="R136" s="79">
        <f t="shared" si="5"/>
        <v>0</v>
      </c>
    </row>
    <row r="137" spans="1:18" x14ac:dyDescent="0.25">
      <c r="A137" s="31"/>
      <c r="B137" s="76"/>
      <c r="C137" s="32"/>
      <c r="D137" s="72"/>
      <c r="E137" s="33"/>
      <c r="F137" s="74"/>
      <c r="G137" s="74"/>
      <c r="H137" s="34"/>
      <c r="I137" s="74"/>
      <c r="J137" s="35"/>
      <c r="K137" s="36"/>
      <c r="L137" s="35"/>
      <c r="M137" s="32"/>
      <c r="N137" s="80" t="e">
        <f t="shared" si="6"/>
        <v>#DIV/0!</v>
      </c>
      <c r="O137" s="79" t="e">
        <f t="shared" si="4"/>
        <v>#DIV/0!</v>
      </c>
      <c r="R137" s="79">
        <f t="shared" si="5"/>
        <v>0</v>
      </c>
    </row>
    <row r="138" spans="1:18" x14ac:dyDescent="0.25">
      <c r="A138" s="31"/>
      <c r="B138" s="76"/>
      <c r="C138" s="32"/>
      <c r="D138" s="72"/>
      <c r="E138" s="33"/>
      <c r="F138" s="74"/>
      <c r="G138" s="74"/>
      <c r="H138" s="34"/>
      <c r="I138" s="74"/>
      <c r="J138" s="35"/>
      <c r="K138" s="36"/>
      <c r="L138" s="35"/>
      <c r="M138" s="32"/>
      <c r="N138" s="80" t="e">
        <f t="shared" si="6"/>
        <v>#DIV/0!</v>
      </c>
      <c r="O138" s="79" t="e">
        <f t="shared" si="4"/>
        <v>#DIV/0!</v>
      </c>
      <c r="R138" s="79">
        <f t="shared" si="5"/>
        <v>0</v>
      </c>
    </row>
    <row r="139" spans="1:18" x14ac:dyDescent="0.25">
      <c r="A139" s="31"/>
      <c r="B139" s="76"/>
      <c r="C139" s="32"/>
      <c r="D139" s="72"/>
      <c r="E139" s="33"/>
      <c r="F139" s="74"/>
      <c r="G139" s="74"/>
      <c r="H139" s="34"/>
      <c r="I139" s="74"/>
      <c r="J139" s="35"/>
      <c r="K139" s="36"/>
      <c r="L139" s="35"/>
      <c r="M139" s="32"/>
      <c r="N139" s="80" t="e">
        <f t="shared" si="6"/>
        <v>#DIV/0!</v>
      </c>
      <c r="O139" s="79" t="e">
        <f t="shared" si="4"/>
        <v>#DIV/0!</v>
      </c>
      <c r="R139" s="79">
        <f t="shared" si="5"/>
        <v>0</v>
      </c>
    </row>
    <row r="140" spans="1:18" x14ac:dyDescent="0.25">
      <c r="A140" s="31"/>
      <c r="B140" s="76"/>
      <c r="C140" s="32"/>
      <c r="D140" s="72"/>
      <c r="E140" s="33"/>
      <c r="F140" s="74"/>
      <c r="G140" s="74"/>
      <c r="H140" s="34"/>
      <c r="I140" s="74"/>
      <c r="J140" s="35"/>
      <c r="K140" s="36"/>
      <c r="L140" s="35"/>
      <c r="M140" s="32"/>
      <c r="N140" s="80" t="e">
        <f t="shared" si="6"/>
        <v>#DIV/0!</v>
      </c>
      <c r="O140" s="79" t="e">
        <f t="shared" si="4"/>
        <v>#DIV/0!</v>
      </c>
      <c r="R140" s="79">
        <f t="shared" si="5"/>
        <v>0</v>
      </c>
    </row>
    <row r="141" spans="1:18" x14ac:dyDescent="0.25">
      <c r="A141" s="31"/>
      <c r="B141" s="76"/>
      <c r="C141" s="32"/>
      <c r="D141" s="72"/>
      <c r="E141" s="33"/>
      <c r="F141" s="74"/>
      <c r="G141" s="74"/>
      <c r="H141" s="34"/>
      <c r="I141" s="74"/>
      <c r="J141" s="35"/>
      <c r="K141" s="36"/>
      <c r="L141" s="35"/>
      <c r="M141" s="32"/>
      <c r="N141" s="80" t="e">
        <f t="shared" si="6"/>
        <v>#DIV/0!</v>
      </c>
      <c r="O141" s="79" t="e">
        <f t="shared" si="4"/>
        <v>#DIV/0!</v>
      </c>
      <c r="R141" s="79">
        <f t="shared" si="5"/>
        <v>0</v>
      </c>
    </row>
    <row r="142" spans="1:18" x14ac:dyDescent="0.25">
      <c r="A142" s="31"/>
      <c r="B142" s="76"/>
      <c r="C142" s="32"/>
      <c r="D142" s="72"/>
      <c r="E142" s="33"/>
      <c r="F142" s="74"/>
      <c r="G142" s="74"/>
      <c r="H142" s="34"/>
      <c r="I142" s="74"/>
      <c r="J142" s="35"/>
      <c r="K142" s="36"/>
      <c r="L142" s="35"/>
      <c r="M142" s="32"/>
      <c r="N142" s="80" t="e">
        <f t="shared" si="6"/>
        <v>#DIV/0!</v>
      </c>
      <c r="O142" s="79" t="e">
        <f t="shared" si="4"/>
        <v>#DIV/0!</v>
      </c>
      <c r="R142" s="79">
        <f t="shared" si="5"/>
        <v>0</v>
      </c>
    </row>
    <row r="143" spans="1:18" x14ac:dyDescent="0.25">
      <c r="A143" s="31"/>
      <c r="B143" s="76"/>
      <c r="C143" s="32"/>
      <c r="D143" s="72"/>
      <c r="E143" s="33"/>
      <c r="F143" s="74"/>
      <c r="G143" s="74"/>
      <c r="H143" s="34"/>
      <c r="I143" s="74"/>
      <c r="J143" s="35"/>
      <c r="K143" s="36"/>
      <c r="L143" s="35"/>
      <c r="M143" s="32"/>
      <c r="N143" s="80" t="e">
        <f t="shared" si="6"/>
        <v>#DIV/0!</v>
      </c>
      <c r="O143" s="79" t="e">
        <f t="shared" si="4"/>
        <v>#DIV/0!</v>
      </c>
      <c r="R143" s="79">
        <f t="shared" si="5"/>
        <v>0</v>
      </c>
    </row>
    <row r="144" spans="1:18" x14ac:dyDescent="0.25">
      <c r="A144" s="31"/>
      <c r="B144" s="76"/>
      <c r="C144" s="32"/>
      <c r="D144" s="72"/>
      <c r="E144" s="33"/>
      <c r="F144" s="74"/>
      <c r="G144" s="74"/>
      <c r="H144" s="34"/>
      <c r="I144" s="74"/>
      <c r="J144" s="35"/>
      <c r="K144" s="36"/>
      <c r="L144" s="35"/>
      <c r="M144" s="32"/>
      <c r="N144" s="80" t="e">
        <f t="shared" si="6"/>
        <v>#DIV/0!</v>
      </c>
      <c r="O144" s="79" t="e">
        <f t="shared" si="4"/>
        <v>#DIV/0!</v>
      </c>
      <c r="R144" s="79">
        <f t="shared" si="5"/>
        <v>0</v>
      </c>
    </row>
    <row r="145" spans="1:18" x14ac:dyDescent="0.25">
      <c r="A145" s="31"/>
      <c r="B145" s="76"/>
      <c r="C145" s="32"/>
      <c r="D145" s="72"/>
      <c r="E145" s="33"/>
      <c r="F145" s="74"/>
      <c r="G145" s="74"/>
      <c r="H145" s="34"/>
      <c r="I145" s="74"/>
      <c r="J145" s="35"/>
      <c r="K145" s="36"/>
      <c r="L145" s="35"/>
      <c r="M145" s="32"/>
      <c r="N145" s="80" t="e">
        <f t="shared" si="6"/>
        <v>#DIV/0!</v>
      </c>
      <c r="O145" s="79" t="e">
        <f t="shared" si="4"/>
        <v>#DIV/0!</v>
      </c>
      <c r="R145" s="79">
        <f t="shared" si="5"/>
        <v>0</v>
      </c>
    </row>
    <row r="146" spans="1:18" x14ac:dyDescent="0.25">
      <c r="A146" s="31"/>
      <c r="B146" s="76"/>
      <c r="C146" s="32"/>
      <c r="D146" s="72"/>
      <c r="E146" s="33"/>
      <c r="F146" s="74"/>
      <c r="G146" s="74"/>
      <c r="H146" s="34"/>
      <c r="I146" s="74"/>
      <c r="J146" s="35"/>
      <c r="K146" s="36"/>
      <c r="L146" s="35"/>
      <c r="M146" s="32"/>
      <c r="N146" s="80" t="e">
        <f t="shared" si="6"/>
        <v>#DIV/0!</v>
      </c>
      <c r="O146" s="79" t="e">
        <f t="shared" si="4"/>
        <v>#DIV/0!</v>
      </c>
      <c r="R146" s="79">
        <f t="shared" si="5"/>
        <v>0</v>
      </c>
    </row>
    <row r="147" spans="1:18" x14ac:dyDescent="0.25">
      <c r="A147" s="31"/>
      <c r="B147" s="76"/>
      <c r="C147" s="32"/>
      <c r="D147" s="72"/>
      <c r="E147" s="33"/>
      <c r="F147" s="74"/>
      <c r="G147" s="74"/>
      <c r="H147" s="34"/>
      <c r="I147" s="74"/>
      <c r="J147" s="35"/>
      <c r="K147" s="36"/>
      <c r="L147" s="35"/>
      <c r="M147" s="32"/>
      <c r="N147" s="80" t="e">
        <f t="shared" si="6"/>
        <v>#DIV/0!</v>
      </c>
      <c r="O147" s="79" t="e">
        <f t="shared" si="4"/>
        <v>#DIV/0!</v>
      </c>
      <c r="R147" s="79">
        <f t="shared" si="5"/>
        <v>0</v>
      </c>
    </row>
    <row r="148" spans="1:18" x14ac:dyDescent="0.25">
      <c r="A148" s="31"/>
      <c r="B148" s="76"/>
      <c r="C148" s="32"/>
      <c r="D148" s="72"/>
      <c r="E148" s="33"/>
      <c r="F148" s="74"/>
      <c r="G148" s="74"/>
      <c r="H148" s="34"/>
      <c r="I148" s="74"/>
      <c r="J148" s="35"/>
      <c r="K148" s="36"/>
      <c r="L148" s="35"/>
      <c r="M148" s="32"/>
      <c r="N148" s="80" t="e">
        <f t="shared" si="6"/>
        <v>#DIV/0!</v>
      </c>
      <c r="O148" s="79" t="e">
        <f t="shared" si="4"/>
        <v>#DIV/0!</v>
      </c>
      <c r="R148" s="79">
        <f t="shared" si="5"/>
        <v>0</v>
      </c>
    </row>
    <row r="149" spans="1:18" x14ac:dyDescent="0.25">
      <c r="A149" s="31"/>
      <c r="B149" s="76"/>
      <c r="C149" s="32"/>
      <c r="D149" s="72"/>
      <c r="E149" s="33"/>
      <c r="F149" s="74"/>
      <c r="G149" s="74"/>
      <c r="H149" s="34"/>
      <c r="I149" s="74"/>
      <c r="J149" s="35"/>
      <c r="K149" s="36"/>
      <c r="L149" s="35"/>
      <c r="M149" s="32"/>
      <c r="N149" s="80" t="e">
        <f t="shared" si="6"/>
        <v>#DIV/0!</v>
      </c>
      <c r="O149" s="79" t="e">
        <f t="shared" si="4"/>
        <v>#DIV/0!</v>
      </c>
      <c r="R149" s="79">
        <f t="shared" si="5"/>
        <v>0</v>
      </c>
    </row>
    <row r="150" spans="1:18" x14ac:dyDescent="0.25">
      <c r="A150" s="31"/>
      <c r="B150" s="76"/>
      <c r="C150" s="32"/>
      <c r="D150" s="72"/>
      <c r="E150" s="33"/>
      <c r="F150" s="74"/>
      <c r="G150" s="74"/>
      <c r="H150" s="34"/>
      <c r="I150" s="74"/>
      <c r="J150" s="35"/>
      <c r="K150" s="36"/>
      <c r="L150" s="35"/>
      <c r="M150" s="32"/>
      <c r="N150" s="80" t="e">
        <f t="shared" si="6"/>
        <v>#DIV/0!</v>
      </c>
      <c r="O150" s="79" t="e">
        <f t="shared" si="4"/>
        <v>#DIV/0!</v>
      </c>
      <c r="R150" s="79">
        <f t="shared" si="5"/>
        <v>0</v>
      </c>
    </row>
    <row r="151" spans="1:18" x14ac:dyDescent="0.25">
      <c r="A151" s="31"/>
      <c r="B151" s="76"/>
      <c r="C151" s="32"/>
      <c r="D151" s="72"/>
      <c r="E151" s="33"/>
      <c r="F151" s="74"/>
      <c r="G151" s="74"/>
      <c r="H151" s="34"/>
      <c r="I151" s="74"/>
      <c r="J151" s="35"/>
      <c r="K151" s="36"/>
      <c r="L151" s="35"/>
      <c r="M151" s="32"/>
      <c r="N151" s="80" t="e">
        <f t="shared" si="6"/>
        <v>#DIV/0!</v>
      </c>
      <c r="O151" s="79" t="e">
        <f t="shared" si="4"/>
        <v>#DIV/0!</v>
      </c>
      <c r="R151" s="79">
        <f t="shared" si="5"/>
        <v>0</v>
      </c>
    </row>
    <row r="152" spans="1:18" x14ac:dyDescent="0.25">
      <c r="A152" s="31"/>
      <c r="B152" s="76"/>
      <c r="C152" s="32"/>
      <c r="D152" s="72"/>
      <c r="E152" s="33"/>
      <c r="F152" s="74"/>
      <c r="G152" s="74"/>
      <c r="H152" s="34"/>
      <c r="I152" s="74"/>
      <c r="J152" s="35"/>
      <c r="K152" s="36"/>
      <c r="L152" s="35"/>
      <c r="M152" s="32"/>
      <c r="N152" s="80" t="e">
        <f t="shared" si="6"/>
        <v>#DIV/0!</v>
      </c>
      <c r="O152" s="79" t="e">
        <f t="shared" si="4"/>
        <v>#DIV/0!</v>
      </c>
      <c r="R152" s="79">
        <f t="shared" si="5"/>
        <v>0</v>
      </c>
    </row>
    <row r="153" spans="1:18" x14ac:dyDescent="0.25">
      <c r="A153" s="31"/>
      <c r="B153" s="76"/>
      <c r="C153" s="32"/>
      <c r="D153" s="72"/>
      <c r="E153" s="33"/>
      <c r="F153" s="74"/>
      <c r="G153" s="74"/>
      <c r="H153" s="34"/>
      <c r="I153" s="74"/>
      <c r="J153" s="35"/>
      <c r="K153" s="36"/>
      <c r="L153" s="35"/>
      <c r="M153" s="32"/>
      <c r="N153" s="80" t="e">
        <f t="shared" si="6"/>
        <v>#DIV/0!</v>
      </c>
      <c r="O153" s="79" t="e">
        <f t="shared" si="4"/>
        <v>#DIV/0!</v>
      </c>
      <c r="R153" s="79">
        <f t="shared" si="5"/>
        <v>0</v>
      </c>
    </row>
    <row r="154" spans="1:18" x14ac:dyDescent="0.25">
      <c r="A154" s="31"/>
      <c r="B154" s="76"/>
      <c r="C154" s="32"/>
      <c r="D154" s="72"/>
      <c r="E154" s="33"/>
      <c r="F154" s="74"/>
      <c r="G154" s="74"/>
      <c r="H154" s="34"/>
      <c r="I154" s="74"/>
      <c r="J154" s="35"/>
      <c r="K154" s="36"/>
      <c r="L154" s="35"/>
      <c r="M154" s="32"/>
      <c r="N154" s="80" t="e">
        <f t="shared" si="6"/>
        <v>#DIV/0!</v>
      </c>
      <c r="O154" s="79" t="e">
        <f t="shared" si="4"/>
        <v>#DIV/0!</v>
      </c>
      <c r="R154" s="79">
        <f t="shared" si="5"/>
        <v>0</v>
      </c>
    </row>
    <row r="155" spans="1:18" x14ac:dyDescent="0.25">
      <c r="A155" s="31"/>
      <c r="B155" s="76"/>
      <c r="C155" s="32"/>
      <c r="D155" s="72"/>
      <c r="E155" s="33"/>
      <c r="F155" s="74"/>
      <c r="G155" s="74"/>
      <c r="H155" s="34"/>
      <c r="I155" s="74"/>
      <c r="J155" s="35"/>
      <c r="K155" s="36"/>
      <c r="L155" s="35"/>
      <c r="M155" s="32"/>
      <c r="N155" s="80" t="e">
        <f t="shared" si="6"/>
        <v>#DIV/0!</v>
      </c>
      <c r="O155" s="79" t="e">
        <f t="shared" si="4"/>
        <v>#DIV/0!</v>
      </c>
      <c r="R155" s="79">
        <f t="shared" si="5"/>
        <v>0</v>
      </c>
    </row>
    <row r="156" spans="1:18" x14ac:dyDescent="0.25">
      <c r="A156" s="31"/>
      <c r="B156" s="76"/>
      <c r="C156" s="32"/>
      <c r="D156" s="72"/>
      <c r="E156" s="33"/>
      <c r="F156" s="74"/>
      <c r="G156" s="74"/>
      <c r="H156" s="34"/>
      <c r="I156" s="74"/>
      <c r="J156" s="35"/>
      <c r="K156" s="36"/>
      <c r="L156" s="35"/>
      <c r="M156" s="32"/>
      <c r="N156" s="80" t="e">
        <f t="shared" si="6"/>
        <v>#DIV/0!</v>
      </c>
      <c r="O156" s="79" t="e">
        <f t="shared" si="4"/>
        <v>#DIV/0!</v>
      </c>
      <c r="R156" s="79">
        <f t="shared" si="5"/>
        <v>0</v>
      </c>
    </row>
    <row r="157" spans="1:18" x14ac:dyDescent="0.25">
      <c r="A157" s="31"/>
      <c r="B157" s="76"/>
      <c r="C157" s="32"/>
      <c r="D157" s="72"/>
      <c r="E157" s="33"/>
      <c r="F157" s="74"/>
      <c r="G157" s="74"/>
      <c r="H157" s="34"/>
      <c r="I157" s="74"/>
      <c r="J157" s="35"/>
      <c r="K157" s="36"/>
      <c r="L157" s="35"/>
      <c r="M157" s="32"/>
      <c r="N157" s="80" t="e">
        <f t="shared" si="6"/>
        <v>#DIV/0!</v>
      </c>
      <c r="O157" s="79" t="e">
        <f t="shared" si="4"/>
        <v>#DIV/0!</v>
      </c>
      <c r="R157" s="79">
        <f t="shared" si="5"/>
        <v>0</v>
      </c>
    </row>
    <row r="158" spans="1:18" x14ac:dyDescent="0.25">
      <c r="A158" s="31"/>
      <c r="B158" s="76"/>
      <c r="C158" s="32"/>
      <c r="D158" s="72"/>
      <c r="E158" s="33"/>
      <c r="F158" s="74"/>
      <c r="G158" s="74"/>
      <c r="H158" s="34"/>
      <c r="I158" s="74"/>
      <c r="J158" s="35"/>
      <c r="K158" s="36"/>
      <c r="L158" s="35"/>
      <c r="M158" s="32"/>
      <c r="N158" s="80" t="e">
        <f t="shared" si="6"/>
        <v>#DIV/0!</v>
      </c>
      <c r="O158" s="79" t="e">
        <f t="shared" si="4"/>
        <v>#DIV/0!</v>
      </c>
      <c r="R158" s="79">
        <f t="shared" si="5"/>
        <v>0</v>
      </c>
    </row>
    <row r="159" spans="1:18" x14ac:dyDescent="0.25">
      <c r="A159" s="31"/>
      <c r="B159" s="76"/>
      <c r="C159" s="32"/>
      <c r="D159" s="72"/>
      <c r="E159" s="33"/>
      <c r="F159" s="74"/>
      <c r="G159" s="74"/>
      <c r="H159" s="34"/>
      <c r="I159" s="74"/>
      <c r="J159" s="35"/>
      <c r="K159" s="36"/>
      <c r="L159" s="35"/>
      <c r="M159" s="32"/>
      <c r="N159" s="80" t="e">
        <f t="shared" si="6"/>
        <v>#DIV/0!</v>
      </c>
      <c r="O159" s="79" t="e">
        <f t="shared" ref="O159:O222" si="7">F159*N159</f>
        <v>#DIV/0!</v>
      </c>
      <c r="R159" s="79">
        <f t="shared" ref="R159:R222" si="8">F159*Q159</f>
        <v>0</v>
      </c>
    </row>
    <row r="160" spans="1:18" x14ac:dyDescent="0.25">
      <c r="A160" s="31"/>
      <c r="B160" s="76"/>
      <c r="C160" s="32"/>
      <c r="D160" s="72"/>
      <c r="E160" s="33"/>
      <c r="F160" s="74"/>
      <c r="G160" s="74"/>
      <c r="H160" s="34"/>
      <c r="I160" s="74"/>
      <c r="J160" s="35"/>
      <c r="K160" s="36"/>
      <c r="L160" s="35"/>
      <c r="M160" s="32"/>
      <c r="N160" s="80" t="e">
        <f t="shared" ref="N160:N223" si="9">(F160-G160)/F160</f>
        <v>#DIV/0!</v>
      </c>
      <c r="O160" s="79" t="e">
        <f t="shared" si="7"/>
        <v>#DIV/0!</v>
      </c>
      <c r="R160" s="79">
        <f t="shared" si="8"/>
        <v>0</v>
      </c>
    </row>
    <row r="161" spans="1:18" x14ac:dyDescent="0.25">
      <c r="A161" s="31"/>
      <c r="B161" s="76"/>
      <c r="C161" s="32"/>
      <c r="D161" s="72"/>
      <c r="E161" s="33"/>
      <c r="F161" s="74"/>
      <c r="G161" s="74"/>
      <c r="H161" s="34"/>
      <c r="I161" s="74"/>
      <c r="J161" s="35"/>
      <c r="K161" s="36"/>
      <c r="L161" s="35"/>
      <c r="M161" s="32"/>
      <c r="N161" s="80" t="e">
        <f t="shared" si="9"/>
        <v>#DIV/0!</v>
      </c>
      <c r="O161" s="79" t="e">
        <f t="shared" si="7"/>
        <v>#DIV/0!</v>
      </c>
      <c r="R161" s="79">
        <f t="shared" si="8"/>
        <v>0</v>
      </c>
    </row>
    <row r="162" spans="1:18" x14ac:dyDescent="0.25">
      <c r="A162" s="31"/>
      <c r="B162" s="76"/>
      <c r="C162" s="32"/>
      <c r="D162" s="72"/>
      <c r="E162" s="33"/>
      <c r="F162" s="74"/>
      <c r="G162" s="74"/>
      <c r="H162" s="34"/>
      <c r="I162" s="74"/>
      <c r="J162" s="35"/>
      <c r="K162" s="36"/>
      <c r="L162" s="35"/>
      <c r="M162" s="32"/>
      <c r="N162" s="80" t="e">
        <f t="shared" si="9"/>
        <v>#DIV/0!</v>
      </c>
      <c r="O162" s="79" t="e">
        <f t="shared" si="7"/>
        <v>#DIV/0!</v>
      </c>
      <c r="R162" s="79">
        <f t="shared" si="8"/>
        <v>0</v>
      </c>
    </row>
    <row r="163" spans="1:18" x14ac:dyDescent="0.25">
      <c r="A163" s="31"/>
      <c r="B163" s="76"/>
      <c r="C163" s="32"/>
      <c r="D163" s="72"/>
      <c r="E163" s="33"/>
      <c r="F163" s="74"/>
      <c r="G163" s="74"/>
      <c r="H163" s="34"/>
      <c r="I163" s="74"/>
      <c r="J163" s="35"/>
      <c r="K163" s="36"/>
      <c r="L163" s="35"/>
      <c r="M163" s="32"/>
      <c r="N163" s="80" t="e">
        <f t="shared" si="9"/>
        <v>#DIV/0!</v>
      </c>
      <c r="O163" s="79" t="e">
        <f t="shared" si="7"/>
        <v>#DIV/0!</v>
      </c>
      <c r="R163" s="79">
        <f t="shared" si="8"/>
        <v>0</v>
      </c>
    </row>
    <row r="164" spans="1:18" x14ac:dyDescent="0.25">
      <c r="A164" s="31"/>
      <c r="B164" s="76"/>
      <c r="C164" s="32"/>
      <c r="D164" s="72"/>
      <c r="E164" s="33"/>
      <c r="F164" s="74"/>
      <c r="G164" s="74"/>
      <c r="H164" s="34"/>
      <c r="I164" s="74"/>
      <c r="J164" s="35"/>
      <c r="K164" s="36"/>
      <c r="L164" s="35"/>
      <c r="M164" s="32"/>
      <c r="N164" s="80" t="e">
        <f t="shared" si="9"/>
        <v>#DIV/0!</v>
      </c>
      <c r="O164" s="79" t="e">
        <f t="shared" si="7"/>
        <v>#DIV/0!</v>
      </c>
      <c r="R164" s="79">
        <f t="shared" si="8"/>
        <v>0</v>
      </c>
    </row>
    <row r="165" spans="1:18" x14ac:dyDescent="0.25">
      <c r="A165" s="31"/>
      <c r="B165" s="76"/>
      <c r="C165" s="32"/>
      <c r="D165" s="72"/>
      <c r="E165" s="33"/>
      <c r="F165" s="74"/>
      <c r="G165" s="74"/>
      <c r="H165" s="34"/>
      <c r="I165" s="74"/>
      <c r="J165" s="35"/>
      <c r="K165" s="36"/>
      <c r="L165" s="35"/>
      <c r="M165" s="32"/>
      <c r="N165" s="80" t="e">
        <f t="shared" si="9"/>
        <v>#DIV/0!</v>
      </c>
      <c r="O165" s="79" t="e">
        <f t="shared" si="7"/>
        <v>#DIV/0!</v>
      </c>
      <c r="R165" s="79">
        <f t="shared" si="8"/>
        <v>0</v>
      </c>
    </row>
    <row r="166" spans="1:18" x14ac:dyDescent="0.25">
      <c r="A166" s="31"/>
      <c r="B166" s="76"/>
      <c r="C166" s="32"/>
      <c r="D166" s="72"/>
      <c r="E166" s="33"/>
      <c r="F166" s="74"/>
      <c r="G166" s="74"/>
      <c r="H166" s="34"/>
      <c r="I166" s="74"/>
      <c r="J166" s="35"/>
      <c r="K166" s="36"/>
      <c r="L166" s="35"/>
      <c r="M166" s="32"/>
      <c r="N166" s="80" t="e">
        <f t="shared" si="9"/>
        <v>#DIV/0!</v>
      </c>
      <c r="O166" s="79" t="e">
        <f t="shared" si="7"/>
        <v>#DIV/0!</v>
      </c>
      <c r="R166" s="79">
        <f t="shared" si="8"/>
        <v>0</v>
      </c>
    </row>
    <row r="167" spans="1:18" x14ac:dyDescent="0.25">
      <c r="A167" s="31"/>
      <c r="B167" s="76"/>
      <c r="C167" s="32"/>
      <c r="D167" s="72"/>
      <c r="E167" s="33"/>
      <c r="F167" s="74"/>
      <c r="G167" s="74"/>
      <c r="H167" s="34"/>
      <c r="I167" s="74"/>
      <c r="J167" s="35"/>
      <c r="K167" s="36"/>
      <c r="L167" s="35"/>
      <c r="M167" s="32"/>
      <c r="N167" s="80" t="e">
        <f t="shared" si="9"/>
        <v>#DIV/0!</v>
      </c>
      <c r="O167" s="79" t="e">
        <f t="shared" si="7"/>
        <v>#DIV/0!</v>
      </c>
      <c r="R167" s="79">
        <f t="shared" si="8"/>
        <v>0</v>
      </c>
    </row>
    <row r="168" spans="1:18" x14ac:dyDescent="0.25">
      <c r="A168" s="31"/>
      <c r="B168" s="76"/>
      <c r="C168" s="32"/>
      <c r="D168" s="72"/>
      <c r="E168" s="33"/>
      <c r="F168" s="74"/>
      <c r="G168" s="74"/>
      <c r="H168" s="34"/>
      <c r="I168" s="74"/>
      <c r="J168" s="35"/>
      <c r="K168" s="36"/>
      <c r="L168" s="35"/>
      <c r="M168" s="32"/>
      <c r="N168" s="80" t="e">
        <f t="shared" si="9"/>
        <v>#DIV/0!</v>
      </c>
      <c r="O168" s="79" t="e">
        <f t="shared" si="7"/>
        <v>#DIV/0!</v>
      </c>
      <c r="R168" s="79">
        <f t="shared" si="8"/>
        <v>0</v>
      </c>
    </row>
    <row r="169" spans="1:18" x14ac:dyDescent="0.25">
      <c r="A169" s="31"/>
      <c r="B169" s="76"/>
      <c r="C169" s="32"/>
      <c r="D169" s="72"/>
      <c r="E169" s="33"/>
      <c r="F169" s="74"/>
      <c r="G169" s="74"/>
      <c r="H169" s="34"/>
      <c r="I169" s="74"/>
      <c r="J169" s="35"/>
      <c r="K169" s="36"/>
      <c r="L169" s="35"/>
      <c r="M169" s="32"/>
      <c r="N169" s="80" t="e">
        <f t="shared" si="9"/>
        <v>#DIV/0!</v>
      </c>
      <c r="O169" s="79" t="e">
        <f t="shared" si="7"/>
        <v>#DIV/0!</v>
      </c>
      <c r="R169" s="79">
        <f t="shared" si="8"/>
        <v>0</v>
      </c>
    </row>
    <row r="170" spans="1:18" x14ac:dyDescent="0.25">
      <c r="A170" s="31"/>
      <c r="B170" s="76"/>
      <c r="C170" s="32"/>
      <c r="D170" s="72"/>
      <c r="E170" s="33"/>
      <c r="F170" s="74"/>
      <c r="G170" s="74"/>
      <c r="H170" s="34"/>
      <c r="I170" s="74"/>
      <c r="J170" s="35"/>
      <c r="K170" s="36"/>
      <c r="L170" s="35"/>
      <c r="M170" s="32"/>
      <c r="N170" s="80" t="e">
        <f t="shared" si="9"/>
        <v>#DIV/0!</v>
      </c>
      <c r="O170" s="79" t="e">
        <f t="shared" si="7"/>
        <v>#DIV/0!</v>
      </c>
      <c r="R170" s="79">
        <f t="shared" si="8"/>
        <v>0</v>
      </c>
    </row>
    <row r="171" spans="1:18" x14ac:dyDescent="0.25">
      <c r="A171" s="31"/>
      <c r="B171" s="76"/>
      <c r="C171" s="32"/>
      <c r="D171" s="72"/>
      <c r="E171" s="33"/>
      <c r="F171" s="74"/>
      <c r="G171" s="74"/>
      <c r="H171" s="34"/>
      <c r="I171" s="74"/>
      <c r="J171" s="35"/>
      <c r="K171" s="36"/>
      <c r="L171" s="35"/>
      <c r="M171" s="32"/>
      <c r="N171" s="80" t="e">
        <f t="shared" si="9"/>
        <v>#DIV/0!</v>
      </c>
      <c r="O171" s="79" t="e">
        <f t="shared" si="7"/>
        <v>#DIV/0!</v>
      </c>
      <c r="R171" s="79">
        <f t="shared" si="8"/>
        <v>0</v>
      </c>
    </row>
    <row r="172" spans="1:18" x14ac:dyDescent="0.25">
      <c r="A172" s="31"/>
      <c r="B172" s="76"/>
      <c r="C172" s="32"/>
      <c r="D172" s="72"/>
      <c r="E172" s="33"/>
      <c r="F172" s="74"/>
      <c r="G172" s="74"/>
      <c r="H172" s="34"/>
      <c r="I172" s="74"/>
      <c r="J172" s="35"/>
      <c r="K172" s="36"/>
      <c r="L172" s="35"/>
      <c r="M172" s="32"/>
      <c r="N172" s="80" t="e">
        <f t="shared" si="9"/>
        <v>#DIV/0!</v>
      </c>
      <c r="O172" s="79" t="e">
        <f t="shared" si="7"/>
        <v>#DIV/0!</v>
      </c>
      <c r="R172" s="79">
        <f t="shared" si="8"/>
        <v>0</v>
      </c>
    </row>
    <row r="173" spans="1:18" x14ac:dyDescent="0.25">
      <c r="A173" s="31"/>
      <c r="B173" s="76"/>
      <c r="C173" s="32"/>
      <c r="D173" s="72"/>
      <c r="E173" s="33"/>
      <c r="F173" s="74"/>
      <c r="G173" s="74"/>
      <c r="H173" s="34"/>
      <c r="I173" s="74"/>
      <c r="J173" s="35"/>
      <c r="K173" s="36"/>
      <c r="L173" s="35"/>
      <c r="M173" s="32"/>
      <c r="N173" s="80" t="e">
        <f t="shared" si="9"/>
        <v>#DIV/0!</v>
      </c>
      <c r="O173" s="79" t="e">
        <f t="shared" si="7"/>
        <v>#DIV/0!</v>
      </c>
      <c r="R173" s="79">
        <f t="shared" si="8"/>
        <v>0</v>
      </c>
    </row>
    <row r="174" spans="1:18" x14ac:dyDescent="0.25">
      <c r="A174" s="31"/>
      <c r="B174" s="76"/>
      <c r="C174" s="32"/>
      <c r="D174" s="72"/>
      <c r="E174" s="33"/>
      <c r="F174" s="74"/>
      <c r="G174" s="74"/>
      <c r="H174" s="34"/>
      <c r="I174" s="74"/>
      <c r="J174" s="35"/>
      <c r="K174" s="36"/>
      <c r="L174" s="35"/>
      <c r="M174" s="32"/>
      <c r="N174" s="80" t="e">
        <f t="shared" si="9"/>
        <v>#DIV/0!</v>
      </c>
      <c r="O174" s="79" t="e">
        <f t="shared" si="7"/>
        <v>#DIV/0!</v>
      </c>
      <c r="R174" s="79">
        <f t="shared" si="8"/>
        <v>0</v>
      </c>
    </row>
    <row r="175" spans="1:18" x14ac:dyDescent="0.25">
      <c r="A175" s="31"/>
      <c r="B175" s="76"/>
      <c r="C175" s="32"/>
      <c r="D175" s="72"/>
      <c r="E175" s="33"/>
      <c r="F175" s="74"/>
      <c r="G175" s="74"/>
      <c r="H175" s="34"/>
      <c r="I175" s="74"/>
      <c r="J175" s="35"/>
      <c r="K175" s="36"/>
      <c r="L175" s="35"/>
      <c r="M175" s="32"/>
      <c r="N175" s="80" t="e">
        <f t="shared" si="9"/>
        <v>#DIV/0!</v>
      </c>
      <c r="O175" s="79" t="e">
        <f t="shared" si="7"/>
        <v>#DIV/0!</v>
      </c>
      <c r="R175" s="79">
        <f t="shared" si="8"/>
        <v>0</v>
      </c>
    </row>
    <row r="176" spans="1:18" x14ac:dyDescent="0.25">
      <c r="A176" s="31"/>
      <c r="B176" s="76"/>
      <c r="C176" s="32"/>
      <c r="D176" s="72"/>
      <c r="E176" s="33"/>
      <c r="F176" s="74"/>
      <c r="G176" s="74"/>
      <c r="H176" s="34"/>
      <c r="I176" s="74"/>
      <c r="J176" s="35"/>
      <c r="K176" s="36"/>
      <c r="L176" s="35"/>
      <c r="M176" s="32"/>
      <c r="N176" s="80" t="e">
        <f t="shared" si="9"/>
        <v>#DIV/0!</v>
      </c>
      <c r="O176" s="79" t="e">
        <f t="shared" si="7"/>
        <v>#DIV/0!</v>
      </c>
      <c r="R176" s="79">
        <f t="shared" si="8"/>
        <v>0</v>
      </c>
    </row>
    <row r="177" spans="1:18" x14ac:dyDescent="0.25">
      <c r="A177" s="31"/>
      <c r="B177" s="76"/>
      <c r="C177" s="32"/>
      <c r="D177" s="72"/>
      <c r="E177" s="33"/>
      <c r="F177" s="74"/>
      <c r="G177" s="74"/>
      <c r="H177" s="34"/>
      <c r="I177" s="74"/>
      <c r="J177" s="35"/>
      <c r="K177" s="36"/>
      <c r="L177" s="35"/>
      <c r="M177" s="32"/>
      <c r="N177" s="80" t="e">
        <f t="shared" si="9"/>
        <v>#DIV/0!</v>
      </c>
      <c r="O177" s="79" t="e">
        <f t="shared" si="7"/>
        <v>#DIV/0!</v>
      </c>
      <c r="R177" s="79">
        <f t="shared" si="8"/>
        <v>0</v>
      </c>
    </row>
    <row r="178" spans="1:18" x14ac:dyDescent="0.25">
      <c r="A178" s="31"/>
      <c r="B178" s="76"/>
      <c r="C178" s="32"/>
      <c r="D178" s="72"/>
      <c r="E178" s="33"/>
      <c r="F178" s="74"/>
      <c r="G178" s="74"/>
      <c r="H178" s="34"/>
      <c r="I178" s="74"/>
      <c r="J178" s="35"/>
      <c r="K178" s="36"/>
      <c r="L178" s="35"/>
      <c r="M178" s="32"/>
      <c r="N178" s="80" t="e">
        <f t="shared" si="9"/>
        <v>#DIV/0!</v>
      </c>
      <c r="O178" s="79" t="e">
        <f t="shared" si="7"/>
        <v>#DIV/0!</v>
      </c>
      <c r="R178" s="79">
        <f t="shared" si="8"/>
        <v>0</v>
      </c>
    </row>
    <row r="179" spans="1:18" x14ac:dyDescent="0.25">
      <c r="A179" s="31"/>
      <c r="B179" s="76"/>
      <c r="C179" s="32"/>
      <c r="D179" s="72"/>
      <c r="E179" s="33"/>
      <c r="F179" s="74"/>
      <c r="G179" s="74"/>
      <c r="H179" s="34"/>
      <c r="I179" s="74"/>
      <c r="J179" s="35"/>
      <c r="K179" s="36"/>
      <c r="L179" s="35"/>
      <c r="M179" s="32"/>
      <c r="N179" s="80" t="e">
        <f t="shared" si="9"/>
        <v>#DIV/0!</v>
      </c>
      <c r="O179" s="79" t="e">
        <f t="shared" si="7"/>
        <v>#DIV/0!</v>
      </c>
      <c r="R179" s="79">
        <f t="shared" si="8"/>
        <v>0</v>
      </c>
    </row>
    <row r="180" spans="1:18" x14ac:dyDescent="0.25">
      <c r="A180" s="31"/>
      <c r="B180" s="76"/>
      <c r="C180" s="32"/>
      <c r="D180" s="72"/>
      <c r="E180" s="33"/>
      <c r="F180" s="74"/>
      <c r="G180" s="74"/>
      <c r="H180" s="34"/>
      <c r="I180" s="74"/>
      <c r="J180" s="35"/>
      <c r="K180" s="36"/>
      <c r="L180" s="35"/>
      <c r="M180" s="32"/>
      <c r="N180" s="80" t="e">
        <f t="shared" si="9"/>
        <v>#DIV/0!</v>
      </c>
      <c r="O180" s="79" t="e">
        <f t="shared" si="7"/>
        <v>#DIV/0!</v>
      </c>
      <c r="R180" s="79">
        <f t="shared" si="8"/>
        <v>0</v>
      </c>
    </row>
    <row r="181" spans="1:18" x14ac:dyDescent="0.25">
      <c r="A181" s="31"/>
      <c r="B181" s="76"/>
      <c r="C181" s="32"/>
      <c r="D181" s="72"/>
      <c r="E181" s="33"/>
      <c r="F181" s="74"/>
      <c r="G181" s="74"/>
      <c r="H181" s="34"/>
      <c r="I181" s="74"/>
      <c r="J181" s="35"/>
      <c r="K181" s="36"/>
      <c r="L181" s="35"/>
      <c r="M181" s="32"/>
      <c r="N181" s="80" t="e">
        <f t="shared" si="9"/>
        <v>#DIV/0!</v>
      </c>
      <c r="O181" s="79" t="e">
        <f t="shared" si="7"/>
        <v>#DIV/0!</v>
      </c>
      <c r="R181" s="79">
        <f t="shared" si="8"/>
        <v>0</v>
      </c>
    </row>
    <row r="182" spans="1:18" x14ac:dyDescent="0.25">
      <c r="A182" s="31"/>
      <c r="B182" s="76"/>
      <c r="C182" s="32"/>
      <c r="D182" s="72"/>
      <c r="E182" s="33"/>
      <c r="F182" s="74"/>
      <c r="G182" s="74"/>
      <c r="H182" s="34"/>
      <c r="I182" s="74"/>
      <c r="J182" s="35"/>
      <c r="K182" s="36"/>
      <c r="L182" s="35"/>
      <c r="M182" s="32"/>
      <c r="N182" s="80" t="e">
        <f t="shared" si="9"/>
        <v>#DIV/0!</v>
      </c>
      <c r="O182" s="79" t="e">
        <f t="shared" si="7"/>
        <v>#DIV/0!</v>
      </c>
      <c r="R182" s="79">
        <f t="shared" si="8"/>
        <v>0</v>
      </c>
    </row>
    <row r="183" spans="1:18" x14ac:dyDescent="0.25">
      <c r="A183" s="31"/>
      <c r="B183" s="76"/>
      <c r="C183" s="32"/>
      <c r="D183" s="72"/>
      <c r="E183" s="33"/>
      <c r="F183" s="74"/>
      <c r="G183" s="74"/>
      <c r="H183" s="34"/>
      <c r="I183" s="74"/>
      <c r="J183" s="35"/>
      <c r="K183" s="36"/>
      <c r="L183" s="35"/>
      <c r="M183" s="32"/>
      <c r="N183" s="80" t="e">
        <f t="shared" si="9"/>
        <v>#DIV/0!</v>
      </c>
      <c r="O183" s="79" t="e">
        <f t="shared" si="7"/>
        <v>#DIV/0!</v>
      </c>
      <c r="R183" s="79">
        <f t="shared" si="8"/>
        <v>0</v>
      </c>
    </row>
    <row r="184" spans="1:18" x14ac:dyDescent="0.25">
      <c r="A184" s="31"/>
      <c r="B184" s="76"/>
      <c r="C184" s="32"/>
      <c r="D184" s="72"/>
      <c r="E184" s="33"/>
      <c r="F184" s="74"/>
      <c r="G184" s="74"/>
      <c r="H184" s="34"/>
      <c r="I184" s="74"/>
      <c r="J184" s="35"/>
      <c r="K184" s="36"/>
      <c r="L184" s="35"/>
      <c r="M184" s="32"/>
      <c r="N184" s="80" t="e">
        <f t="shared" si="9"/>
        <v>#DIV/0!</v>
      </c>
      <c r="O184" s="79" t="e">
        <f t="shared" si="7"/>
        <v>#DIV/0!</v>
      </c>
      <c r="R184" s="79">
        <f t="shared" si="8"/>
        <v>0</v>
      </c>
    </row>
    <row r="185" spans="1:18" x14ac:dyDescent="0.25">
      <c r="A185" s="31"/>
      <c r="B185" s="76"/>
      <c r="C185" s="32"/>
      <c r="D185" s="72"/>
      <c r="E185" s="33"/>
      <c r="F185" s="74"/>
      <c r="G185" s="74"/>
      <c r="H185" s="34"/>
      <c r="I185" s="74"/>
      <c r="J185" s="35"/>
      <c r="K185" s="36"/>
      <c r="L185" s="35"/>
      <c r="M185" s="32"/>
      <c r="N185" s="80" t="e">
        <f t="shared" si="9"/>
        <v>#DIV/0!</v>
      </c>
      <c r="O185" s="79" t="e">
        <f t="shared" si="7"/>
        <v>#DIV/0!</v>
      </c>
      <c r="R185" s="79">
        <f t="shared" si="8"/>
        <v>0</v>
      </c>
    </row>
    <row r="186" spans="1:18" x14ac:dyDescent="0.25">
      <c r="A186" s="31"/>
      <c r="B186" s="76"/>
      <c r="C186" s="32"/>
      <c r="D186" s="72"/>
      <c r="E186" s="33"/>
      <c r="F186" s="74"/>
      <c r="G186" s="74"/>
      <c r="H186" s="34"/>
      <c r="I186" s="74"/>
      <c r="J186" s="35"/>
      <c r="K186" s="36"/>
      <c r="L186" s="35"/>
      <c r="M186" s="32"/>
      <c r="N186" s="80" t="e">
        <f t="shared" si="9"/>
        <v>#DIV/0!</v>
      </c>
      <c r="O186" s="79" t="e">
        <f t="shared" si="7"/>
        <v>#DIV/0!</v>
      </c>
      <c r="R186" s="79">
        <f t="shared" si="8"/>
        <v>0</v>
      </c>
    </row>
    <row r="187" spans="1:18" x14ac:dyDescent="0.25">
      <c r="A187" s="31"/>
      <c r="B187" s="76"/>
      <c r="C187" s="32"/>
      <c r="D187" s="72"/>
      <c r="E187" s="33"/>
      <c r="F187" s="74"/>
      <c r="G187" s="74"/>
      <c r="H187" s="34"/>
      <c r="I187" s="74"/>
      <c r="J187" s="35"/>
      <c r="K187" s="36"/>
      <c r="L187" s="35"/>
      <c r="M187" s="32"/>
      <c r="N187" s="80" t="e">
        <f t="shared" si="9"/>
        <v>#DIV/0!</v>
      </c>
      <c r="O187" s="79" t="e">
        <f t="shared" si="7"/>
        <v>#DIV/0!</v>
      </c>
      <c r="R187" s="79">
        <f t="shared" si="8"/>
        <v>0</v>
      </c>
    </row>
    <row r="188" spans="1:18" x14ac:dyDescent="0.25">
      <c r="A188" s="31"/>
      <c r="B188" s="76"/>
      <c r="C188" s="32"/>
      <c r="D188" s="72"/>
      <c r="E188" s="33"/>
      <c r="F188" s="74"/>
      <c r="G188" s="74"/>
      <c r="H188" s="34"/>
      <c r="I188" s="74"/>
      <c r="J188" s="35"/>
      <c r="K188" s="36"/>
      <c r="L188" s="35"/>
      <c r="M188" s="32"/>
      <c r="N188" s="80" t="e">
        <f t="shared" si="9"/>
        <v>#DIV/0!</v>
      </c>
      <c r="O188" s="79" t="e">
        <f t="shared" si="7"/>
        <v>#DIV/0!</v>
      </c>
      <c r="R188" s="79">
        <f t="shared" si="8"/>
        <v>0</v>
      </c>
    </row>
    <row r="189" spans="1:18" x14ac:dyDescent="0.25">
      <c r="A189" s="31"/>
      <c r="B189" s="76"/>
      <c r="C189" s="32"/>
      <c r="D189" s="72"/>
      <c r="E189" s="33"/>
      <c r="F189" s="74"/>
      <c r="G189" s="74"/>
      <c r="H189" s="34"/>
      <c r="I189" s="74"/>
      <c r="J189" s="35"/>
      <c r="K189" s="36"/>
      <c r="L189" s="35"/>
      <c r="M189" s="32"/>
      <c r="N189" s="80" t="e">
        <f t="shared" si="9"/>
        <v>#DIV/0!</v>
      </c>
      <c r="O189" s="79" t="e">
        <f t="shared" si="7"/>
        <v>#DIV/0!</v>
      </c>
      <c r="R189" s="79">
        <f t="shared" si="8"/>
        <v>0</v>
      </c>
    </row>
    <row r="190" spans="1:18" x14ac:dyDescent="0.25">
      <c r="A190" s="31"/>
      <c r="B190" s="76"/>
      <c r="C190" s="32"/>
      <c r="D190" s="72"/>
      <c r="E190" s="33"/>
      <c r="F190" s="74"/>
      <c r="G190" s="74"/>
      <c r="H190" s="34"/>
      <c r="I190" s="74"/>
      <c r="J190" s="35"/>
      <c r="K190" s="36"/>
      <c r="L190" s="35"/>
      <c r="M190" s="32"/>
      <c r="N190" s="80" t="e">
        <f t="shared" si="9"/>
        <v>#DIV/0!</v>
      </c>
      <c r="O190" s="79" t="e">
        <f t="shared" si="7"/>
        <v>#DIV/0!</v>
      </c>
      <c r="R190" s="79">
        <f t="shared" si="8"/>
        <v>0</v>
      </c>
    </row>
    <row r="191" spans="1:18" x14ac:dyDescent="0.25">
      <c r="A191" s="31"/>
      <c r="B191" s="76"/>
      <c r="C191" s="32"/>
      <c r="D191" s="72"/>
      <c r="E191" s="33"/>
      <c r="F191" s="74"/>
      <c r="G191" s="74"/>
      <c r="H191" s="34"/>
      <c r="I191" s="74"/>
      <c r="J191" s="35"/>
      <c r="K191" s="36"/>
      <c r="L191" s="35"/>
      <c r="M191" s="32"/>
      <c r="N191" s="80" t="e">
        <f t="shared" si="9"/>
        <v>#DIV/0!</v>
      </c>
      <c r="O191" s="79" t="e">
        <f t="shared" si="7"/>
        <v>#DIV/0!</v>
      </c>
      <c r="R191" s="79">
        <f t="shared" si="8"/>
        <v>0</v>
      </c>
    </row>
    <row r="192" spans="1:18" x14ac:dyDescent="0.25">
      <c r="A192" s="31"/>
      <c r="B192" s="76"/>
      <c r="C192" s="32"/>
      <c r="D192" s="72"/>
      <c r="E192" s="33"/>
      <c r="F192" s="74"/>
      <c r="G192" s="74"/>
      <c r="H192" s="34"/>
      <c r="I192" s="74"/>
      <c r="J192" s="35"/>
      <c r="K192" s="36"/>
      <c r="L192" s="35"/>
      <c r="M192" s="32"/>
      <c r="N192" s="80" t="e">
        <f t="shared" si="9"/>
        <v>#DIV/0!</v>
      </c>
      <c r="O192" s="79" t="e">
        <f t="shared" si="7"/>
        <v>#DIV/0!</v>
      </c>
      <c r="R192" s="79">
        <f t="shared" si="8"/>
        <v>0</v>
      </c>
    </row>
    <row r="193" spans="1:18" x14ac:dyDescent="0.25">
      <c r="A193" s="31"/>
      <c r="B193" s="76"/>
      <c r="C193" s="32"/>
      <c r="D193" s="72"/>
      <c r="E193" s="33"/>
      <c r="F193" s="74"/>
      <c r="G193" s="74"/>
      <c r="H193" s="34"/>
      <c r="I193" s="74"/>
      <c r="J193" s="35"/>
      <c r="K193" s="36"/>
      <c r="L193" s="35"/>
      <c r="M193" s="32"/>
      <c r="N193" s="80" t="e">
        <f t="shared" si="9"/>
        <v>#DIV/0!</v>
      </c>
      <c r="O193" s="79" t="e">
        <f t="shared" si="7"/>
        <v>#DIV/0!</v>
      </c>
      <c r="R193" s="79">
        <f t="shared" si="8"/>
        <v>0</v>
      </c>
    </row>
    <row r="194" spans="1:18" x14ac:dyDescent="0.25">
      <c r="A194" s="31"/>
      <c r="B194" s="76"/>
      <c r="C194" s="32"/>
      <c r="D194" s="72"/>
      <c r="E194" s="33"/>
      <c r="F194" s="74"/>
      <c r="G194" s="74"/>
      <c r="H194" s="34"/>
      <c r="I194" s="74"/>
      <c r="J194" s="35"/>
      <c r="K194" s="36"/>
      <c r="L194" s="35"/>
      <c r="M194" s="32"/>
      <c r="N194" s="80" t="e">
        <f t="shared" si="9"/>
        <v>#DIV/0!</v>
      </c>
      <c r="O194" s="79" t="e">
        <f t="shared" si="7"/>
        <v>#DIV/0!</v>
      </c>
      <c r="R194" s="79">
        <f t="shared" si="8"/>
        <v>0</v>
      </c>
    </row>
    <row r="195" spans="1:18" x14ac:dyDescent="0.25">
      <c r="A195" s="31"/>
      <c r="B195" s="76"/>
      <c r="C195" s="32"/>
      <c r="D195" s="72"/>
      <c r="E195" s="33"/>
      <c r="F195" s="74"/>
      <c r="G195" s="74"/>
      <c r="H195" s="34"/>
      <c r="I195" s="74"/>
      <c r="J195" s="35"/>
      <c r="K195" s="36"/>
      <c r="L195" s="35"/>
      <c r="M195" s="32"/>
      <c r="N195" s="80" t="e">
        <f t="shared" si="9"/>
        <v>#DIV/0!</v>
      </c>
      <c r="O195" s="79" t="e">
        <f t="shared" si="7"/>
        <v>#DIV/0!</v>
      </c>
      <c r="R195" s="79">
        <f t="shared" si="8"/>
        <v>0</v>
      </c>
    </row>
    <row r="196" spans="1:18" x14ac:dyDescent="0.25">
      <c r="A196" s="31"/>
      <c r="B196" s="76"/>
      <c r="C196" s="32"/>
      <c r="D196" s="72"/>
      <c r="E196" s="33"/>
      <c r="F196" s="74"/>
      <c r="G196" s="74"/>
      <c r="H196" s="34"/>
      <c r="I196" s="74"/>
      <c r="J196" s="35"/>
      <c r="K196" s="36"/>
      <c r="L196" s="35"/>
      <c r="M196" s="32"/>
      <c r="N196" s="80" t="e">
        <f t="shared" si="9"/>
        <v>#DIV/0!</v>
      </c>
      <c r="O196" s="79" t="e">
        <f t="shared" si="7"/>
        <v>#DIV/0!</v>
      </c>
      <c r="R196" s="79">
        <f t="shared" si="8"/>
        <v>0</v>
      </c>
    </row>
    <row r="197" spans="1:18" x14ac:dyDescent="0.25">
      <c r="A197" s="31"/>
      <c r="B197" s="76"/>
      <c r="C197" s="32"/>
      <c r="D197" s="72"/>
      <c r="E197" s="33"/>
      <c r="F197" s="74"/>
      <c r="G197" s="74"/>
      <c r="H197" s="34"/>
      <c r="I197" s="74"/>
      <c r="J197" s="35"/>
      <c r="K197" s="36"/>
      <c r="L197" s="35"/>
      <c r="M197" s="32"/>
      <c r="N197" s="80" t="e">
        <f t="shared" si="9"/>
        <v>#DIV/0!</v>
      </c>
      <c r="O197" s="79" t="e">
        <f t="shared" si="7"/>
        <v>#DIV/0!</v>
      </c>
      <c r="R197" s="79">
        <f t="shared" si="8"/>
        <v>0</v>
      </c>
    </row>
    <row r="198" spans="1:18" x14ac:dyDescent="0.25">
      <c r="A198" s="31"/>
      <c r="B198" s="76"/>
      <c r="C198" s="32"/>
      <c r="D198" s="72"/>
      <c r="E198" s="33"/>
      <c r="F198" s="74"/>
      <c r="G198" s="74"/>
      <c r="H198" s="34"/>
      <c r="I198" s="74"/>
      <c r="J198" s="35"/>
      <c r="K198" s="36"/>
      <c r="L198" s="35"/>
      <c r="M198" s="32"/>
      <c r="N198" s="80" t="e">
        <f t="shared" si="9"/>
        <v>#DIV/0!</v>
      </c>
      <c r="O198" s="79" t="e">
        <f t="shared" si="7"/>
        <v>#DIV/0!</v>
      </c>
      <c r="R198" s="79">
        <f t="shared" si="8"/>
        <v>0</v>
      </c>
    </row>
    <row r="199" spans="1:18" x14ac:dyDescent="0.25">
      <c r="A199" s="31"/>
      <c r="B199" s="76"/>
      <c r="C199" s="32"/>
      <c r="D199" s="72"/>
      <c r="E199" s="33"/>
      <c r="F199" s="74"/>
      <c r="G199" s="74"/>
      <c r="H199" s="34"/>
      <c r="I199" s="74"/>
      <c r="J199" s="35"/>
      <c r="K199" s="36"/>
      <c r="L199" s="35"/>
      <c r="M199" s="32"/>
      <c r="N199" s="80" t="e">
        <f t="shared" si="9"/>
        <v>#DIV/0!</v>
      </c>
      <c r="O199" s="79" t="e">
        <f t="shared" si="7"/>
        <v>#DIV/0!</v>
      </c>
      <c r="R199" s="79">
        <f t="shared" si="8"/>
        <v>0</v>
      </c>
    </row>
    <row r="200" spans="1:18" x14ac:dyDescent="0.25">
      <c r="A200" s="31"/>
      <c r="B200" s="76"/>
      <c r="C200" s="32"/>
      <c r="D200" s="72"/>
      <c r="E200" s="33"/>
      <c r="F200" s="74"/>
      <c r="G200" s="74"/>
      <c r="H200" s="34"/>
      <c r="I200" s="74"/>
      <c r="J200" s="35"/>
      <c r="K200" s="36"/>
      <c r="L200" s="35"/>
      <c r="M200" s="32"/>
      <c r="N200" s="80" t="e">
        <f t="shared" si="9"/>
        <v>#DIV/0!</v>
      </c>
      <c r="O200" s="79" t="e">
        <f t="shared" si="7"/>
        <v>#DIV/0!</v>
      </c>
      <c r="R200" s="79">
        <f t="shared" si="8"/>
        <v>0</v>
      </c>
    </row>
    <row r="201" spans="1:18" x14ac:dyDescent="0.25">
      <c r="A201" s="31"/>
      <c r="B201" s="76"/>
      <c r="C201" s="32"/>
      <c r="D201" s="72"/>
      <c r="E201" s="33"/>
      <c r="F201" s="74"/>
      <c r="G201" s="74"/>
      <c r="H201" s="34"/>
      <c r="I201" s="74"/>
      <c r="J201" s="35"/>
      <c r="K201" s="36"/>
      <c r="L201" s="35"/>
      <c r="M201" s="32"/>
      <c r="N201" s="80" t="e">
        <f t="shared" si="9"/>
        <v>#DIV/0!</v>
      </c>
      <c r="O201" s="79" t="e">
        <f t="shared" si="7"/>
        <v>#DIV/0!</v>
      </c>
      <c r="R201" s="79">
        <f t="shared" si="8"/>
        <v>0</v>
      </c>
    </row>
    <row r="202" spans="1:18" x14ac:dyDescent="0.25">
      <c r="A202" s="31"/>
      <c r="B202" s="76"/>
      <c r="C202" s="32"/>
      <c r="D202" s="72"/>
      <c r="E202" s="33"/>
      <c r="F202" s="74"/>
      <c r="G202" s="74"/>
      <c r="H202" s="34"/>
      <c r="I202" s="74"/>
      <c r="J202" s="35"/>
      <c r="K202" s="36"/>
      <c r="L202" s="35"/>
      <c r="M202" s="32"/>
      <c r="N202" s="80" t="e">
        <f t="shared" si="9"/>
        <v>#DIV/0!</v>
      </c>
      <c r="O202" s="79" t="e">
        <f t="shared" si="7"/>
        <v>#DIV/0!</v>
      </c>
      <c r="R202" s="79">
        <f t="shared" si="8"/>
        <v>0</v>
      </c>
    </row>
    <row r="203" spans="1:18" x14ac:dyDescent="0.25">
      <c r="A203" s="31"/>
      <c r="B203" s="76"/>
      <c r="C203" s="32"/>
      <c r="D203" s="72"/>
      <c r="E203" s="33"/>
      <c r="F203" s="74"/>
      <c r="G203" s="74"/>
      <c r="H203" s="34"/>
      <c r="I203" s="74"/>
      <c r="J203" s="35"/>
      <c r="K203" s="36"/>
      <c r="L203" s="35"/>
      <c r="M203" s="32"/>
      <c r="N203" s="80" t="e">
        <f t="shared" si="9"/>
        <v>#DIV/0!</v>
      </c>
      <c r="O203" s="79" t="e">
        <f t="shared" si="7"/>
        <v>#DIV/0!</v>
      </c>
      <c r="R203" s="79">
        <f t="shared" si="8"/>
        <v>0</v>
      </c>
    </row>
    <row r="204" spans="1:18" x14ac:dyDescent="0.25">
      <c r="A204" s="31"/>
      <c r="B204" s="76"/>
      <c r="C204" s="32"/>
      <c r="D204" s="72"/>
      <c r="E204" s="33"/>
      <c r="F204" s="74"/>
      <c r="G204" s="74"/>
      <c r="H204" s="34"/>
      <c r="I204" s="74"/>
      <c r="J204" s="35"/>
      <c r="K204" s="36"/>
      <c r="L204" s="35"/>
      <c r="M204" s="32"/>
      <c r="N204" s="80" t="e">
        <f t="shared" si="9"/>
        <v>#DIV/0!</v>
      </c>
      <c r="O204" s="79" t="e">
        <f t="shared" si="7"/>
        <v>#DIV/0!</v>
      </c>
      <c r="R204" s="79">
        <f t="shared" si="8"/>
        <v>0</v>
      </c>
    </row>
    <row r="205" spans="1:18" x14ac:dyDescent="0.25">
      <c r="A205" s="31"/>
      <c r="B205" s="76"/>
      <c r="C205" s="32"/>
      <c r="D205" s="72"/>
      <c r="E205" s="33"/>
      <c r="F205" s="74"/>
      <c r="G205" s="74"/>
      <c r="H205" s="34"/>
      <c r="I205" s="74"/>
      <c r="J205" s="35"/>
      <c r="K205" s="36"/>
      <c r="L205" s="35"/>
      <c r="M205" s="32"/>
      <c r="N205" s="80" t="e">
        <f t="shared" si="9"/>
        <v>#DIV/0!</v>
      </c>
      <c r="O205" s="79" t="e">
        <f t="shared" si="7"/>
        <v>#DIV/0!</v>
      </c>
      <c r="R205" s="79">
        <f t="shared" si="8"/>
        <v>0</v>
      </c>
    </row>
    <row r="206" spans="1:18" x14ac:dyDescent="0.25">
      <c r="A206" s="31"/>
      <c r="B206" s="76"/>
      <c r="C206" s="32"/>
      <c r="D206" s="72"/>
      <c r="E206" s="33"/>
      <c r="F206" s="74"/>
      <c r="G206" s="74"/>
      <c r="H206" s="34"/>
      <c r="I206" s="74"/>
      <c r="J206" s="35"/>
      <c r="K206" s="36"/>
      <c r="L206" s="35"/>
      <c r="M206" s="32"/>
      <c r="N206" s="80" t="e">
        <f t="shared" si="9"/>
        <v>#DIV/0!</v>
      </c>
      <c r="O206" s="79" t="e">
        <f t="shared" si="7"/>
        <v>#DIV/0!</v>
      </c>
      <c r="R206" s="79">
        <f t="shared" si="8"/>
        <v>0</v>
      </c>
    </row>
    <row r="207" spans="1:18" x14ac:dyDescent="0.25">
      <c r="A207" s="31"/>
      <c r="B207" s="76"/>
      <c r="C207" s="32"/>
      <c r="D207" s="72"/>
      <c r="E207" s="33"/>
      <c r="F207" s="74"/>
      <c r="G207" s="74"/>
      <c r="H207" s="34"/>
      <c r="I207" s="74"/>
      <c r="J207" s="35"/>
      <c r="K207" s="36"/>
      <c r="L207" s="35"/>
      <c r="M207" s="32"/>
      <c r="N207" s="80" t="e">
        <f t="shared" si="9"/>
        <v>#DIV/0!</v>
      </c>
      <c r="O207" s="79" t="e">
        <f t="shared" si="7"/>
        <v>#DIV/0!</v>
      </c>
      <c r="R207" s="79">
        <f t="shared" si="8"/>
        <v>0</v>
      </c>
    </row>
    <row r="208" spans="1:18" x14ac:dyDescent="0.25">
      <c r="A208" s="31"/>
      <c r="B208" s="76"/>
      <c r="C208" s="32"/>
      <c r="D208" s="72"/>
      <c r="E208" s="33"/>
      <c r="F208" s="74"/>
      <c r="G208" s="74"/>
      <c r="H208" s="34"/>
      <c r="I208" s="74"/>
      <c r="J208" s="35"/>
      <c r="K208" s="36"/>
      <c r="L208" s="35"/>
      <c r="M208" s="32"/>
      <c r="N208" s="80" t="e">
        <f t="shared" si="9"/>
        <v>#DIV/0!</v>
      </c>
      <c r="O208" s="79" t="e">
        <f t="shared" si="7"/>
        <v>#DIV/0!</v>
      </c>
      <c r="R208" s="79">
        <f t="shared" si="8"/>
        <v>0</v>
      </c>
    </row>
    <row r="209" spans="1:18" x14ac:dyDescent="0.25">
      <c r="A209" s="31"/>
      <c r="B209" s="76"/>
      <c r="C209" s="32"/>
      <c r="D209" s="72"/>
      <c r="E209" s="33"/>
      <c r="F209" s="74"/>
      <c r="G209" s="74"/>
      <c r="H209" s="34"/>
      <c r="I209" s="74"/>
      <c r="J209" s="35"/>
      <c r="K209" s="36"/>
      <c r="L209" s="35"/>
      <c r="M209" s="32"/>
      <c r="N209" s="80" t="e">
        <f t="shared" si="9"/>
        <v>#DIV/0!</v>
      </c>
      <c r="O209" s="79" t="e">
        <f t="shared" si="7"/>
        <v>#DIV/0!</v>
      </c>
      <c r="R209" s="79">
        <f t="shared" si="8"/>
        <v>0</v>
      </c>
    </row>
    <row r="210" spans="1:18" x14ac:dyDescent="0.25">
      <c r="A210" s="31"/>
      <c r="B210" s="76"/>
      <c r="C210" s="32"/>
      <c r="D210" s="72"/>
      <c r="E210" s="33"/>
      <c r="F210" s="74"/>
      <c r="G210" s="74"/>
      <c r="H210" s="34"/>
      <c r="I210" s="74"/>
      <c r="J210" s="35"/>
      <c r="K210" s="36"/>
      <c r="L210" s="35"/>
      <c r="M210" s="32"/>
      <c r="N210" s="80" t="e">
        <f t="shared" si="9"/>
        <v>#DIV/0!</v>
      </c>
      <c r="O210" s="79" t="e">
        <f t="shared" si="7"/>
        <v>#DIV/0!</v>
      </c>
      <c r="R210" s="79">
        <f t="shared" si="8"/>
        <v>0</v>
      </c>
    </row>
    <row r="211" spans="1:18" x14ac:dyDescent="0.25">
      <c r="A211" s="31"/>
      <c r="B211" s="76"/>
      <c r="C211" s="32"/>
      <c r="D211" s="72"/>
      <c r="E211" s="33"/>
      <c r="F211" s="74"/>
      <c r="G211" s="74"/>
      <c r="H211" s="34"/>
      <c r="I211" s="74"/>
      <c r="J211" s="35"/>
      <c r="K211" s="36"/>
      <c r="L211" s="35"/>
      <c r="M211" s="32"/>
      <c r="N211" s="80" t="e">
        <f t="shared" si="9"/>
        <v>#DIV/0!</v>
      </c>
      <c r="O211" s="79" t="e">
        <f t="shared" si="7"/>
        <v>#DIV/0!</v>
      </c>
      <c r="R211" s="79">
        <f t="shared" si="8"/>
        <v>0</v>
      </c>
    </row>
    <row r="212" spans="1:18" x14ac:dyDescent="0.25">
      <c r="A212" s="31"/>
      <c r="B212" s="76"/>
      <c r="C212" s="32"/>
      <c r="D212" s="72"/>
      <c r="E212" s="33"/>
      <c r="F212" s="74"/>
      <c r="G212" s="74"/>
      <c r="H212" s="34"/>
      <c r="I212" s="74"/>
      <c r="J212" s="35"/>
      <c r="K212" s="36"/>
      <c r="L212" s="35"/>
      <c r="M212" s="32"/>
      <c r="N212" s="80" t="e">
        <f t="shared" si="9"/>
        <v>#DIV/0!</v>
      </c>
      <c r="O212" s="79" t="e">
        <f t="shared" si="7"/>
        <v>#DIV/0!</v>
      </c>
      <c r="R212" s="79">
        <f t="shared" si="8"/>
        <v>0</v>
      </c>
    </row>
    <row r="213" spans="1:18" x14ac:dyDescent="0.25">
      <c r="A213" s="31"/>
      <c r="B213" s="76"/>
      <c r="C213" s="32"/>
      <c r="D213" s="72"/>
      <c r="E213" s="33"/>
      <c r="F213" s="74"/>
      <c r="G213" s="74"/>
      <c r="H213" s="34"/>
      <c r="I213" s="74"/>
      <c r="J213" s="35"/>
      <c r="K213" s="36"/>
      <c r="L213" s="35"/>
      <c r="M213" s="32"/>
      <c r="N213" s="80" t="e">
        <f t="shared" si="9"/>
        <v>#DIV/0!</v>
      </c>
      <c r="O213" s="79" t="e">
        <f t="shared" si="7"/>
        <v>#DIV/0!</v>
      </c>
      <c r="R213" s="79">
        <f t="shared" si="8"/>
        <v>0</v>
      </c>
    </row>
    <row r="214" spans="1:18" x14ac:dyDescent="0.25">
      <c r="A214" s="31"/>
      <c r="B214" s="76"/>
      <c r="C214" s="32"/>
      <c r="D214" s="72"/>
      <c r="E214" s="33"/>
      <c r="F214" s="74"/>
      <c r="G214" s="74"/>
      <c r="H214" s="34"/>
      <c r="I214" s="74"/>
      <c r="J214" s="35"/>
      <c r="K214" s="36"/>
      <c r="L214" s="35"/>
      <c r="M214" s="32"/>
      <c r="N214" s="80" t="e">
        <f t="shared" si="9"/>
        <v>#DIV/0!</v>
      </c>
      <c r="O214" s="79" t="e">
        <f t="shared" si="7"/>
        <v>#DIV/0!</v>
      </c>
      <c r="R214" s="79">
        <f t="shared" si="8"/>
        <v>0</v>
      </c>
    </row>
    <row r="215" spans="1:18" x14ac:dyDescent="0.25">
      <c r="A215" s="31"/>
      <c r="B215" s="76"/>
      <c r="C215" s="32"/>
      <c r="D215" s="72"/>
      <c r="E215" s="33"/>
      <c r="F215" s="74"/>
      <c r="G215" s="74"/>
      <c r="H215" s="34"/>
      <c r="I215" s="74"/>
      <c r="J215" s="35"/>
      <c r="K215" s="36"/>
      <c r="L215" s="35"/>
      <c r="M215" s="32"/>
      <c r="N215" s="80" t="e">
        <f t="shared" si="9"/>
        <v>#DIV/0!</v>
      </c>
      <c r="O215" s="79" t="e">
        <f t="shared" si="7"/>
        <v>#DIV/0!</v>
      </c>
      <c r="R215" s="79">
        <f t="shared" si="8"/>
        <v>0</v>
      </c>
    </row>
    <row r="216" spans="1:18" x14ac:dyDescent="0.25">
      <c r="A216" s="31"/>
      <c r="B216" s="76"/>
      <c r="C216" s="32"/>
      <c r="D216" s="72"/>
      <c r="E216" s="33"/>
      <c r="F216" s="74"/>
      <c r="G216" s="74"/>
      <c r="H216" s="34"/>
      <c r="I216" s="74"/>
      <c r="J216" s="35"/>
      <c r="K216" s="36"/>
      <c r="L216" s="35"/>
      <c r="M216" s="32"/>
      <c r="N216" s="80" t="e">
        <f t="shared" si="9"/>
        <v>#DIV/0!</v>
      </c>
      <c r="O216" s="79" t="e">
        <f t="shared" si="7"/>
        <v>#DIV/0!</v>
      </c>
      <c r="R216" s="79">
        <f t="shared" si="8"/>
        <v>0</v>
      </c>
    </row>
    <row r="217" spans="1:18" x14ac:dyDescent="0.25">
      <c r="A217" s="31"/>
      <c r="B217" s="76"/>
      <c r="C217" s="32"/>
      <c r="D217" s="72"/>
      <c r="E217" s="33"/>
      <c r="F217" s="74"/>
      <c r="G217" s="74"/>
      <c r="H217" s="34"/>
      <c r="I217" s="74"/>
      <c r="J217" s="35"/>
      <c r="K217" s="36"/>
      <c r="L217" s="35"/>
      <c r="M217" s="32"/>
      <c r="N217" s="80" t="e">
        <f t="shared" si="9"/>
        <v>#DIV/0!</v>
      </c>
      <c r="O217" s="79" t="e">
        <f t="shared" si="7"/>
        <v>#DIV/0!</v>
      </c>
      <c r="R217" s="79">
        <f t="shared" si="8"/>
        <v>0</v>
      </c>
    </row>
    <row r="218" spans="1:18" x14ac:dyDescent="0.25">
      <c r="A218" s="31"/>
      <c r="B218" s="76"/>
      <c r="C218" s="32"/>
      <c r="D218" s="72"/>
      <c r="E218" s="33"/>
      <c r="F218" s="74"/>
      <c r="G218" s="74"/>
      <c r="H218" s="34"/>
      <c r="I218" s="74"/>
      <c r="J218" s="35"/>
      <c r="K218" s="36"/>
      <c r="L218" s="35"/>
      <c r="M218" s="32"/>
      <c r="N218" s="80" t="e">
        <f t="shared" si="9"/>
        <v>#DIV/0!</v>
      </c>
      <c r="O218" s="79" t="e">
        <f t="shared" si="7"/>
        <v>#DIV/0!</v>
      </c>
      <c r="R218" s="79">
        <f t="shared" si="8"/>
        <v>0</v>
      </c>
    </row>
    <row r="219" spans="1:18" x14ac:dyDescent="0.25">
      <c r="A219" s="31"/>
      <c r="B219" s="76"/>
      <c r="C219" s="32"/>
      <c r="D219" s="72"/>
      <c r="E219" s="33"/>
      <c r="F219" s="74"/>
      <c r="G219" s="74"/>
      <c r="H219" s="34"/>
      <c r="I219" s="74"/>
      <c r="J219" s="35"/>
      <c r="K219" s="36"/>
      <c r="L219" s="35"/>
      <c r="M219" s="32"/>
      <c r="N219" s="80" t="e">
        <f t="shared" si="9"/>
        <v>#DIV/0!</v>
      </c>
      <c r="O219" s="79" t="e">
        <f t="shared" si="7"/>
        <v>#DIV/0!</v>
      </c>
      <c r="R219" s="79">
        <f t="shared" si="8"/>
        <v>0</v>
      </c>
    </row>
    <row r="220" spans="1:18" x14ac:dyDescent="0.25">
      <c r="A220" s="31"/>
      <c r="B220" s="76"/>
      <c r="C220" s="32"/>
      <c r="D220" s="72"/>
      <c r="E220" s="33"/>
      <c r="F220" s="74"/>
      <c r="G220" s="74"/>
      <c r="H220" s="34"/>
      <c r="I220" s="74"/>
      <c r="J220" s="35"/>
      <c r="K220" s="36"/>
      <c r="L220" s="35"/>
      <c r="M220" s="32"/>
      <c r="N220" s="80" t="e">
        <f t="shared" si="9"/>
        <v>#DIV/0!</v>
      </c>
      <c r="O220" s="79" t="e">
        <f t="shared" si="7"/>
        <v>#DIV/0!</v>
      </c>
      <c r="R220" s="79">
        <f t="shared" si="8"/>
        <v>0</v>
      </c>
    </row>
    <row r="221" spans="1:18" x14ac:dyDescent="0.25">
      <c r="A221" s="31"/>
      <c r="B221" s="76"/>
      <c r="C221" s="32"/>
      <c r="D221" s="72"/>
      <c r="E221" s="33"/>
      <c r="F221" s="74"/>
      <c r="G221" s="74"/>
      <c r="H221" s="34"/>
      <c r="I221" s="74"/>
      <c r="J221" s="35"/>
      <c r="K221" s="36"/>
      <c r="L221" s="35"/>
      <c r="M221" s="32"/>
      <c r="N221" s="80" t="e">
        <f t="shared" si="9"/>
        <v>#DIV/0!</v>
      </c>
      <c r="O221" s="79" t="e">
        <f t="shared" si="7"/>
        <v>#DIV/0!</v>
      </c>
      <c r="R221" s="79">
        <f t="shared" si="8"/>
        <v>0</v>
      </c>
    </row>
    <row r="222" spans="1:18" x14ac:dyDescent="0.25">
      <c r="A222" s="31"/>
      <c r="B222" s="76"/>
      <c r="C222" s="32"/>
      <c r="D222" s="72"/>
      <c r="E222" s="33"/>
      <c r="F222" s="74"/>
      <c r="G222" s="74"/>
      <c r="H222" s="34"/>
      <c r="I222" s="74"/>
      <c r="J222" s="35"/>
      <c r="K222" s="36"/>
      <c r="L222" s="35"/>
      <c r="M222" s="32"/>
      <c r="N222" s="80" t="e">
        <f t="shared" si="9"/>
        <v>#DIV/0!</v>
      </c>
      <c r="O222" s="79" t="e">
        <f t="shared" si="7"/>
        <v>#DIV/0!</v>
      </c>
      <c r="R222" s="79">
        <f t="shared" si="8"/>
        <v>0</v>
      </c>
    </row>
    <row r="223" spans="1:18" x14ac:dyDescent="0.25">
      <c r="A223" s="31"/>
      <c r="B223" s="76"/>
      <c r="C223" s="32"/>
      <c r="D223" s="72"/>
      <c r="E223" s="33"/>
      <c r="F223" s="74"/>
      <c r="G223" s="74"/>
      <c r="H223" s="34"/>
      <c r="I223" s="74"/>
      <c r="J223" s="35"/>
      <c r="K223" s="36"/>
      <c r="L223" s="35"/>
      <c r="M223" s="32"/>
      <c r="N223" s="80" t="e">
        <f t="shared" si="9"/>
        <v>#DIV/0!</v>
      </c>
      <c r="O223" s="79" t="e">
        <f t="shared" ref="O223:O286" si="10">F223*N223</f>
        <v>#DIV/0!</v>
      </c>
      <c r="R223" s="79">
        <f t="shared" ref="R223:R286" si="11">F223*Q223</f>
        <v>0</v>
      </c>
    </row>
    <row r="224" spans="1:18" x14ac:dyDescent="0.25">
      <c r="A224" s="31"/>
      <c r="B224" s="76"/>
      <c r="C224" s="32"/>
      <c r="D224" s="72"/>
      <c r="E224" s="33"/>
      <c r="F224" s="74"/>
      <c r="G224" s="74"/>
      <c r="H224" s="34"/>
      <c r="I224" s="74"/>
      <c r="J224" s="35"/>
      <c r="K224" s="36"/>
      <c r="L224" s="35"/>
      <c r="M224" s="32"/>
      <c r="N224" s="80" t="e">
        <f t="shared" ref="N224:N287" si="12">(F224-G224)/F224</f>
        <v>#DIV/0!</v>
      </c>
      <c r="O224" s="79" t="e">
        <f t="shared" si="10"/>
        <v>#DIV/0!</v>
      </c>
      <c r="R224" s="79">
        <f t="shared" si="11"/>
        <v>0</v>
      </c>
    </row>
    <row r="225" spans="1:18" x14ac:dyDescent="0.25">
      <c r="A225" s="31"/>
      <c r="B225" s="76"/>
      <c r="C225" s="32"/>
      <c r="D225" s="72"/>
      <c r="E225" s="33"/>
      <c r="F225" s="74"/>
      <c r="G225" s="74"/>
      <c r="H225" s="34"/>
      <c r="I225" s="74"/>
      <c r="J225" s="35"/>
      <c r="K225" s="36"/>
      <c r="L225" s="35"/>
      <c r="M225" s="32"/>
      <c r="N225" s="80" t="e">
        <f t="shared" si="12"/>
        <v>#DIV/0!</v>
      </c>
      <c r="O225" s="79" t="e">
        <f t="shared" si="10"/>
        <v>#DIV/0!</v>
      </c>
      <c r="R225" s="79">
        <f t="shared" si="11"/>
        <v>0</v>
      </c>
    </row>
    <row r="226" spans="1:18" x14ac:dyDescent="0.25">
      <c r="A226" s="31"/>
      <c r="B226" s="76"/>
      <c r="C226" s="32"/>
      <c r="D226" s="72"/>
      <c r="E226" s="33"/>
      <c r="F226" s="74"/>
      <c r="G226" s="74"/>
      <c r="H226" s="34"/>
      <c r="I226" s="74"/>
      <c r="J226" s="35"/>
      <c r="K226" s="36"/>
      <c r="L226" s="35"/>
      <c r="M226" s="32"/>
      <c r="N226" s="80" t="e">
        <f t="shared" si="12"/>
        <v>#DIV/0!</v>
      </c>
      <c r="O226" s="79" t="e">
        <f t="shared" si="10"/>
        <v>#DIV/0!</v>
      </c>
      <c r="R226" s="79">
        <f t="shared" si="11"/>
        <v>0</v>
      </c>
    </row>
    <row r="227" spans="1:18" x14ac:dyDescent="0.25">
      <c r="A227" s="31"/>
      <c r="B227" s="76"/>
      <c r="C227" s="32"/>
      <c r="D227" s="72"/>
      <c r="E227" s="33"/>
      <c r="F227" s="74"/>
      <c r="G227" s="74"/>
      <c r="H227" s="34"/>
      <c r="I227" s="74"/>
      <c r="J227" s="35"/>
      <c r="K227" s="36"/>
      <c r="L227" s="35"/>
      <c r="M227" s="32"/>
      <c r="N227" s="80" t="e">
        <f t="shared" si="12"/>
        <v>#DIV/0!</v>
      </c>
      <c r="O227" s="79" t="e">
        <f t="shared" si="10"/>
        <v>#DIV/0!</v>
      </c>
      <c r="R227" s="79">
        <f t="shared" si="11"/>
        <v>0</v>
      </c>
    </row>
    <row r="228" spans="1:18" x14ac:dyDescent="0.25">
      <c r="A228" s="31"/>
      <c r="B228" s="76"/>
      <c r="C228" s="32"/>
      <c r="D228" s="72"/>
      <c r="E228" s="33"/>
      <c r="F228" s="74"/>
      <c r="G228" s="74"/>
      <c r="H228" s="34"/>
      <c r="I228" s="74"/>
      <c r="J228" s="35"/>
      <c r="K228" s="36"/>
      <c r="L228" s="35"/>
      <c r="M228" s="32"/>
      <c r="N228" s="80" t="e">
        <f t="shared" si="12"/>
        <v>#DIV/0!</v>
      </c>
      <c r="O228" s="79" t="e">
        <f t="shared" si="10"/>
        <v>#DIV/0!</v>
      </c>
      <c r="R228" s="79">
        <f t="shared" si="11"/>
        <v>0</v>
      </c>
    </row>
    <row r="229" spans="1:18" x14ac:dyDescent="0.25">
      <c r="A229" s="31"/>
      <c r="B229" s="76"/>
      <c r="C229" s="32"/>
      <c r="D229" s="72"/>
      <c r="E229" s="33"/>
      <c r="F229" s="74"/>
      <c r="G229" s="74"/>
      <c r="H229" s="34"/>
      <c r="I229" s="74"/>
      <c r="J229" s="35"/>
      <c r="K229" s="36"/>
      <c r="L229" s="35"/>
      <c r="M229" s="32"/>
      <c r="N229" s="80" t="e">
        <f t="shared" si="12"/>
        <v>#DIV/0!</v>
      </c>
      <c r="O229" s="79" t="e">
        <f t="shared" si="10"/>
        <v>#DIV/0!</v>
      </c>
      <c r="R229" s="79">
        <f t="shared" si="11"/>
        <v>0</v>
      </c>
    </row>
    <row r="230" spans="1:18" x14ac:dyDescent="0.25">
      <c r="A230" s="31"/>
      <c r="B230" s="76"/>
      <c r="C230" s="32"/>
      <c r="D230" s="72"/>
      <c r="E230" s="33"/>
      <c r="F230" s="74"/>
      <c r="G230" s="74"/>
      <c r="H230" s="34"/>
      <c r="I230" s="74"/>
      <c r="J230" s="35"/>
      <c r="K230" s="36"/>
      <c r="L230" s="35"/>
      <c r="M230" s="32"/>
      <c r="N230" s="80" t="e">
        <f t="shared" si="12"/>
        <v>#DIV/0!</v>
      </c>
      <c r="O230" s="79" t="e">
        <f t="shared" si="10"/>
        <v>#DIV/0!</v>
      </c>
      <c r="R230" s="79">
        <f t="shared" si="11"/>
        <v>0</v>
      </c>
    </row>
    <row r="231" spans="1:18" x14ac:dyDescent="0.25">
      <c r="A231" s="31"/>
      <c r="B231" s="76"/>
      <c r="C231" s="32"/>
      <c r="D231" s="72"/>
      <c r="E231" s="33"/>
      <c r="F231" s="74"/>
      <c r="G231" s="74"/>
      <c r="H231" s="34"/>
      <c r="I231" s="74"/>
      <c r="J231" s="35"/>
      <c r="K231" s="36"/>
      <c r="L231" s="35"/>
      <c r="M231" s="32"/>
      <c r="N231" s="80" t="e">
        <f t="shared" si="12"/>
        <v>#DIV/0!</v>
      </c>
      <c r="O231" s="79" t="e">
        <f t="shared" si="10"/>
        <v>#DIV/0!</v>
      </c>
      <c r="R231" s="79">
        <f t="shared" si="11"/>
        <v>0</v>
      </c>
    </row>
    <row r="232" spans="1:18" x14ac:dyDescent="0.25">
      <c r="A232" s="31"/>
      <c r="B232" s="76"/>
      <c r="C232" s="32"/>
      <c r="D232" s="72"/>
      <c r="E232" s="33"/>
      <c r="F232" s="74"/>
      <c r="G232" s="74"/>
      <c r="H232" s="34"/>
      <c r="I232" s="74"/>
      <c r="J232" s="35"/>
      <c r="K232" s="36"/>
      <c r="L232" s="35"/>
      <c r="M232" s="32"/>
      <c r="N232" s="80" t="e">
        <f t="shared" si="12"/>
        <v>#DIV/0!</v>
      </c>
      <c r="O232" s="79" t="e">
        <f t="shared" si="10"/>
        <v>#DIV/0!</v>
      </c>
      <c r="R232" s="79">
        <f t="shared" si="11"/>
        <v>0</v>
      </c>
    </row>
    <row r="233" spans="1:18" x14ac:dyDescent="0.25">
      <c r="A233" s="31"/>
      <c r="B233" s="76"/>
      <c r="C233" s="32"/>
      <c r="D233" s="72"/>
      <c r="E233" s="33"/>
      <c r="F233" s="74"/>
      <c r="G233" s="74"/>
      <c r="H233" s="34"/>
      <c r="I233" s="74"/>
      <c r="J233" s="35"/>
      <c r="K233" s="36"/>
      <c r="L233" s="35"/>
      <c r="M233" s="32"/>
      <c r="N233" s="80" t="e">
        <f t="shared" si="12"/>
        <v>#DIV/0!</v>
      </c>
      <c r="O233" s="79" t="e">
        <f t="shared" si="10"/>
        <v>#DIV/0!</v>
      </c>
      <c r="R233" s="79">
        <f t="shared" si="11"/>
        <v>0</v>
      </c>
    </row>
    <row r="234" spans="1:18" x14ac:dyDescent="0.25">
      <c r="A234" s="31"/>
      <c r="B234" s="76"/>
      <c r="C234" s="32"/>
      <c r="D234" s="72"/>
      <c r="E234" s="33"/>
      <c r="F234" s="74"/>
      <c r="G234" s="74"/>
      <c r="H234" s="34"/>
      <c r="I234" s="74"/>
      <c r="J234" s="35"/>
      <c r="K234" s="36"/>
      <c r="L234" s="35"/>
      <c r="M234" s="32"/>
      <c r="N234" s="80" t="e">
        <f t="shared" si="12"/>
        <v>#DIV/0!</v>
      </c>
      <c r="O234" s="79" t="e">
        <f t="shared" si="10"/>
        <v>#DIV/0!</v>
      </c>
      <c r="R234" s="79">
        <f t="shared" si="11"/>
        <v>0</v>
      </c>
    </row>
    <row r="235" spans="1:18" x14ac:dyDescent="0.25">
      <c r="A235" s="31"/>
      <c r="B235" s="76"/>
      <c r="C235" s="32"/>
      <c r="D235" s="72"/>
      <c r="E235" s="33"/>
      <c r="F235" s="74"/>
      <c r="G235" s="74"/>
      <c r="H235" s="34"/>
      <c r="I235" s="74"/>
      <c r="J235" s="35"/>
      <c r="K235" s="36"/>
      <c r="L235" s="35"/>
      <c r="M235" s="32"/>
      <c r="N235" s="80" t="e">
        <f t="shared" si="12"/>
        <v>#DIV/0!</v>
      </c>
      <c r="O235" s="79" t="e">
        <f t="shared" si="10"/>
        <v>#DIV/0!</v>
      </c>
      <c r="R235" s="79">
        <f t="shared" si="11"/>
        <v>0</v>
      </c>
    </row>
    <row r="236" spans="1:18" x14ac:dyDescent="0.25">
      <c r="A236" s="31"/>
      <c r="B236" s="76"/>
      <c r="C236" s="32"/>
      <c r="D236" s="72"/>
      <c r="E236" s="33"/>
      <c r="F236" s="74"/>
      <c r="G236" s="74"/>
      <c r="H236" s="34"/>
      <c r="I236" s="74"/>
      <c r="J236" s="35"/>
      <c r="K236" s="36"/>
      <c r="L236" s="35"/>
      <c r="M236" s="32"/>
      <c r="N236" s="80" t="e">
        <f t="shared" si="12"/>
        <v>#DIV/0!</v>
      </c>
      <c r="O236" s="79" t="e">
        <f t="shared" si="10"/>
        <v>#DIV/0!</v>
      </c>
      <c r="R236" s="79">
        <f t="shared" si="11"/>
        <v>0</v>
      </c>
    </row>
    <row r="237" spans="1:18" x14ac:dyDescent="0.25">
      <c r="A237" s="31"/>
      <c r="B237" s="76"/>
      <c r="C237" s="32"/>
      <c r="D237" s="72"/>
      <c r="E237" s="33"/>
      <c r="F237" s="74"/>
      <c r="G237" s="74"/>
      <c r="H237" s="34"/>
      <c r="I237" s="74"/>
      <c r="J237" s="35"/>
      <c r="K237" s="36"/>
      <c r="L237" s="35"/>
      <c r="M237" s="32"/>
      <c r="N237" s="80" t="e">
        <f t="shared" si="12"/>
        <v>#DIV/0!</v>
      </c>
      <c r="O237" s="79" t="e">
        <f t="shared" si="10"/>
        <v>#DIV/0!</v>
      </c>
      <c r="R237" s="79">
        <f t="shared" si="11"/>
        <v>0</v>
      </c>
    </row>
    <row r="238" spans="1:18" x14ac:dyDescent="0.25">
      <c r="A238" s="31"/>
      <c r="B238" s="76"/>
      <c r="C238" s="32"/>
      <c r="D238" s="72"/>
      <c r="E238" s="33"/>
      <c r="F238" s="74"/>
      <c r="G238" s="74"/>
      <c r="H238" s="34"/>
      <c r="I238" s="74"/>
      <c r="J238" s="35"/>
      <c r="K238" s="36"/>
      <c r="L238" s="35"/>
      <c r="M238" s="32"/>
      <c r="N238" s="80" t="e">
        <f t="shared" si="12"/>
        <v>#DIV/0!</v>
      </c>
      <c r="O238" s="79" t="e">
        <f t="shared" si="10"/>
        <v>#DIV/0!</v>
      </c>
      <c r="R238" s="79">
        <f t="shared" si="11"/>
        <v>0</v>
      </c>
    </row>
    <row r="239" spans="1:18" x14ac:dyDescent="0.25">
      <c r="A239" s="31"/>
      <c r="B239" s="76"/>
      <c r="C239" s="32"/>
      <c r="D239" s="72"/>
      <c r="E239" s="33"/>
      <c r="F239" s="74"/>
      <c r="G239" s="74"/>
      <c r="H239" s="34"/>
      <c r="I239" s="74"/>
      <c r="J239" s="35"/>
      <c r="K239" s="36"/>
      <c r="L239" s="35"/>
      <c r="M239" s="32"/>
      <c r="N239" s="80" t="e">
        <f t="shared" si="12"/>
        <v>#DIV/0!</v>
      </c>
      <c r="O239" s="79" t="e">
        <f t="shared" si="10"/>
        <v>#DIV/0!</v>
      </c>
      <c r="R239" s="79">
        <f t="shared" si="11"/>
        <v>0</v>
      </c>
    </row>
    <row r="240" spans="1:18" x14ac:dyDescent="0.25">
      <c r="A240" s="31"/>
      <c r="B240" s="76"/>
      <c r="C240" s="32"/>
      <c r="D240" s="72"/>
      <c r="E240" s="33"/>
      <c r="F240" s="74"/>
      <c r="G240" s="74"/>
      <c r="H240" s="34"/>
      <c r="I240" s="74"/>
      <c r="J240" s="35"/>
      <c r="K240" s="36"/>
      <c r="L240" s="35"/>
      <c r="M240" s="32"/>
      <c r="N240" s="80" t="e">
        <f t="shared" si="12"/>
        <v>#DIV/0!</v>
      </c>
      <c r="O240" s="79" t="e">
        <f t="shared" si="10"/>
        <v>#DIV/0!</v>
      </c>
      <c r="R240" s="79">
        <f t="shared" si="11"/>
        <v>0</v>
      </c>
    </row>
    <row r="241" spans="1:18" x14ac:dyDescent="0.25">
      <c r="A241" s="31"/>
      <c r="B241" s="76"/>
      <c r="C241" s="32"/>
      <c r="D241" s="72"/>
      <c r="E241" s="33"/>
      <c r="F241" s="74"/>
      <c r="G241" s="74"/>
      <c r="H241" s="34"/>
      <c r="I241" s="74"/>
      <c r="J241" s="35"/>
      <c r="K241" s="36"/>
      <c r="L241" s="35"/>
      <c r="M241" s="32"/>
      <c r="N241" s="80" t="e">
        <f t="shared" si="12"/>
        <v>#DIV/0!</v>
      </c>
      <c r="O241" s="79" t="e">
        <f t="shared" si="10"/>
        <v>#DIV/0!</v>
      </c>
      <c r="R241" s="79">
        <f t="shared" si="11"/>
        <v>0</v>
      </c>
    </row>
    <row r="242" spans="1:18" x14ac:dyDescent="0.25">
      <c r="A242" s="31"/>
      <c r="B242" s="76"/>
      <c r="C242" s="32"/>
      <c r="D242" s="72"/>
      <c r="E242" s="33"/>
      <c r="F242" s="74"/>
      <c r="G242" s="74"/>
      <c r="H242" s="34"/>
      <c r="I242" s="74"/>
      <c r="J242" s="35"/>
      <c r="K242" s="36"/>
      <c r="L242" s="35"/>
      <c r="M242" s="32"/>
      <c r="N242" s="80" t="e">
        <f t="shared" si="12"/>
        <v>#DIV/0!</v>
      </c>
      <c r="O242" s="79" t="e">
        <f t="shared" si="10"/>
        <v>#DIV/0!</v>
      </c>
      <c r="R242" s="79">
        <f t="shared" si="11"/>
        <v>0</v>
      </c>
    </row>
    <row r="243" spans="1:18" x14ac:dyDescent="0.25">
      <c r="A243" s="31"/>
      <c r="B243" s="76"/>
      <c r="C243" s="32"/>
      <c r="D243" s="72"/>
      <c r="E243" s="33"/>
      <c r="F243" s="74"/>
      <c r="G243" s="74"/>
      <c r="H243" s="34"/>
      <c r="I243" s="74"/>
      <c r="J243" s="35"/>
      <c r="K243" s="36"/>
      <c r="L243" s="35"/>
      <c r="M243" s="32"/>
      <c r="N243" s="80" t="e">
        <f t="shared" si="12"/>
        <v>#DIV/0!</v>
      </c>
      <c r="O243" s="79" t="e">
        <f t="shared" si="10"/>
        <v>#DIV/0!</v>
      </c>
      <c r="R243" s="79">
        <f t="shared" si="11"/>
        <v>0</v>
      </c>
    </row>
    <row r="244" spans="1:18" x14ac:dyDescent="0.25">
      <c r="A244" s="31"/>
      <c r="B244" s="76"/>
      <c r="C244" s="32"/>
      <c r="D244" s="72"/>
      <c r="E244" s="33"/>
      <c r="F244" s="74"/>
      <c r="G244" s="74"/>
      <c r="H244" s="34"/>
      <c r="I244" s="74"/>
      <c r="J244" s="35"/>
      <c r="K244" s="36"/>
      <c r="L244" s="35"/>
      <c r="M244" s="32"/>
      <c r="N244" s="80" t="e">
        <f t="shared" si="12"/>
        <v>#DIV/0!</v>
      </c>
      <c r="O244" s="79" t="e">
        <f t="shared" si="10"/>
        <v>#DIV/0!</v>
      </c>
      <c r="R244" s="79">
        <f t="shared" si="11"/>
        <v>0</v>
      </c>
    </row>
    <row r="245" spans="1:18" x14ac:dyDescent="0.25">
      <c r="A245" s="31"/>
      <c r="B245" s="76"/>
      <c r="C245" s="32"/>
      <c r="D245" s="72"/>
      <c r="E245" s="33"/>
      <c r="F245" s="74"/>
      <c r="G245" s="74"/>
      <c r="H245" s="34"/>
      <c r="I245" s="74"/>
      <c r="J245" s="35"/>
      <c r="K245" s="36"/>
      <c r="L245" s="35"/>
      <c r="M245" s="32"/>
      <c r="N245" s="80" t="e">
        <f t="shared" si="12"/>
        <v>#DIV/0!</v>
      </c>
      <c r="O245" s="79" t="e">
        <f t="shared" si="10"/>
        <v>#DIV/0!</v>
      </c>
      <c r="R245" s="79">
        <f t="shared" si="11"/>
        <v>0</v>
      </c>
    </row>
    <row r="246" spans="1:18" x14ac:dyDescent="0.25">
      <c r="A246" s="31"/>
      <c r="B246" s="76"/>
      <c r="C246" s="32"/>
      <c r="D246" s="72"/>
      <c r="E246" s="33"/>
      <c r="F246" s="74"/>
      <c r="G246" s="74"/>
      <c r="H246" s="34"/>
      <c r="I246" s="74"/>
      <c r="J246" s="35"/>
      <c r="K246" s="36"/>
      <c r="L246" s="35"/>
      <c r="M246" s="32"/>
      <c r="N246" s="80" t="e">
        <f t="shared" si="12"/>
        <v>#DIV/0!</v>
      </c>
      <c r="O246" s="79" t="e">
        <f t="shared" si="10"/>
        <v>#DIV/0!</v>
      </c>
      <c r="R246" s="79">
        <f t="shared" si="11"/>
        <v>0</v>
      </c>
    </row>
    <row r="247" spans="1:18" x14ac:dyDescent="0.25">
      <c r="A247" s="31"/>
      <c r="B247" s="76"/>
      <c r="C247" s="32"/>
      <c r="D247" s="72"/>
      <c r="E247" s="33"/>
      <c r="F247" s="74"/>
      <c r="G247" s="74"/>
      <c r="H247" s="34"/>
      <c r="I247" s="74"/>
      <c r="J247" s="35"/>
      <c r="K247" s="36"/>
      <c r="L247" s="35"/>
      <c r="M247" s="32"/>
      <c r="N247" s="80" t="e">
        <f t="shared" si="12"/>
        <v>#DIV/0!</v>
      </c>
      <c r="O247" s="79" t="e">
        <f t="shared" si="10"/>
        <v>#DIV/0!</v>
      </c>
      <c r="R247" s="79">
        <f t="shared" si="11"/>
        <v>0</v>
      </c>
    </row>
    <row r="248" spans="1:18" x14ac:dyDescent="0.25">
      <c r="A248" s="31"/>
      <c r="B248" s="76"/>
      <c r="C248" s="32"/>
      <c r="D248" s="72"/>
      <c r="E248" s="33"/>
      <c r="F248" s="74"/>
      <c r="G248" s="74"/>
      <c r="H248" s="34"/>
      <c r="I248" s="74"/>
      <c r="J248" s="35"/>
      <c r="K248" s="36"/>
      <c r="L248" s="35"/>
      <c r="M248" s="32"/>
      <c r="N248" s="80" t="e">
        <f t="shared" si="12"/>
        <v>#DIV/0!</v>
      </c>
      <c r="O248" s="79" t="e">
        <f t="shared" si="10"/>
        <v>#DIV/0!</v>
      </c>
      <c r="R248" s="79">
        <f t="shared" si="11"/>
        <v>0</v>
      </c>
    </row>
    <row r="249" spans="1:18" x14ac:dyDescent="0.25">
      <c r="A249" s="31"/>
      <c r="B249" s="76"/>
      <c r="C249" s="32"/>
      <c r="D249" s="72"/>
      <c r="E249" s="33"/>
      <c r="F249" s="74"/>
      <c r="G249" s="74"/>
      <c r="H249" s="34"/>
      <c r="I249" s="74"/>
      <c r="J249" s="35"/>
      <c r="K249" s="36"/>
      <c r="L249" s="35"/>
      <c r="M249" s="32"/>
      <c r="N249" s="80" t="e">
        <f t="shared" si="12"/>
        <v>#DIV/0!</v>
      </c>
      <c r="O249" s="79" t="e">
        <f t="shared" si="10"/>
        <v>#DIV/0!</v>
      </c>
      <c r="R249" s="79">
        <f t="shared" si="11"/>
        <v>0</v>
      </c>
    </row>
    <row r="250" spans="1:18" x14ac:dyDescent="0.25">
      <c r="A250" s="31"/>
      <c r="B250" s="76"/>
      <c r="C250" s="32"/>
      <c r="D250" s="72"/>
      <c r="E250" s="33"/>
      <c r="F250" s="74"/>
      <c r="G250" s="74"/>
      <c r="H250" s="34"/>
      <c r="I250" s="74"/>
      <c r="J250" s="35"/>
      <c r="K250" s="36"/>
      <c r="L250" s="35"/>
      <c r="M250" s="32"/>
      <c r="N250" s="80" t="e">
        <f t="shared" si="12"/>
        <v>#DIV/0!</v>
      </c>
      <c r="O250" s="79" t="e">
        <f t="shared" si="10"/>
        <v>#DIV/0!</v>
      </c>
      <c r="R250" s="79">
        <f t="shared" si="11"/>
        <v>0</v>
      </c>
    </row>
    <row r="251" spans="1:18" x14ac:dyDescent="0.25">
      <c r="A251" s="31"/>
      <c r="B251" s="76"/>
      <c r="C251" s="32"/>
      <c r="D251" s="72"/>
      <c r="E251" s="33"/>
      <c r="F251" s="74"/>
      <c r="G251" s="74"/>
      <c r="H251" s="34"/>
      <c r="I251" s="74"/>
      <c r="J251" s="35"/>
      <c r="K251" s="36"/>
      <c r="L251" s="35"/>
      <c r="M251" s="32"/>
      <c r="N251" s="80" t="e">
        <f t="shared" si="12"/>
        <v>#DIV/0!</v>
      </c>
      <c r="O251" s="79" t="e">
        <f t="shared" si="10"/>
        <v>#DIV/0!</v>
      </c>
      <c r="R251" s="79">
        <f t="shared" si="11"/>
        <v>0</v>
      </c>
    </row>
    <row r="252" spans="1:18" x14ac:dyDescent="0.25">
      <c r="A252" s="31"/>
      <c r="B252" s="76"/>
      <c r="C252" s="32"/>
      <c r="D252" s="72"/>
      <c r="E252" s="33"/>
      <c r="F252" s="74"/>
      <c r="G252" s="74"/>
      <c r="H252" s="34"/>
      <c r="I252" s="74"/>
      <c r="J252" s="35"/>
      <c r="K252" s="36"/>
      <c r="L252" s="35"/>
      <c r="M252" s="32"/>
      <c r="N252" s="80" t="e">
        <f t="shared" si="12"/>
        <v>#DIV/0!</v>
      </c>
      <c r="O252" s="79" t="e">
        <f t="shared" si="10"/>
        <v>#DIV/0!</v>
      </c>
      <c r="R252" s="79">
        <f t="shared" si="11"/>
        <v>0</v>
      </c>
    </row>
    <row r="253" spans="1:18" x14ac:dyDescent="0.25">
      <c r="A253" s="31"/>
      <c r="B253" s="76"/>
      <c r="C253" s="32"/>
      <c r="D253" s="72"/>
      <c r="E253" s="33"/>
      <c r="F253" s="74"/>
      <c r="G253" s="74"/>
      <c r="H253" s="34"/>
      <c r="I253" s="74"/>
      <c r="J253" s="35"/>
      <c r="K253" s="36"/>
      <c r="L253" s="35"/>
      <c r="M253" s="32"/>
      <c r="N253" s="80" t="e">
        <f t="shared" si="12"/>
        <v>#DIV/0!</v>
      </c>
      <c r="O253" s="79" t="e">
        <f t="shared" si="10"/>
        <v>#DIV/0!</v>
      </c>
      <c r="R253" s="79">
        <f t="shared" si="11"/>
        <v>0</v>
      </c>
    </row>
    <row r="254" spans="1:18" x14ac:dyDescent="0.25">
      <c r="A254" s="31"/>
      <c r="B254" s="76"/>
      <c r="C254" s="32"/>
      <c r="D254" s="72"/>
      <c r="E254" s="33"/>
      <c r="F254" s="74"/>
      <c r="G254" s="74"/>
      <c r="H254" s="34"/>
      <c r="I254" s="74"/>
      <c r="J254" s="35"/>
      <c r="K254" s="36"/>
      <c r="L254" s="35"/>
      <c r="M254" s="32"/>
      <c r="N254" s="80" t="e">
        <f t="shared" si="12"/>
        <v>#DIV/0!</v>
      </c>
      <c r="O254" s="79" t="e">
        <f t="shared" si="10"/>
        <v>#DIV/0!</v>
      </c>
      <c r="R254" s="79">
        <f t="shared" si="11"/>
        <v>0</v>
      </c>
    </row>
    <row r="255" spans="1:18" x14ac:dyDescent="0.25">
      <c r="A255" s="31"/>
      <c r="B255" s="76"/>
      <c r="C255" s="32"/>
      <c r="D255" s="72"/>
      <c r="E255" s="33"/>
      <c r="F255" s="74"/>
      <c r="G255" s="74"/>
      <c r="H255" s="34"/>
      <c r="I255" s="74"/>
      <c r="J255" s="35"/>
      <c r="K255" s="36"/>
      <c r="L255" s="35"/>
      <c r="M255" s="32"/>
      <c r="N255" s="80" t="e">
        <f t="shared" si="12"/>
        <v>#DIV/0!</v>
      </c>
      <c r="O255" s="79" t="e">
        <f t="shared" si="10"/>
        <v>#DIV/0!</v>
      </c>
      <c r="R255" s="79">
        <f t="shared" si="11"/>
        <v>0</v>
      </c>
    </row>
    <row r="256" spans="1:18" x14ac:dyDescent="0.25">
      <c r="A256" s="31"/>
      <c r="B256" s="76"/>
      <c r="C256" s="32"/>
      <c r="D256" s="72"/>
      <c r="E256" s="33"/>
      <c r="F256" s="74"/>
      <c r="G256" s="74"/>
      <c r="H256" s="34"/>
      <c r="I256" s="74"/>
      <c r="J256" s="35"/>
      <c r="K256" s="36"/>
      <c r="L256" s="35"/>
      <c r="M256" s="32"/>
      <c r="N256" s="80" t="e">
        <f t="shared" si="12"/>
        <v>#DIV/0!</v>
      </c>
      <c r="O256" s="79" t="e">
        <f t="shared" si="10"/>
        <v>#DIV/0!</v>
      </c>
      <c r="R256" s="79">
        <f t="shared" si="11"/>
        <v>0</v>
      </c>
    </row>
    <row r="257" spans="1:18" x14ac:dyDescent="0.25">
      <c r="A257" s="31"/>
      <c r="B257" s="76"/>
      <c r="C257" s="32"/>
      <c r="D257" s="72"/>
      <c r="E257" s="33"/>
      <c r="F257" s="74"/>
      <c r="G257" s="74"/>
      <c r="H257" s="34"/>
      <c r="I257" s="74"/>
      <c r="J257" s="35"/>
      <c r="K257" s="36"/>
      <c r="L257" s="35"/>
      <c r="M257" s="32"/>
      <c r="N257" s="80" t="e">
        <f t="shared" si="12"/>
        <v>#DIV/0!</v>
      </c>
      <c r="O257" s="79" t="e">
        <f t="shared" si="10"/>
        <v>#DIV/0!</v>
      </c>
      <c r="R257" s="79">
        <f t="shared" si="11"/>
        <v>0</v>
      </c>
    </row>
    <row r="258" spans="1:18" x14ac:dyDescent="0.25">
      <c r="A258" s="31"/>
      <c r="B258" s="76"/>
      <c r="C258" s="32"/>
      <c r="D258" s="72"/>
      <c r="E258" s="33"/>
      <c r="F258" s="74"/>
      <c r="G258" s="74"/>
      <c r="H258" s="34"/>
      <c r="I258" s="74"/>
      <c r="J258" s="35"/>
      <c r="K258" s="36"/>
      <c r="L258" s="35"/>
      <c r="M258" s="32"/>
      <c r="N258" s="80" t="e">
        <f t="shared" si="12"/>
        <v>#DIV/0!</v>
      </c>
      <c r="O258" s="79" t="e">
        <f t="shared" si="10"/>
        <v>#DIV/0!</v>
      </c>
      <c r="R258" s="79">
        <f t="shared" si="11"/>
        <v>0</v>
      </c>
    </row>
    <row r="259" spans="1:18" x14ac:dyDescent="0.25">
      <c r="A259" s="31"/>
      <c r="B259" s="76"/>
      <c r="C259" s="32"/>
      <c r="D259" s="72"/>
      <c r="E259" s="33"/>
      <c r="F259" s="74"/>
      <c r="G259" s="74"/>
      <c r="H259" s="34"/>
      <c r="I259" s="74"/>
      <c r="J259" s="35"/>
      <c r="K259" s="36"/>
      <c r="L259" s="35"/>
      <c r="M259" s="32"/>
      <c r="N259" s="80" t="e">
        <f t="shared" si="12"/>
        <v>#DIV/0!</v>
      </c>
      <c r="O259" s="79" t="e">
        <f t="shared" si="10"/>
        <v>#DIV/0!</v>
      </c>
      <c r="R259" s="79">
        <f t="shared" si="11"/>
        <v>0</v>
      </c>
    </row>
    <row r="260" spans="1:18" x14ac:dyDescent="0.25">
      <c r="A260" s="31"/>
      <c r="B260" s="76"/>
      <c r="C260" s="32"/>
      <c r="D260" s="72"/>
      <c r="E260" s="33"/>
      <c r="F260" s="74"/>
      <c r="G260" s="74"/>
      <c r="H260" s="34"/>
      <c r="I260" s="74"/>
      <c r="J260" s="35"/>
      <c r="K260" s="36"/>
      <c r="L260" s="35"/>
      <c r="M260" s="32"/>
      <c r="N260" s="80" t="e">
        <f t="shared" si="12"/>
        <v>#DIV/0!</v>
      </c>
      <c r="O260" s="79" t="e">
        <f t="shared" si="10"/>
        <v>#DIV/0!</v>
      </c>
      <c r="R260" s="79">
        <f t="shared" si="11"/>
        <v>0</v>
      </c>
    </row>
    <row r="261" spans="1:18" x14ac:dyDescent="0.25">
      <c r="A261" s="31"/>
      <c r="B261" s="76"/>
      <c r="C261" s="32"/>
      <c r="D261" s="72"/>
      <c r="E261" s="33"/>
      <c r="F261" s="74"/>
      <c r="G261" s="74"/>
      <c r="H261" s="34"/>
      <c r="I261" s="74"/>
      <c r="J261" s="35"/>
      <c r="K261" s="36"/>
      <c r="L261" s="35"/>
      <c r="M261" s="32"/>
      <c r="N261" s="80" t="e">
        <f t="shared" si="12"/>
        <v>#DIV/0!</v>
      </c>
      <c r="O261" s="79" t="e">
        <f t="shared" si="10"/>
        <v>#DIV/0!</v>
      </c>
      <c r="R261" s="79">
        <f t="shared" si="11"/>
        <v>0</v>
      </c>
    </row>
    <row r="262" spans="1:18" x14ac:dyDescent="0.25">
      <c r="A262" s="31"/>
      <c r="B262" s="76"/>
      <c r="C262" s="32"/>
      <c r="D262" s="72"/>
      <c r="E262" s="33"/>
      <c r="F262" s="74"/>
      <c r="G262" s="74"/>
      <c r="H262" s="34"/>
      <c r="I262" s="74"/>
      <c r="J262" s="35"/>
      <c r="K262" s="36"/>
      <c r="L262" s="35"/>
      <c r="M262" s="32"/>
      <c r="N262" s="80" t="e">
        <f t="shared" si="12"/>
        <v>#DIV/0!</v>
      </c>
      <c r="O262" s="79" t="e">
        <f t="shared" si="10"/>
        <v>#DIV/0!</v>
      </c>
      <c r="R262" s="79">
        <f t="shared" si="11"/>
        <v>0</v>
      </c>
    </row>
    <row r="263" spans="1:18" x14ac:dyDescent="0.25">
      <c r="A263" s="31"/>
      <c r="B263" s="76"/>
      <c r="C263" s="32"/>
      <c r="D263" s="72"/>
      <c r="E263" s="33"/>
      <c r="F263" s="74"/>
      <c r="G263" s="74"/>
      <c r="H263" s="34"/>
      <c r="I263" s="74"/>
      <c r="J263" s="35"/>
      <c r="K263" s="36"/>
      <c r="L263" s="35"/>
      <c r="M263" s="32"/>
      <c r="N263" s="80" t="e">
        <f t="shared" si="12"/>
        <v>#DIV/0!</v>
      </c>
      <c r="O263" s="79" t="e">
        <f t="shared" si="10"/>
        <v>#DIV/0!</v>
      </c>
      <c r="R263" s="79">
        <f t="shared" si="11"/>
        <v>0</v>
      </c>
    </row>
    <row r="264" spans="1:18" x14ac:dyDescent="0.25">
      <c r="A264" s="31"/>
      <c r="B264" s="76"/>
      <c r="C264" s="32"/>
      <c r="D264" s="72"/>
      <c r="E264" s="33"/>
      <c r="F264" s="74"/>
      <c r="G264" s="74"/>
      <c r="H264" s="34"/>
      <c r="I264" s="74"/>
      <c r="J264" s="35"/>
      <c r="K264" s="36"/>
      <c r="L264" s="35"/>
      <c r="M264" s="32"/>
      <c r="N264" s="80" t="e">
        <f t="shared" si="12"/>
        <v>#DIV/0!</v>
      </c>
      <c r="O264" s="79" t="e">
        <f t="shared" si="10"/>
        <v>#DIV/0!</v>
      </c>
      <c r="R264" s="79">
        <f t="shared" si="11"/>
        <v>0</v>
      </c>
    </row>
    <row r="265" spans="1:18" x14ac:dyDescent="0.25">
      <c r="A265" s="31"/>
      <c r="B265" s="76"/>
      <c r="C265" s="32"/>
      <c r="D265" s="72"/>
      <c r="E265" s="33"/>
      <c r="F265" s="74"/>
      <c r="G265" s="74"/>
      <c r="H265" s="34"/>
      <c r="I265" s="74"/>
      <c r="J265" s="35"/>
      <c r="K265" s="36"/>
      <c r="L265" s="35"/>
      <c r="M265" s="32"/>
      <c r="N265" s="80" t="e">
        <f t="shared" si="12"/>
        <v>#DIV/0!</v>
      </c>
      <c r="O265" s="79" t="e">
        <f t="shared" si="10"/>
        <v>#DIV/0!</v>
      </c>
      <c r="R265" s="79">
        <f t="shared" si="11"/>
        <v>0</v>
      </c>
    </row>
    <row r="266" spans="1:18" x14ac:dyDescent="0.25">
      <c r="A266" s="31"/>
      <c r="B266" s="76"/>
      <c r="C266" s="32"/>
      <c r="D266" s="72"/>
      <c r="E266" s="33"/>
      <c r="F266" s="74"/>
      <c r="G266" s="74"/>
      <c r="H266" s="34"/>
      <c r="I266" s="74"/>
      <c r="J266" s="35"/>
      <c r="K266" s="36"/>
      <c r="L266" s="35"/>
      <c r="M266" s="32"/>
      <c r="N266" s="80" t="e">
        <f t="shared" si="12"/>
        <v>#DIV/0!</v>
      </c>
      <c r="O266" s="79" t="e">
        <f t="shared" si="10"/>
        <v>#DIV/0!</v>
      </c>
      <c r="R266" s="79">
        <f t="shared" si="11"/>
        <v>0</v>
      </c>
    </row>
    <row r="267" spans="1:18" x14ac:dyDescent="0.25">
      <c r="A267" s="31"/>
      <c r="B267" s="76"/>
      <c r="C267" s="32"/>
      <c r="D267" s="72"/>
      <c r="E267" s="33"/>
      <c r="F267" s="74"/>
      <c r="G267" s="74"/>
      <c r="H267" s="34"/>
      <c r="I267" s="74"/>
      <c r="J267" s="35"/>
      <c r="K267" s="36"/>
      <c r="L267" s="35"/>
      <c r="M267" s="32"/>
      <c r="N267" s="80" t="e">
        <f t="shared" si="12"/>
        <v>#DIV/0!</v>
      </c>
      <c r="O267" s="79" t="e">
        <f t="shared" si="10"/>
        <v>#DIV/0!</v>
      </c>
      <c r="R267" s="79">
        <f t="shared" si="11"/>
        <v>0</v>
      </c>
    </row>
    <row r="268" spans="1:18" x14ac:dyDescent="0.25">
      <c r="A268" s="31"/>
      <c r="B268" s="76"/>
      <c r="C268" s="32"/>
      <c r="D268" s="72"/>
      <c r="E268" s="33"/>
      <c r="F268" s="74"/>
      <c r="G268" s="74"/>
      <c r="H268" s="34"/>
      <c r="I268" s="74"/>
      <c r="J268" s="35"/>
      <c r="K268" s="36"/>
      <c r="L268" s="35"/>
      <c r="M268" s="32"/>
      <c r="N268" s="80" t="e">
        <f t="shared" si="12"/>
        <v>#DIV/0!</v>
      </c>
      <c r="O268" s="79" t="e">
        <f t="shared" si="10"/>
        <v>#DIV/0!</v>
      </c>
      <c r="R268" s="79">
        <f t="shared" si="11"/>
        <v>0</v>
      </c>
    </row>
    <row r="269" spans="1:18" x14ac:dyDescent="0.25">
      <c r="A269" s="31"/>
      <c r="B269" s="76"/>
      <c r="C269" s="32"/>
      <c r="D269" s="72"/>
      <c r="E269" s="33"/>
      <c r="F269" s="74"/>
      <c r="G269" s="74"/>
      <c r="H269" s="34"/>
      <c r="I269" s="74"/>
      <c r="J269" s="35"/>
      <c r="K269" s="36"/>
      <c r="L269" s="35"/>
      <c r="M269" s="32"/>
      <c r="N269" s="80" t="e">
        <f t="shared" si="12"/>
        <v>#DIV/0!</v>
      </c>
      <c r="O269" s="79" t="e">
        <f t="shared" si="10"/>
        <v>#DIV/0!</v>
      </c>
      <c r="R269" s="79">
        <f t="shared" si="11"/>
        <v>0</v>
      </c>
    </row>
    <row r="270" spans="1:18" x14ac:dyDescent="0.25">
      <c r="A270" s="31"/>
      <c r="B270" s="76"/>
      <c r="C270" s="32"/>
      <c r="D270" s="72"/>
      <c r="E270" s="33"/>
      <c r="F270" s="74"/>
      <c r="G270" s="74"/>
      <c r="H270" s="34"/>
      <c r="I270" s="74"/>
      <c r="J270" s="35"/>
      <c r="K270" s="36"/>
      <c r="L270" s="35"/>
      <c r="M270" s="32"/>
      <c r="N270" s="80" t="e">
        <f t="shared" si="12"/>
        <v>#DIV/0!</v>
      </c>
      <c r="O270" s="79" t="e">
        <f t="shared" si="10"/>
        <v>#DIV/0!</v>
      </c>
      <c r="R270" s="79">
        <f t="shared" si="11"/>
        <v>0</v>
      </c>
    </row>
    <row r="271" spans="1:18" x14ac:dyDescent="0.25">
      <c r="A271" s="31"/>
      <c r="B271" s="76"/>
      <c r="C271" s="32"/>
      <c r="D271" s="72"/>
      <c r="E271" s="33"/>
      <c r="F271" s="74"/>
      <c r="G271" s="74"/>
      <c r="H271" s="34"/>
      <c r="I271" s="74"/>
      <c r="J271" s="35"/>
      <c r="K271" s="36"/>
      <c r="L271" s="35"/>
      <c r="M271" s="32"/>
      <c r="N271" s="80" t="e">
        <f t="shared" si="12"/>
        <v>#DIV/0!</v>
      </c>
      <c r="O271" s="79" t="e">
        <f t="shared" si="10"/>
        <v>#DIV/0!</v>
      </c>
      <c r="R271" s="79">
        <f t="shared" si="11"/>
        <v>0</v>
      </c>
    </row>
    <row r="272" spans="1:18" x14ac:dyDescent="0.25">
      <c r="A272" s="31"/>
      <c r="B272" s="76"/>
      <c r="C272" s="32"/>
      <c r="D272" s="72"/>
      <c r="E272" s="33"/>
      <c r="F272" s="74"/>
      <c r="G272" s="74"/>
      <c r="H272" s="34"/>
      <c r="I272" s="74"/>
      <c r="J272" s="35"/>
      <c r="K272" s="36"/>
      <c r="L272" s="35"/>
      <c r="M272" s="32"/>
      <c r="N272" s="80" t="e">
        <f t="shared" si="12"/>
        <v>#DIV/0!</v>
      </c>
      <c r="O272" s="79" t="e">
        <f t="shared" si="10"/>
        <v>#DIV/0!</v>
      </c>
      <c r="R272" s="79">
        <f t="shared" si="11"/>
        <v>0</v>
      </c>
    </row>
    <row r="273" spans="1:18" x14ac:dyDescent="0.25">
      <c r="A273" s="31"/>
      <c r="B273" s="76"/>
      <c r="C273" s="32"/>
      <c r="D273" s="72"/>
      <c r="E273" s="33"/>
      <c r="F273" s="74"/>
      <c r="G273" s="74"/>
      <c r="H273" s="34"/>
      <c r="I273" s="74"/>
      <c r="J273" s="35"/>
      <c r="K273" s="36"/>
      <c r="L273" s="35"/>
      <c r="M273" s="32"/>
      <c r="N273" s="80" t="e">
        <f t="shared" si="12"/>
        <v>#DIV/0!</v>
      </c>
      <c r="O273" s="79" t="e">
        <f t="shared" si="10"/>
        <v>#DIV/0!</v>
      </c>
      <c r="R273" s="79">
        <f t="shared" si="11"/>
        <v>0</v>
      </c>
    </row>
    <row r="274" spans="1:18" x14ac:dyDescent="0.25">
      <c r="A274" s="31"/>
      <c r="B274" s="76"/>
      <c r="C274" s="32"/>
      <c r="D274" s="72"/>
      <c r="E274" s="33"/>
      <c r="F274" s="74"/>
      <c r="G274" s="74"/>
      <c r="H274" s="34"/>
      <c r="I274" s="74"/>
      <c r="J274" s="35"/>
      <c r="K274" s="36"/>
      <c r="L274" s="35"/>
      <c r="M274" s="32"/>
      <c r="N274" s="80" t="e">
        <f t="shared" si="12"/>
        <v>#DIV/0!</v>
      </c>
      <c r="O274" s="79" t="e">
        <f t="shared" si="10"/>
        <v>#DIV/0!</v>
      </c>
      <c r="R274" s="79">
        <f t="shared" si="11"/>
        <v>0</v>
      </c>
    </row>
    <row r="275" spans="1:18" x14ac:dyDescent="0.25">
      <c r="A275" s="31"/>
      <c r="B275" s="76"/>
      <c r="C275" s="32"/>
      <c r="D275" s="72"/>
      <c r="E275" s="33"/>
      <c r="F275" s="74"/>
      <c r="G275" s="74"/>
      <c r="H275" s="34"/>
      <c r="I275" s="74"/>
      <c r="J275" s="35"/>
      <c r="K275" s="36"/>
      <c r="L275" s="35"/>
      <c r="M275" s="32"/>
      <c r="N275" s="80" t="e">
        <f t="shared" si="12"/>
        <v>#DIV/0!</v>
      </c>
      <c r="O275" s="79" t="e">
        <f t="shared" si="10"/>
        <v>#DIV/0!</v>
      </c>
      <c r="R275" s="79">
        <f t="shared" si="11"/>
        <v>0</v>
      </c>
    </row>
    <row r="276" spans="1:18" x14ac:dyDescent="0.25">
      <c r="A276" s="31"/>
      <c r="B276" s="76"/>
      <c r="C276" s="32"/>
      <c r="D276" s="72"/>
      <c r="E276" s="33"/>
      <c r="F276" s="74"/>
      <c r="G276" s="74"/>
      <c r="H276" s="34"/>
      <c r="I276" s="74"/>
      <c r="J276" s="35"/>
      <c r="K276" s="36"/>
      <c r="L276" s="35"/>
      <c r="M276" s="32"/>
      <c r="N276" s="80" t="e">
        <f t="shared" si="12"/>
        <v>#DIV/0!</v>
      </c>
      <c r="O276" s="79" t="e">
        <f t="shared" si="10"/>
        <v>#DIV/0!</v>
      </c>
      <c r="R276" s="79">
        <f t="shared" si="11"/>
        <v>0</v>
      </c>
    </row>
    <row r="277" spans="1:18" x14ac:dyDescent="0.25">
      <c r="A277" s="31"/>
      <c r="B277" s="76"/>
      <c r="C277" s="32"/>
      <c r="D277" s="72"/>
      <c r="E277" s="33"/>
      <c r="F277" s="74"/>
      <c r="G277" s="74"/>
      <c r="H277" s="34"/>
      <c r="I277" s="74"/>
      <c r="J277" s="35"/>
      <c r="K277" s="36"/>
      <c r="L277" s="35"/>
      <c r="M277" s="32"/>
      <c r="N277" s="80" t="e">
        <f t="shared" si="12"/>
        <v>#DIV/0!</v>
      </c>
      <c r="O277" s="79" t="e">
        <f t="shared" si="10"/>
        <v>#DIV/0!</v>
      </c>
      <c r="R277" s="79">
        <f t="shared" si="11"/>
        <v>0</v>
      </c>
    </row>
    <row r="278" spans="1:18" x14ac:dyDescent="0.25">
      <c r="A278" s="31"/>
      <c r="B278" s="76"/>
      <c r="C278" s="32"/>
      <c r="D278" s="72"/>
      <c r="E278" s="33"/>
      <c r="F278" s="74"/>
      <c r="G278" s="74"/>
      <c r="H278" s="34"/>
      <c r="I278" s="74"/>
      <c r="J278" s="35"/>
      <c r="K278" s="36"/>
      <c r="L278" s="35"/>
      <c r="M278" s="32"/>
      <c r="N278" s="80" t="e">
        <f t="shared" si="12"/>
        <v>#DIV/0!</v>
      </c>
      <c r="O278" s="79" t="e">
        <f t="shared" si="10"/>
        <v>#DIV/0!</v>
      </c>
      <c r="R278" s="79">
        <f t="shared" si="11"/>
        <v>0</v>
      </c>
    </row>
    <row r="279" spans="1:18" x14ac:dyDescent="0.25">
      <c r="A279" s="31"/>
      <c r="B279" s="76"/>
      <c r="C279" s="32"/>
      <c r="D279" s="72"/>
      <c r="E279" s="33"/>
      <c r="F279" s="74"/>
      <c r="G279" s="74"/>
      <c r="H279" s="34"/>
      <c r="I279" s="74"/>
      <c r="J279" s="35"/>
      <c r="K279" s="36"/>
      <c r="L279" s="35"/>
      <c r="M279" s="32"/>
      <c r="N279" s="80" t="e">
        <f t="shared" si="12"/>
        <v>#DIV/0!</v>
      </c>
      <c r="O279" s="79" t="e">
        <f t="shared" si="10"/>
        <v>#DIV/0!</v>
      </c>
      <c r="R279" s="79">
        <f t="shared" si="11"/>
        <v>0</v>
      </c>
    </row>
    <row r="280" spans="1:18" x14ac:dyDescent="0.25">
      <c r="A280" s="31"/>
      <c r="B280" s="76"/>
      <c r="C280" s="32"/>
      <c r="D280" s="72"/>
      <c r="E280" s="33"/>
      <c r="F280" s="74"/>
      <c r="G280" s="74"/>
      <c r="H280" s="34"/>
      <c r="I280" s="74"/>
      <c r="J280" s="35"/>
      <c r="K280" s="36"/>
      <c r="L280" s="35"/>
      <c r="M280" s="32"/>
      <c r="N280" s="80" t="e">
        <f t="shared" si="12"/>
        <v>#DIV/0!</v>
      </c>
      <c r="O280" s="79" t="e">
        <f t="shared" si="10"/>
        <v>#DIV/0!</v>
      </c>
      <c r="R280" s="79">
        <f t="shared" si="11"/>
        <v>0</v>
      </c>
    </row>
    <row r="281" spans="1:18" x14ac:dyDescent="0.25">
      <c r="A281" s="31"/>
      <c r="B281" s="76"/>
      <c r="C281" s="32"/>
      <c r="D281" s="72"/>
      <c r="E281" s="33"/>
      <c r="F281" s="74"/>
      <c r="G281" s="74"/>
      <c r="H281" s="34"/>
      <c r="I281" s="74"/>
      <c r="J281" s="35"/>
      <c r="K281" s="36"/>
      <c r="L281" s="35"/>
      <c r="M281" s="32"/>
      <c r="N281" s="80" t="e">
        <f t="shared" si="12"/>
        <v>#DIV/0!</v>
      </c>
      <c r="O281" s="79" t="e">
        <f t="shared" si="10"/>
        <v>#DIV/0!</v>
      </c>
      <c r="R281" s="79">
        <f t="shared" si="11"/>
        <v>0</v>
      </c>
    </row>
    <row r="282" spans="1:18" x14ac:dyDescent="0.25">
      <c r="A282" s="31"/>
      <c r="B282" s="76"/>
      <c r="C282" s="32"/>
      <c r="D282" s="72"/>
      <c r="E282" s="33"/>
      <c r="F282" s="74"/>
      <c r="G282" s="74"/>
      <c r="H282" s="34"/>
      <c r="I282" s="74"/>
      <c r="J282" s="35"/>
      <c r="K282" s="36"/>
      <c r="L282" s="35"/>
      <c r="M282" s="32"/>
      <c r="N282" s="80" t="e">
        <f t="shared" si="12"/>
        <v>#DIV/0!</v>
      </c>
      <c r="O282" s="79" t="e">
        <f t="shared" si="10"/>
        <v>#DIV/0!</v>
      </c>
      <c r="R282" s="79">
        <f t="shared" si="11"/>
        <v>0</v>
      </c>
    </row>
    <row r="283" spans="1:18" x14ac:dyDescent="0.25">
      <c r="A283" s="31"/>
      <c r="B283" s="76"/>
      <c r="C283" s="32"/>
      <c r="D283" s="72"/>
      <c r="E283" s="33"/>
      <c r="F283" s="74"/>
      <c r="G283" s="74"/>
      <c r="H283" s="34"/>
      <c r="I283" s="74"/>
      <c r="J283" s="35"/>
      <c r="K283" s="36"/>
      <c r="L283" s="35"/>
      <c r="M283" s="32"/>
      <c r="N283" s="80" t="e">
        <f t="shared" si="12"/>
        <v>#DIV/0!</v>
      </c>
      <c r="O283" s="79" t="e">
        <f t="shared" si="10"/>
        <v>#DIV/0!</v>
      </c>
      <c r="R283" s="79">
        <f t="shared" si="11"/>
        <v>0</v>
      </c>
    </row>
    <row r="284" spans="1:18" x14ac:dyDescent="0.25">
      <c r="A284" s="31"/>
      <c r="B284" s="76"/>
      <c r="C284" s="32"/>
      <c r="D284" s="72"/>
      <c r="E284" s="33"/>
      <c r="F284" s="74"/>
      <c r="G284" s="74"/>
      <c r="H284" s="34"/>
      <c r="I284" s="74"/>
      <c r="J284" s="35"/>
      <c r="K284" s="36"/>
      <c r="L284" s="35"/>
      <c r="M284" s="32"/>
      <c r="N284" s="80" t="e">
        <f t="shared" si="12"/>
        <v>#DIV/0!</v>
      </c>
      <c r="O284" s="79" t="e">
        <f t="shared" si="10"/>
        <v>#DIV/0!</v>
      </c>
      <c r="R284" s="79">
        <f t="shared" si="11"/>
        <v>0</v>
      </c>
    </row>
    <row r="285" spans="1:18" x14ac:dyDescent="0.25">
      <c r="A285" s="31"/>
      <c r="B285" s="76"/>
      <c r="C285" s="32"/>
      <c r="D285" s="72"/>
      <c r="E285" s="33"/>
      <c r="F285" s="74"/>
      <c r="G285" s="74"/>
      <c r="H285" s="34"/>
      <c r="I285" s="74"/>
      <c r="J285" s="35"/>
      <c r="K285" s="36"/>
      <c r="L285" s="35"/>
      <c r="M285" s="32"/>
      <c r="N285" s="80" t="e">
        <f t="shared" si="12"/>
        <v>#DIV/0!</v>
      </c>
      <c r="O285" s="79" t="e">
        <f t="shared" si="10"/>
        <v>#DIV/0!</v>
      </c>
      <c r="R285" s="79">
        <f t="shared" si="11"/>
        <v>0</v>
      </c>
    </row>
    <row r="286" spans="1:18" x14ac:dyDescent="0.25">
      <c r="A286" s="31"/>
      <c r="B286" s="76"/>
      <c r="C286" s="32"/>
      <c r="D286" s="72"/>
      <c r="E286" s="33"/>
      <c r="F286" s="74"/>
      <c r="G286" s="74"/>
      <c r="H286" s="34"/>
      <c r="I286" s="74"/>
      <c r="J286" s="35"/>
      <c r="K286" s="36"/>
      <c r="L286" s="35"/>
      <c r="M286" s="32"/>
      <c r="N286" s="80" t="e">
        <f t="shared" si="12"/>
        <v>#DIV/0!</v>
      </c>
      <c r="O286" s="79" t="e">
        <f t="shared" si="10"/>
        <v>#DIV/0!</v>
      </c>
      <c r="R286" s="79">
        <f t="shared" si="11"/>
        <v>0</v>
      </c>
    </row>
    <row r="287" spans="1:18" x14ac:dyDescent="0.25">
      <c r="A287" s="31"/>
      <c r="B287" s="76"/>
      <c r="C287" s="32"/>
      <c r="D287" s="72"/>
      <c r="E287" s="33"/>
      <c r="F287" s="74"/>
      <c r="G287" s="74"/>
      <c r="H287" s="34"/>
      <c r="I287" s="74"/>
      <c r="J287" s="35"/>
      <c r="K287" s="36"/>
      <c r="L287" s="35"/>
      <c r="M287" s="32"/>
      <c r="N287" s="80" t="e">
        <f t="shared" si="12"/>
        <v>#DIV/0!</v>
      </c>
      <c r="O287" s="79" t="e">
        <f t="shared" ref="O287:O334" si="13">F287*N287</f>
        <v>#DIV/0!</v>
      </c>
      <c r="R287" s="79">
        <f t="shared" ref="R287:R334" si="14">F287*Q287</f>
        <v>0</v>
      </c>
    </row>
    <row r="288" spans="1:18" x14ac:dyDescent="0.25">
      <c r="A288" s="31"/>
      <c r="B288" s="76"/>
      <c r="C288" s="32"/>
      <c r="D288" s="72"/>
      <c r="E288" s="33"/>
      <c r="F288" s="74"/>
      <c r="G288" s="74"/>
      <c r="H288" s="34"/>
      <c r="I288" s="74"/>
      <c r="J288" s="35"/>
      <c r="K288" s="36"/>
      <c r="L288" s="35"/>
      <c r="M288" s="32"/>
      <c r="N288" s="80" t="e">
        <f t="shared" ref="N288:N334" si="15">(F288-G288)/F288</f>
        <v>#DIV/0!</v>
      </c>
      <c r="O288" s="79" t="e">
        <f t="shared" si="13"/>
        <v>#DIV/0!</v>
      </c>
      <c r="R288" s="79">
        <f t="shared" si="14"/>
        <v>0</v>
      </c>
    </row>
    <row r="289" spans="1:18" x14ac:dyDescent="0.25">
      <c r="A289" s="31"/>
      <c r="B289" s="76"/>
      <c r="C289" s="32"/>
      <c r="D289" s="72"/>
      <c r="E289" s="33"/>
      <c r="F289" s="74"/>
      <c r="G289" s="74"/>
      <c r="H289" s="34"/>
      <c r="I289" s="74"/>
      <c r="J289" s="35"/>
      <c r="K289" s="36"/>
      <c r="L289" s="35"/>
      <c r="M289" s="32"/>
      <c r="N289" s="80" t="e">
        <f t="shared" si="15"/>
        <v>#DIV/0!</v>
      </c>
      <c r="O289" s="79" t="e">
        <f t="shared" si="13"/>
        <v>#DIV/0!</v>
      </c>
      <c r="R289" s="79">
        <f t="shared" si="14"/>
        <v>0</v>
      </c>
    </row>
    <row r="290" spans="1:18" x14ac:dyDescent="0.25">
      <c r="A290" s="31"/>
      <c r="B290" s="76"/>
      <c r="C290" s="32"/>
      <c r="D290" s="72"/>
      <c r="E290" s="33"/>
      <c r="F290" s="74"/>
      <c r="G290" s="74"/>
      <c r="H290" s="34"/>
      <c r="I290" s="74"/>
      <c r="J290" s="35"/>
      <c r="K290" s="36"/>
      <c r="L290" s="35"/>
      <c r="M290" s="32"/>
      <c r="N290" s="80" t="e">
        <f t="shared" si="15"/>
        <v>#DIV/0!</v>
      </c>
      <c r="O290" s="79" t="e">
        <f t="shared" si="13"/>
        <v>#DIV/0!</v>
      </c>
      <c r="R290" s="79">
        <f t="shared" si="14"/>
        <v>0</v>
      </c>
    </row>
    <row r="291" spans="1:18" x14ac:dyDescent="0.25">
      <c r="A291" s="31"/>
      <c r="B291" s="76"/>
      <c r="C291" s="32"/>
      <c r="D291" s="72"/>
      <c r="E291" s="33"/>
      <c r="F291" s="74"/>
      <c r="G291" s="74"/>
      <c r="H291" s="34"/>
      <c r="I291" s="74"/>
      <c r="J291" s="35"/>
      <c r="K291" s="36"/>
      <c r="L291" s="35"/>
      <c r="M291" s="32"/>
      <c r="N291" s="80" t="e">
        <f t="shared" si="15"/>
        <v>#DIV/0!</v>
      </c>
      <c r="O291" s="79" t="e">
        <f t="shared" si="13"/>
        <v>#DIV/0!</v>
      </c>
      <c r="R291" s="79">
        <f t="shared" si="14"/>
        <v>0</v>
      </c>
    </row>
    <row r="292" spans="1:18" x14ac:dyDescent="0.25">
      <c r="A292" s="31"/>
      <c r="B292" s="76"/>
      <c r="C292" s="32"/>
      <c r="D292" s="72"/>
      <c r="E292" s="33"/>
      <c r="F292" s="74"/>
      <c r="G292" s="74"/>
      <c r="H292" s="34"/>
      <c r="I292" s="74"/>
      <c r="J292" s="35"/>
      <c r="K292" s="36"/>
      <c r="L292" s="35"/>
      <c r="M292" s="32"/>
      <c r="N292" s="80" t="e">
        <f t="shared" si="15"/>
        <v>#DIV/0!</v>
      </c>
      <c r="O292" s="79" t="e">
        <f t="shared" si="13"/>
        <v>#DIV/0!</v>
      </c>
      <c r="R292" s="79">
        <f t="shared" si="14"/>
        <v>0</v>
      </c>
    </row>
    <row r="293" spans="1:18" x14ac:dyDescent="0.25">
      <c r="A293" s="31"/>
      <c r="B293" s="76"/>
      <c r="C293" s="32"/>
      <c r="D293" s="72"/>
      <c r="E293" s="33"/>
      <c r="F293" s="74"/>
      <c r="G293" s="74"/>
      <c r="H293" s="34"/>
      <c r="I293" s="74"/>
      <c r="J293" s="35"/>
      <c r="K293" s="36"/>
      <c r="L293" s="35"/>
      <c r="M293" s="32"/>
      <c r="N293" s="80" t="e">
        <f t="shared" si="15"/>
        <v>#DIV/0!</v>
      </c>
      <c r="O293" s="79" t="e">
        <f t="shared" si="13"/>
        <v>#DIV/0!</v>
      </c>
      <c r="R293" s="79">
        <f t="shared" si="14"/>
        <v>0</v>
      </c>
    </row>
    <row r="294" spans="1:18" x14ac:dyDescent="0.25">
      <c r="A294" s="31"/>
      <c r="B294" s="76"/>
      <c r="C294" s="32"/>
      <c r="D294" s="72"/>
      <c r="E294" s="33"/>
      <c r="F294" s="74"/>
      <c r="G294" s="74"/>
      <c r="H294" s="34"/>
      <c r="I294" s="74"/>
      <c r="J294" s="35"/>
      <c r="K294" s="36"/>
      <c r="L294" s="35"/>
      <c r="M294" s="32"/>
      <c r="N294" s="80" t="e">
        <f t="shared" si="15"/>
        <v>#DIV/0!</v>
      </c>
      <c r="O294" s="79" t="e">
        <f t="shared" si="13"/>
        <v>#DIV/0!</v>
      </c>
      <c r="R294" s="79">
        <f t="shared" si="14"/>
        <v>0</v>
      </c>
    </row>
    <row r="295" spans="1:18" x14ac:dyDescent="0.25">
      <c r="A295" s="31"/>
      <c r="B295" s="76"/>
      <c r="C295" s="32"/>
      <c r="D295" s="72"/>
      <c r="E295" s="33"/>
      <c r="F295" s="74"/>
      <c r="G295" s="74"/>
      <c r="H295" s="34"/>
      <c r="I295" s="74"/>
      <c r="J295" s="35"/>
      <c r="K295" s="36"/>
      <c r="L295" s="35"/>
      <c r="M295" s="32"/>
      <c r="N295" s="80" t="e">
        <f t="shared" si="15"/>
        <v>#DIV/0!</v>
      </c>
      <c r="O295" s="79" t="e">
        <f t="shared" si="13"/>
        <v>#DIV/0!</v>
      </c>
      <c r="R295" s="79">
        <f t="shared" si="14"/>
        <v>0</v>
      </c>
    </row>
    <row r="296" spans="1:18" x14ac:dyDescent="0.25">
      <c r="A296" s="31"/>
      <c r="B296" s="76"/>
      <c r="C296" s="32"/>
      <c r="D296" s="72"/>
      <c r="E296" s="33"/>
      <c r="F296" s="74"/>
      <c r="G296" s="74"/>
      <c r="H296" s="34"/>
      <c r="I296" s="74"/>
      <c r="J296" s="35"/>
      <c r="K296" s="36"/>
      <c r="L296" s="35"/>
      <c r="M296" s="32"/>
      <c r="N296" s="80" t="e">
        <f t="shared" si="15"/>
        <v>#DIV/0!</v>
      </c>
      <c r="O296" s="79" t="e">
        <f t="shared" si="13"/>
        <v>#DIV/0!</v>
      </c>
      <c r="R296" s="79">
        <f t="shared" si="14"/>
        <v>0</v>
      </c>
    </row>
    <row r="297" spans="1:18" x14ac:dyDescent="0.25">
      <c r="A297" s="31"/>
      <c r="B297" s="76"/>
      <c r="C297" s="32"/>
      <c r="D297" s="72"/>
      <c r="E297" s="33"/>
      <c r="F297" s="74"/>
      <c r="G297" s="74"/>
      <c r="H297" s="34"/>
      <c r="I297" s="74"/>
      <c r="J297" s="35"/>
      <c r="K297" s="36"/>
      <c r="L297" s="35"/>
      <c r="M297" s="32"/>
      <c r="N297" s="80" t="e">
        <f t="shared" si="15"/>
        <v>#DIV/0!</v>
      </c>
      <c r="O297" s="79" t="e">
        <f t="shared" si="13"/>
        <v>#DIV/0!</v>
      </c>
      <c r="R297" s="79">
        <f t="shared" si="14"/>
        <v>0</v>
      </c>
    </row>
    <row r="298" spans="1:18" x14ac:dyDescent="0.25">
      <c r="A298" s="31"/>
      <c r="B298" s="76"/>
      <c r="C298" s="32"/>
      <c r="D298" s="72"/>
      <c r="E298" s="33"/>
      <c r="F298" s="74"/>
      <c r="G298" s="74"/>
      <c r="H298" s="34"/>
      <c r="I298" s="74"/>
      <c r="J298" s="35"/>
      <c r="K298" s="36"/>
      <c r="L298" s="35"/>
      <c r="M298" s="32"/>
      <c r="N298" s="80" t="e">
        <f t="shared" si="15"/>
        <v>#DIV/0!</v>
      </c>
      <c r="O298" s="79" t="e">
        <f t="shared" si="13"/>
        <v>#DIV/0!</v>
      </c>
      <c r="R298" s="79">
        <f t="shared" si="14"/>
        <v>0</v>
      </c>
    </row>
    <row r="299" spans="1:18" x14ac:dyDescent="0.25">
      <c r="A299" s="31"/>
      <c r="B299" s="76"/>
      <c r="C299" s="32"/>
      <c r="D299" s="72"/>
      <c r="E299" s="33"/>
      <c r="F299" s="74"/>
      <c r="G299" s="74"/>
      <c r="H299" s="34"/>
      <c r="I299" s="74"/>
      <c r="J299" s="35"/>
      <c r="K299" s="36"/>
      <c r="L299" s="35"/>
      <c r="M299" s="32"/>
      <c r="N299" s="80" t="e">
        <f t="shared" si="15"/>
        <v>#DIV/0!</v>
      </c>
      <c r="O299" s="79" t="e">
        <f t="shared" si="13"/>
        <v>#DIV/0!</v>
      </c>
      <c r="R299" s="79">
        <f t="shared" si="14"/>
        <v>0</v>
      </c>
    </row>
    <row r="300" spans="1:18" x14ac:dyDescent="0.25">
      <c r="A300" s="31"/>
      <c r="B300" s="76"/>
      <c r="C300" s="32"/>
      <c r="D300" s="72"/>
      <c r="E300" s="33"/>
      <c r="F300" s="74"/>
      <c r="G300" s="74"/>
      <c r="H300" s="34"/>
      <c r="I300" s="74"/>
      <c r="J300" s="35"/>
      <c r="K300" s="36"/>
      <c r="L300" s="35"/>
      <c r="M300" s="32"/>
      <c r="N300" s="80" t="e">
        <f t="shared" si="15"/>
        <v>#DIV/0!</v>
      </c>
      <c r="O300" s="79" t="e">
        <f t="shared" si="13"/>
        <v>#DIV/0!</v>
      </c>
      <c r="R300" s="79">
        <f t="shared" si="14"/>
        <v>0</v>
      </c>
    </row>
    <row r="301" spans="1:18" x14ac:dyDescent="0.25">
      <c r="A301" s="31"/>
      <c r="B301" s="76"/>
      <c r="C301" s="32"/>
      <c r="D301" s="72"/>
      <c r="E301" s="33"/>
      <c r="F301" s="74"/>
      <c r="G301" s="74"/>
      <c r="H301" s="34"/>
      <c r="I301" s="74"/>
      <c r="J301" s="35"/>
      <c r="K301" s="36"/>
      <c r="L301" s="35"/>
      <c r="M301" s="32"/>
      <c r="N301" s="80" t="e">
        <f t="shared" si="15"/>
        <v>#DIV/0!</v>
      </c>
      <c r="O301" s="79" t="e">
        <f t="shared" si="13"/>
        <v>#DIV/0!</v>
      </c>
      <c r="R301" s="79">
        <f t="shared" si="14"/>
        <v>0</v>
      </c>
    </row>
    <row r="302" spans="1:18" x14ac:dyDescent="0.25">
      <c r="A302" s="31"/>
      <c r="B302" s="76"/>
      <c r="C302" s="32"/>
      <c r="D302" s="72"/>
      <c r="E302" s="33"/>
      <c r="F302" s="74"/>
      <c r="G302" s="74"/>
      <c r="H302" s="34"/>
      <c r="I302" s="74"/>
      <c r="J302" s="35"/>
      <c r="K302" s="36"/>
      <c r="L302" s="35"/>
      <c r="M302" s="32"/>
      <c r="N302" s="80" t="e">
        <f t="shared" si="15"/>
        <v>#DIV/0!</v>
      </c>
      <c r="O302" s="79" t="e">
        <f t="shared" si="13"/>
        <v>#DIV/0!</v>
      </c>
      <c r="R302" s="79">
        <f t="shared" si="14"/>
        <v>0</v>
      </c>
    </row>
    <row r="303" spans="1:18" x14ac:dyDescent="0.25">
      <c r="A303" s="31"/>
      <c r="B303" s="76"/>
      <c r="C303" s="32"/>
      <c r="D303" s="72"/>
      <c r="E303" s="33"/>
      <c r="F303" s="74"/>
      <c r="G303" s="74"/>
      <c r="H303" s="34"/>
      <c r="I303" s="74"/>
      <c r="J303" s="35"/>
      <c r="K303" s="36"/>
      <c r="L303" s="35"/>
      <c r="M303" s="32"/>
      <c r="N303" s="80" t="e">
        <f t="shared" si="15"/>
        <v>#DIV/0!</v>
      </c>
      <c r="O303" s="79" t="e">
        <f t="shared" si="13"/>
        <v>#DIV/0!</v>
      </c>
      <c r="R303" s="79">
        <f t="shared" si="14"/>
        <v>0</v>
      </c>
    </row>
    <row r="304" spans="1:18" x14ac:dyDescent="0.25">
      <c r="A304" s="31"/>
      <c r="B304" s="76"/>
      <c r="C304" s="32"/>
      <c r="D304" s="72"/>
      <c r="E304" s="33"/>
      <c r="F304" s="74"/>
      <c r="G304" s="74"/>
      <c r="H304" s="34"/>
      <c r="I304" s="74"/>
      <c r="J304" s="35"/>
      <c r="K304" s="36"/>
      <c r="L304" s="35"/>
      <c r="M304" s="32"/>
      <c r="N304" s="80" t="e">
        <f t="shared" si="15"/>
        <v>#DIV/0!</v>
      </c>
      <c r="O304" s="79" t="e">
        <f t="shared" si="13"/>
        <v>#DIV/0!</v>
      </c>
      <c r="R304" s="79">
        <f t="shared" si="14"/>
        <v>0</v>
      </c>
    </row>
    <row r="305" spans="1:18" x14ac:dyDescent="0.25">
      <c r="A305" s="31"/>
      <c r="B305" s="76"/>
      <c r="C305" s="32"/>
      <c r="D305" s="72"/>
      <c r="E305" s="33"/>
      <c r="F305" s="74"/>
      <c r="G305" s="74"/>
      <c r="H305" s="34"/>
      <c r="I305" s="74"/>
      <c r="J305" s="35"/>
      <c r="K305" s="36"/>
      <c r="L305" s="35"/>
      <c r="M305" s="32"/>
      <c r="N305" s="80" t="e">
        <f t="shared" si="15"/>
        <v>#DIV/0!</v>
      </c>
      <c r="O305" s="79" t="e">
        <f t="shared" si="13"/>
        <v>#DIV/0!</v>
      </c>
      <c r="R305" s="79">
        <f t="shared" si="14"/>
        <v>0</v>
      </c>
    </row>
    <row r="306" spans="1:18" x14ac:dyDescent="0.25">
      <c r="A306" s="31"/>
      <c r="B306" s="76"/>
      <c r="C306" s="32"/>
      <c r="D306" s="72"/>
      <c r="E306" s="33"/>
      <c r="F306" s="74"/>
      <c r="G306" s="74"/>
      <c r="H306" s="34"/>
      <c r="I306" s="74"/>
      <c r="J306" s="35"/>
      <c r="K306" s="36"/>
      <c r="L306" s="35"/>
      <c r="M306" s="32"/>
      <c r="N306" s="80" t="e">
        <f t="shared" si="15"/>
        <v>#DIV/0!</v>
      </c>
      <c r="O306" s="79" t="e">
        <f t="shared" si="13"/>
        <v>#DIV/0!</v>
      </c>
      <c r="R306" s="79">
        <f t="shared" si="14"/>
        <v>0</v>
      </c>
    </row>
    <row r="307" spans="1:18" x14ac:dyDescent="0.25">
      <c r="A307" s="31"/>
      <c r="B307" s="76"/>
      <c r="C307" s="32"/>
      <c r="D307" s="72"/>
      <c r="E307" s="33"/>
      <c r="F307" s="74"/>
      <c r="G307" s="74"/>
      <c r="H307" s="34"/>
      <c r="I307" s="74"/>
      <c r="J307" s="35"/>
      <c r="K307" s="36"/>
      <c r="L307" s="35"/>
      <c r="M307" s="32"/>
      <c r="N307" s="80" t="e">
        <f t="shared" si="15"/>
        <v>#DIV/0!</v>
      </c>
      <c r="O307" s="79" t="e">
        <f t="shared" si="13"/>
        <v>#DIV/0!</v>
      </c>
      <c r="R307" s="79">
        <f t="shared" si="14"/>
        <v>0</v>
      </c>
    </row>
    <row r="308" spans="1:18" x14ac:dyDescent="0.25">
      <c r="A308" s="31"/>
      <c r="B308" s="76"/>
      <c r="C308" s="32"/>
      <c r="D308" s="72"/>
      <c r="E308" s="33"/>
      <c r="F308" s="74"/>
      <c r="G308" s="74"/>
      <c r="H308" s="34"/>
      <c r="I308" s="74"/>
      <c r="J308" s="35"/>
      <c r="K308" s="36"/>
      <c r="L308" s="35"/>
      <c r="M308" s="32"/>
      <c r="N308" s="80" t="e">
        <f t="shared" si="15"/>
        <v>#DIV/0!</v>
      </c>
      <c r="O308" s="79" t="e">
        <f t="shared" si="13"/>
        <v>#DIV/0!</v>
      </c>
      <c r="R308" s="79">
        <f t="shared" si="14"/>
        <v>0</v>
      </c>
    </row>
    <row r="309" spans="1:18" x14ac:dyDescent="0.25">
      <c r="A309" s="31"/>
      <c r="B309" s="76"/>
      <c r="C309" s="32"/>
      <c r="D309" s="72"/>
      <c r="E309" s="33"/>
      <c r="F309" s="74"/>
      <c r="G309" s="74"/>
      <c r="H309" s="34"/>
      <c r="I309" s="74"/>
      <c r="J309" s="35"/>
      <c r="K309" s="36"/>
      <c r="L309" s="35"/>
      <c r="M309" s="32"/>
      <c r="N309" s="80" t="e">
        <f t="shared" si="15"/>
        <v>#DIV/0!</v>
      </c>
      <c r="O309" s="79" t="e">
        <f t="shared" si="13"/>
        <v>#DIV/0!</v>
      </c>
      <c r="R309" s="79">
        <f t="shared" si="14"/>
        <v>0</v>
      </c>
    </row>
    <row r="310" spans="1:18" x14ac:dyDescent="0.25">
      <c r="A310" s="31"/>
      <c r="B310" s="76"/>
      <c r="C310" s="32"/>
      <c r="D310" s="72"/>
      <c r="E310" s="33"/>
      <c r="F310" s="74"/>
      <c r="G310" s="74"/>
      <c r="H310" s="34"/>
      <c r="I310" s="74"/>
      <c r="J310" s="35"/>
      <c r="K310" s="36"/>
      <c r="L310" s="35"/>
      <c r="M310" s="32"/>
      <c r="N310" s="80" t="e">
        <f t="shared" si="15"/>
        <v>#DIV/0!</v>
      </c>
      <c r="O310" s="79" t="e">
        <f t="shared" si="13"/>
        <v>#DIV/0!</v>
      </c>
      <c r="R310" s="79">
        <f t="shared" si="14"/>
        <v>0</v>
      </c>
    </row>
    <row r="311" spans="1:18" x14ac:dyDescent="0.25">
      <c r="A311" s="31"/>
      <c r="B311" s="76"/>
      <c r="C311" s="32"/>
      <c r="D311" s="72"/>
      <c r="E311" s="33"/>
      <c r="F311" s="74"/>
      <c r="G311" s="74"/>
      <c r="H311" s="34"/>
      <c r="I311" s="74"/>
      <c r="J311" s="35"/>
      <c r="K311" s="36"/>
      <c r="L311" s="35"/>
      <c r="M311" s="32"/>
      <c r="N311" s="80" t="e">
        <f t="shared" si="15"/>
        <v>#DIV/0!</v>
      </c>
      <c r="O311" s="79" t="e">
        <f t="shared" si="13"/>
        <v>#DIV/0!</v>
      </c>
      <c r="R311" s="79">
        <f t="shared" si="14"/>
        <v>0</v>
      </c>
    </row>
    <row r="312" spans="1:18" x14ac:dyDescent="0.25">
      <c r="A312" s="31"/>
      <c r="B312" s="76"/>
      <c r="C312" s="32"/>
      <c r="D312" s="72"/>
      <c r="E312" s="33"/>
      <c r="F312" s="74"/>
      <c r="G312" s="74"/>
      <c r="H312" s="34"/>
      <c r="I312" s="74"/>
      <c r="J312" s="35"/>
      <c r="K312" s="36"/>
      <c r="L312" s="35"/>
      <c r="M312" s="32"/>
      <c r="N312" s="80" t="e">
        <f t="shared" si="15"/>
        <v>#DIV/0!</v>
      </c>
      <c r="O312" s="79" t="e">
        <f t="shared" si="13"/>
        <v>#DIV/0!</v>
      </c>
      <c r="R312" s="79">
        <f t="shared" si="14"/>
        <v>0</v>
      </c>
    </row>
    <row r="313" spans="1:18" x14ac:dyDescent="0.25">
      <c r="A313" s="31"/>
      <c r="B313" s="76"/>
      <c r="C313" s="32"/>
      <c r="D313" s="72"/>
      <c r="E313" s="33"/>
      <c r="F313" s="74"/>
      <c r="G313" s="74"/>
      <c r="H313" s="34"/>
      <c r="I313" s="74"/>
      <c r="J313" s="35"/>
      <c r="K313" s="36"/>
      <c r="L313" s="35"/>
      <c r="M313" s="32"/>
      <c r="N313" s="80" t="e">
        <f t="shared" si="15"/>
        <v>#DIV/0!</v>
      </c>
      <c r="O313" s="79" t="e">
        <f t="shared" si="13"/>
        <v>#DIV/0!</v>
      </c>
      <c r="R313" s="79">
        <f t="shared" si="14"/>
        <v>0</v>
      </c>
    </row>
    <row r="314" spans="1:18" x14ac:dyDescent="0.25">
      <c r="A314" s="31"/>
      <c r="B314" s="76"/>
      <c r="C314" s="32"/>
      <c r="D314" s="72"/>
      <c r="E314" s="33"/>
      <c r="F314" s="74"/>
      <c r="G314" s="74"/>
      <c r="H314" s="34"/>
      <c r="I314" s="74"/>
      <c r="J314" s="35"/>
      <c r="K314" s="36"/>
      <c r="L314" s="35"/>
      <c r="M314" s="32"/>
      <c r="N314" s="80" t="e">
        <f t="shared" si="15"/>
        <v>#DIV/0!</v>
      </c>
      <c r="O314" s="79" t="e">
        <f t="shared" si="13"/>
        <v>#DIV/0!</v>
      </c>
      <c r="R314" s="79">
        <f t="shared" si="14"/>
        <v>0</v>
      </c>
    </row>
    <row r="315" spans="1:18" x14ac:dyDescent="0.25">
      <c r="A315" s="31"/>
      <c r="B315" s="76"/>
      <c r="C315" s="32"/>
      <c r="D315" s="72"/>
      <c r="E315" s="33"/>
      <c r="F315" s="74"/>
      <c r="G315" s="74"/>
      <c r="H315" s="34"/>
      <c r="I315" s="74"/>
      <c r="J315" s="35"/>
      <c r="K315" s="36"/>
      <c r="L315" s="35"/>
      <c r="M315" s="32"/>
      <c r="N315" s="80" t="e">
        <f t="shared" si="15"/>
        <v>#DIV/0!</v>
      </c>
      <c r="O315" s="79" t="e">
        <f t="shared" si="13"/>
        <v>#DIV/0!</v>
      </c>
      <c r="R315" s="79">
        <f t="shared" si="14"/>
        <v>0</v>
      </c>
    </row>
    <row r="316" spans="1:18" x14ac:dyDescent="0.25">
      <c r="A316" s="31"/>
      <c r="B316" s="76"/>
      <c r="C316" s="32"/>
      <c r="D316" s="72"/>
      <c r="E316" s="33"/>
      <c r="F316" s="74"/>
      <c r="G316" s="74"/>
      <c r="H316" s="34"/>
      <c r="I316" s="74"/>
      <c r="J316" s="35"/>
      <c r="K316" s="36"/>
      <c r="L316" s="35"/>
      <c r="M316" s="32"/>
      <c r="N316" s="80" t="e">
        <f t="shared" si="15"/>
        <v>#DIV/0!</v>
      </c>
      <c r="O316" s="79" t="e">
        <f t="shared" si="13"/>
        <v>#DIV/0!</v>
      </c>
      <c r="R316" s="79">
        <f t="shared" si="14"/>
        <v>0</v>
      </c>
    </row>
    <row r="317" spans="1:18" x14ac:dyDescent="0.25">
      <c r="A317" s="31"/>
      <c r="B317" s="76"/>
      <c r="C317" s="32"/>
      <c r="D317" s="72"/>
      <c r="E317" s="33"/>
      <c r="F317" s="74"/>
      <c r="G317" s="74"/>
      <c r="H317" s="34"/>
      <c r="I317" s="74"/>
      <c r="J317" s="35"/>
      <c r="K317" s="36"/>
      <c r="L317" s="35"/>
      <c r="M317" s="32"/>
      <c r="N317" s="80" t="e">
        <f t="shared" si="15"/>
        <v>#DIV/0!</v>
      </c>
      <c r="O317" s="79" t="e">
        <f t="shared" si="13"/>
        <v>#DIV/0!</v>
      </c>
      <c r="R317" s="79">
        <f t="shared" si="14"/>
        <v>0</v>
      </c>
    </row>
    <row r="318" spans="1:18" x14ac:dyDescent="0.25">
      <c r="A318" s="31"/>
      <c r="B318" s="76"/>
      <c r="C318" s="32"/>
      <c r="D318" s="72"/>
      <c r="E318" s="33"/>
      <c r="F318" s="74"/>
      <c r="G318" s="74"/>
      <c r="H318" s="34"/>
      <c r="I318" s="74"/>
      <c r="J318" s="35"/>
      <c r="K318" s="36"/>
      <c r="L318" s="35"/>
      <c r="M318" s="32"/>
      <c r="N318" s="80" t="e">
        <f t="shared" si="15"/>
        <v>#DIV/0!</v>
      </c>
      <c r="O318" s="79" t="e">
        <f t="shared" si="13"/>
        <v>#DIV/0!</v>
      </c>
      <c r="R318" s="79">
        <f t="shared" si="14"/>
        <v>0</v>
      </c>
    </row>
    <row r="319" spans="1:18" x14ac:dyDescent="0.25">
      <c r="A319" s="31"/>
      <c r="B319" s="76"/>
      <c r="C319" s="32"/>
      <c r="D319" s="72"/>
      <c r="E319" s="33"/>
      <c r="F319" s="74"/>
      <c r="G319" s="74"/>
      <c r="H319" s="34"/>
      <c r="I319" s="74"/>
      <c r="J319" s="35"/>
      <c r="K319" s="36"/>
      <c r="L319" s="35"/>
      <c r="M319" s="32"/>
      <c r="N319" s="80" t="e">
        <f t="shared" si="15"/>
        <v>#DIV/0!</v>
      </c>
      <c r="O319" s="79" t="e">
        <f t="shared" si="13"/>
        <v>#DIV/0!</v>
      </c>
      <c r="R319" s="79">
        <f t="shared" si="14"/>
        <v>0</v>
      </c>
    </row>
    <row r="320" spans="1:18" x14ac:dyDescent="0.25">
      <c r="A320" s="31"/>
      <c r="B320" s="76"/>
      <c r="C320" s="32"/>
      <c r="D320" s="72"/>
      <c r="E320" s="33"/>
      <c r="F320" s="74"/>
      <c r="G320" s="74"/>
      <c r="H320" s="34"/>
      <c r="I320" s="74"/>
      <c r="J320" s="35"/>
      <c r="K320" s="36"/>
      <c r="L320" s="35"/>
      <c r="M320" s="32"/>
      <c r="N320" s="80" t="e">
        <f t="shared" si="15"/>
        <v>#DIV/0!</v>
      </c>
      <c r="O320" s="79" t="e">
        <f t="shared" si="13"/>
        <v>#DIV/0!</v>
      </c>
      <c r="R320" s="79">
        <f t="shared" si="14"/>
        <v>0</v>
      </c>
    </row>
    <row r="321" spans="1:18" x14ac:dyDescent="0.25">
      <c r="A321" s="31"/>
      <c r="B321" s="76"/>
      <c r="C321" s="32"/>
      <c r="D321" s="72"/>
      <c r="E321" s="33"/>
      <c r="F321" s="74"/>
      <c r="G321" s="74"/>
      <c r="H321" s="34"/>
      <c r="I321" s="74"/>
      <c r="J321" s="35"/>
      <c r="K321" s="36"/>
      <c r="L321" s="35"/>
      <c r="M321" s="32"/>
      <c r="N321" s="80" t="e">
        <f t="shared" si="15"/>
        <v>#DIV/0!</v>
      </c>
      <c r="O321" s="79" t="e">
        <f t="shared" si="13"/>
        <v>#DIV/0!</v>
      </c>
      <c r="R321" s="79">
        <f t="shared" si="14"/>
        <v>0</v>
      </c>
    </row>
    <row r="322" spans="1:18" x14ac:dyDescent="0.25">
      <c r="A322" s="31"/>
      <c r="B322" s="76"/>
      <c r="C322" s="32"/>
      <c r="D322" s="72"/>
      <c r="E322" s="33"/>
      <c r="F322" s="74"/>
      <c r="G322" s="74"/>
      <c r="H322" s="34"/>
      <c r="I322" s="74"/>
      <c r="J322" s="35"/>
      <c r="K322" s="36"/>
      <c r="L322" s="35"/>
      <c r="M322" s="32"/>
      <c r="N322" s="80" t="e">
        <f t="shared" si="15"/>
        <v>#DIV/0!</v>
      </c>
      <c r="O322" s="79" t="e">
        <f t="shared" si="13"/>
        <v>#DIV/0!</v>
      </c>
      <c r="R322" s="79">
        <f t="shared" si="14"/>
        <v>0</v>
      </c>
    </row>
    <row r="323" spans="1:18" x14ac:dyDescent="0.25">
      <c r="A323" s="31"/>
      <c r="B323" s="76"/>
      <c r="C323" s="32"/>
      <c r="D323" s="72"/>
      <c r="E323" s="33"/>
      <c r="F323" s="74"/>
      <c r="G323" s="74"/>
      <c r="H323" s="34"/>
      <c r="I323" s="74"/>
      <c r="J323" s="35"/>
      <c r="K323" s="36"/>
      <c r="L323" s="35"/>
      <c r="M323" s="32"/>
      <c r="N323" s="80" t="e">
        <f t="shared" si="15"/>
        <v>#DIV/0!</v>
      </c>
      <c r="O323" s="79" t="e">
        <f t="shared" si="13"/>
        <v>#DIV/0!</v>
      </c>
      <c r="R323" s="79">
        <f t="shared" si="14"/>
        <v>0</v>
      </c>
    </row>
    <row r="324" spans="1:18" x14ac:dyDescent="0.25">
      <c r="A324" s="31"/>
      <c r="B324" s="76"/>
      <c r="C324" s="32"/>
      <c r="D324" s="72"/>
      <c r="E324" s="33"/>
      <c r="F324" s="74"/>
      <c r="G324" s="74"/>
      <c r="H324" s="34"/>
      <c r="I324" s="74"/>
      <c r="J324" s="35"/>
      <c r="K324" s="36"/>
      <c r="L324" s="35"/>
      <c r="M324" s="32"/>
      <c r="N324" s="80" t="e">
        <f t="shared" si="15"/>
        <v>#DIV/0!</v>
      </c>
      <c r="O324" s="79" t="e">
        <f t="shared" si="13"/>
        <v>#DIV/0!</v>
      </c>
      <c r="R324" s="79">
        <f t="shared" si="14"/>
        <v>0</v>
      </c>
    </row>
    <row r="325" spans="1:18" x14ac:dyDescent="0.25">
      <c r="A325" s="31"/>
      <c r="B325" s="76"/>
      <c r="C325" s="32"/>
      <c r="D325" s="72"/>
      <c r="E325" s="33"/>
      <c r="F325" s="74"/>
      <c r="G325" s="74"/>
      <c r="H325" s="34"/>
      <c r="I325" s="74"/>
      <c r="J325" s="35"/>
      <c r="K325" s="36"/>
      <c r="L325" s="35"/>
      <c r="M325" s="32"/>
      <c r="N325" s="80" t="e">
        <f t="shared" si="15"/>
        <v>#DIV/0!</v>
      </c>
      <c r="O325" s="79" t="e">
        <f t="shared" si="13"/>
        <v>#DIV/0!</v>
      </c>
      <c r="R325" s="79">
        <f t="shared" si="14"/>
        <v>0</v>
      </c>
    </row>
    <row r="326" spans="1:18" x14ac:dyDescent="0.25">
      <c r="A326" s="31"/>
      <c r="B326" s="76"/>
      <c r="C326" s="32"/>
      <c r="D326" s="72"/>
      <c r="E326" s="33"/>
      <c r="F326" s="74"/>
      <c r="G326" s="74"/>
      <c r="H326" s="34"/>
      <c r="I326" s="74"/>
      <c r="J326" s="35"/>
      <c r="K326" s="36"/>
      <c r="L326" s="35"/>
      <c r="M326" s="32"/>
      <c r="N326" s="80" t="e">
        <f t="shared" si="15"/>
        <v>#DIV/0!</v>
      </c>
      <c r="O326" s="79" t="e">
        <f t="shared" si="13"/>
        <v>#DIV/0!</v>
      </c>
      <c r="R326" s="79">
        <f t="shared" si="14"/>
        <v>0</v>
      </c>
    </row>
    <row r="327" spans="1:18" x14ac:dyDescent="0.25">
      <c r="A327" s="31"/>
      <c r="B327" s="76"/>
      <c r="C327" s="32"/>
      <c r="D327" s="72"/>
      <c r="E327" s="33"/>
      <c r="F327" s="74"/>
      <c r="G327" s="74"/>
      <c r="H327" s="34"/>
      <c r="I327" s="74"/>
      <c r="J327" s="35"/>
      <c r="K327" s="36"/>
      <c r="L327" s="35"/>
      <c r="M327" s="32"/>
      <c r="N327" s="80" t="e">
        <f t="shared" si="15"/>
        <v>#DIV/0!</v>
      </c>
      <c r="O327" s="79" t="e">
        <f t="shared" si="13"/>
        <v>#DIV/0!</v>
      </c>
      <c r="R327" s="79">
        <f t="shared" si="14"/>
        <v>0</v>
      </c>
    </row>
    <row r="328" spans="1:18" x14ac:dyDescent="0.25">
      <c r="A328" s="31"/>
      <c r="B328" s="76"/>
      <c r="C328" s="32"/>
      <c r="D328" s="72"/>
      <c r="E328" s="33"/>
      <c r="F328" s="74"/>
      <c r="G328" s="74"/>
      <c r="H328" s="34"/>
      <c r="I328" s="74"/>
      <c r="J328" s="35"/>
      <c r="K328" s="36"/>
      <c r="L328" s="35"/>
      <c r="M328" s="32"/>
      <c r="N328" s="80" t="e">
        <f t="shared" si="15"/>
        <v>#DIV/0!</v>
      </c>
      <c r="O328" s="79" t="e">
        <f t="shared" si="13"/>
        <v>#DIV/0!</v>
      </c>
      <c r="R328" s="79">
        <f t="shared" si="14"/>
        <v>0</v>
      </c>
    </row>
    <row r="329" spans="1:18" x14ac:dyDescent="0.25">
      <c r="A329" s="31"/>
      <c r="B329" s="76"/>
      <c r="C329" s="32"/>
      <c r="D329" s="72"/>
      <c r="E329" s="33"/>
      <c r="F329" s="74"/>
      <c r="G329" s="74"/>
      <c r="H329" s="34"/>
      <c r="I329" s="74"/>
      <c r="J329" s="35"/>
      <c r="K329" s="36"/>
      <c r="L329" s="35"/>
      <c r="M329" s="32"/>
      <c r="N329" s="80" t="e">
        <f t="shared" si="15"/>
        <v>#DIV/0!</v>
      </c>
      <c r="O329" s="79" t="e">
        <f t="shared" si="13"/>
        <v>#DIV/0!</v>
      </c>
      <c r="R329" s="79">
        <f t="shared" si="14"/>
        <v>0</v>
      </c>
    </row>
    <row r="330" spans="1:18" x14ac:dyDescent="0.25">
      <c r="A330" s="31"/>
      <c r="B330" s="76"/>
      <c r="C330" s="32"/>
      <c r="D330" s="72"/>
      <c r="E330" s="33"/>
      <c r="F330" s="74"/>
      <c r="G330" s="74"/>
      <c r="H330" s="34"/>
      <c r="I330" s="74"/>
      <c r="J330" s="35"/>
      <c r="K330" s="36"/>
      <c r="L330" s="35"/>
      <c r="M330" s="32"/>
      <c r="N330" s="80" t="e">
        <f t="shared" si="15"/>
        <v>#DIV/0!</v>
      </c>
      <c r="O330" s="79" t="e">
        <f t="shared" si="13"/>
        <v>#DIV/0!</v>
      </c>
      <c r="R330" s="79">
        <f t="shared" si="14"/>
        <v>0</v>
      </c>
    </row>
    <row r="331" spans="1:18" x14ac:dyDescent="0.25">
      <c r="A331" s="31"/>
      <c r="B331" s="76"/>
      <c r="C331" s="32"/>
      <c r="D331" s="72"/>
      <c r="E331" s="33"/>
      <c r="F331" s="74"/>
      <c r="G331" s="74"/>
      <c r="H331" s="34"/>
      <c r="I331" s="74"/>
      <c r="J331" s="35"/>
      <c r="K331" s="36"/>
      <c r="L331" s="35"/>
      <c r="M331" s="32"/>
      <c r="N331" s="80" t="e">
        <f t="shared" si="15"/>
        <v>#DIV/0!</v>
      </c>
      <c r="O331" s="79" t="e">
        <f t="shared" si="13"/>
        <v>#DIV/0!</v>
      </c>
      <c r="R331" s="79">
        <f t="shared" si="14"/>
        <v>0</v>
      </c>
    </row>
    <row r="332" spans="1:18" x14ac:dyDescent="0.25">
      <c r="A332" s="31"/>
      <c r="B332" s="76"/>
      <c r="C332" s="32"/>
      <c r="D332" s="72"/>
      <c r="E332" s="33"/>
      <c r="F332" s="74"/>
      <c r="G332" s="74"/>
      <c r="H332" s="34"/>
      <c r="I332" s="74"/>
      <c r="J332" s="35"/>
      <c r="K332" s="36"/>
      <c r="L332" s="35"/>
      <c r="M332" s="32"/>
      <c r="N332" s="80" t="e">
        <f t="shared" si="15"/>
        <v>#DIV/0!</v>
      </c>
      <c r="O332" s="79" t="e">
        <f t="shared" si="13"/>
        <v>#DIV/0!</v>
      </c>
      <c r="R332" s="79">
        <f t="shared" si="14"/>
        <v>0</v>
      </c>
    </row>
    <row r="333" spans="1:18" ht="15.75" thickBot="1" x14ac:dyDescent="0.3">
      <c r="A333" s="31"/>
      <c r="B333" s="76"/>
      <c r="C333" s="32"/>
      <c r="D333" s="72"/>
      <c r="E333" s="33"/>
      <c r="F333" s="74"/>
      <c r="G333" s="74"/>
      <c r="H333" s="34"/>
      <c r="I333" s="74"/>
      <c r="J333" s="35"/>
      <c r="K333" s="36"/>
      <c r="L333" s="35"/>
      <c r="M333" s="32"/>
      <c r="N333" s="80" t="e">
        <f t="shared" si="15"/>
        <v>#DIV/0!</v>
      </c>
      <c r="O333" s="79" t="e">
        <f t="shared" si="13"/>
        <v>#DIV/0!</v>
      </c>
      <c r="R333" s="79">
        <f t="shared" si="14"/>
        <v>0</v>
      </c>
    </row>
    <row r="334" spans="1:18" s="21" customFormat="1" ht="15.75" thickBot="1" x14ac:dyDescent="0.3">
      <c r="A334" s="37" t="s">
        <v>39</v>
      </c>
      <c r="B334" s="38"/>
      <c r="C334" s="39"/>
      <c r="D334" s="40"/>
      <c r="E334" s="41"/>
      <c r="F334" s="41"/>
      <c r="G334" s="41"/>
      <c r="H334" s="41"/>
      <c r="I334" s="41"/>
      <c r="J334" s="42"/>
      <c r="K334" s="42"/>
      <c r="L334" s="42">
        <f>SUM(L30:L333)</f>
        <v>0</v>
      </c>
      <c r="M334" s="43"/>
      <c r="N334" s="80" t="e">
        <f t="shared" si="15"/>
        <v>#DIV/0!</v>
      </c>
      <c r="O334" s="79" t="e">
        <f t="shared" si="13"/>
        <v>#DIV/0!</v>
      </c>
      <c r="R334" s="79">
        <f t="shared" si="14"/>
        <v>0</v>
      </c>
    </row>
    <row r="335" spans="1:18" x14ac:dyDescent="0.25">
      <c r="A335" s="28" t="s">
        <v>40</v>
      </c>
      <c r="B335" s="29"/>
      <c r="C335" s="29"/>
    </row>
    <row r="336" spans="1:18" ht="13.5" customHeight="1" x14ac:dyDescent="0.25">
      <c r="A336" s="24" t="s">
        <v>41</v>
      </c>
      <c r="B336" s="24"/>
      <c r="C336" s="24"/>
      <c r="D336" s="24"/>
      <c r="E336" s="24"/>
      <c r="F336" s="24"/>
      <c r="G336" s="24"/>
      <c r="H336" s="24"/>
      <c r="I336" s="24"/>
    </row>
    <row r="337" spans="1:13" ht="15" customHeight="1" x14ac:dyDescent="0.25">
      <c r="A337" s="63" t="s">
        <v>42</v>
      </c>
      <c r="B337" s="63"/>
      <c r="C337" s="63"/>
      <c r="D337" s="63"/>
      <c r="E337" s="63"/>
      <c r="F337" s="63"/>
      <c r="G337" s="63"/>
      <c r="H337" s="63"/>
      <c r="I337" s="63"/>
      <c r="J337" s="63"/>
      <c r="K337" s="63"/>
    </row>
    <row r="338" spans="1:13" x14ac:dyDescent="0.25">
      <c r="A338" s="62" t="s">
        <v>43</v>
      </c>
      <c r="B338" s="62"/>
      <c r="C338" s="62"/>
      <c r="D338" s="62"/>
      <c r="E338" s="62"/>
      <c r="F338" s="62"/>
      <c r="G338" s="62"/>
      <c r="H338" s="62"/>
      <c r="I338" s="62"/>
      <c r="J338" s="62"/>
      <c r="K338" s="62"/>
      <c r="L338" s="62"/>
      <c r="M338" s="62"/>
    </row>
    <row r="339" spans="1:13" x14ac:dyDescent="0.25">
      <c r="A339" s="62" t="s">
        <v>44</v>
      </c>
      <c r="B339" s="62"/>
      <c r="C339" s="62"/>
      <c r="D339" s="62"/>
      <c r="E339" s="62"/>
      <c r="F339" s="62"/>
      <c r="G339" s="62"/>
      <c r="H339" s="62"/>
      <c r="I339" s="62"/>
    </row>
    <row r="340" spans="1:13" ht="10.5" customHeight="1" x14ac:dyDescent="0.25">
      <c r="A340" s="24" t="s">
        <v>45</v>
      </c>
      <c r="B340" s="24"/>
      <c r="C340" s="24"/>
      <c r="D340" s="24"/>
      <c r="E340" s="24"/>
      <c r="F340" s="24"/>
      <c r="G340" s="24"/>
      <c r="H340" s="24"/>
      <c r="I340" s="24"/>
    </row>
    <row r="341" spans="1:13" ht="27.75" customHeight="1" x14ac:dyDescent="0.25">
      <c r="A341" s="30" t="s">
        <v>46</v>
      </c>
      <c r="B341" s="64"/>
      <c r="C341" s="64"/>
      <c r="D341" t="s">
        <v>47</v>
      </c>
      <c r="E341" s="66"/>
      <c r="F341" s="66"/>
    </row>
    <row r="342" spans="1:13" x14ac:dyDescent="0.25">
      <c r="B342" s="5"/>
      <c r="C342" s="5"/>
    </row>
    <row r="343" spans="1:13" ht="29.25" customHeight="1" x14ac:dyDescent="0.25">
      <c r="A343" s="30" t="s">
        <v>48</v>
      </c>
      <c r="B343" s="64"/>
      <c r="C343" s="64"/>
      <c r="D343" t="s">
        <v>47</v>
      </c>
      <c r="E343" s="65"/>
      <c r="F343" s="65"/>
    </row>
    <row r="345" spans="1:13" ht="18.75" x14ac:dyDescent="0.3">
      <c r="A345" s="61" t="s">
        <v>0</v>
      </c>
      <c r="B345" s="61"/>
      <c r="C345" s="61"/>
      <c r="D345" s="61"/>
      <c r="E345" s="61"/>
      <c r="F345" s="61"/>
      <c r="G345" s="61"/>
      <c r="H345" s="61"/>
      <c r="I345" s="61"/>
      <c r="J345" s="61"/>
      <c r="K345" s="61"/>
      <c r="L345" s="61"/>
      <c r="M345" s="61"/>
    </row>
  </sheetData>
  <sheetProtection formatCells="0" formatColumns="0" formatRows="0"/>
  <mergeCells count="12">
    <mergeCell ref="A26:B27"/>
    <mergeCell ref="A1:M1"/>
    <mergeCell ref="F3:M5"/>
    <mergeCell ref="B13:D13"/>
    <mergeCell ref="A17:D17"/>
    <mergeCell ref="B18:D18"/>
    <mergeCell ref="B19:D19"/>
    <mergeCell ref="B20:D20"/>
    <mergeCell ref="B21:D21"/>
    <mergeCell ref="B22:D22"/>
    <mergeCell ref="B23:D23"/>
    <mergeCell ref="B24:D24"/>
  </mergeCells>
  <dataValidations xWindow="324" yWindow="540" count="28">
    <dataValidation type="list" allowBlank="1" showInputMessage="1" showErrorMessage="1" promptTitle="LAWSON Dept #" prompt="Three digit Lawson Group #" sqref="D5" xr:uid="{00000000-0002-0000-0000-000000000000}">
      <formula1>lu_grp</formula1>
    </dataValidation>
    <dataValidation operator="greaterThanOrEqual" allowBlank="1" showInputMessage="1" showErrorMessage="1" errorTitle="Date Error" error="End Date cannot be before the start date." promptTitle="Authorization #" prompt="RMA or Authorization or Deal or Credit Memo # (if any)." sqref="D15" xr:uid="{00000000-0002-0000-0000-000001000000}"/>
    <dataValidation allowBlank="1" showInputMessage="1" showErrorMessage="1" promptTitle="Transaction RIN#" prompt="This is a Required Field." sqref="D31:D333" xr:uid="{00000000-0002-0000-0000-000003000000}"/>
    <dataValidation allowBlank="1" showInputMessage="1" showErrorMessage="1" promptTitle="Parent RIN#" prompt="Parent RIN# is not mandatory. Parent RINs are often used when an item has multiple colors. One Parent RIN can have multiple Transaction RIN# associated with it." sqref="C31:C333" xr:uid="{00000000-0002-0000-0000-000004000000}"/>
    <dataValidation allowBlank="1" showInputMessage="1" showErrorMessage="1" promptTitle="Sales Results" prompt="Enter The Qty Sold based on your EDI/SPS commerce feeds." sqref="K30:K333" xr:uid="{00000000-0002-0000-0000-000005000000}"/>
    <dataValidation allowBlank="1" showInputMessage="1" showErrorMessage="1" promptTitle="Model # / Desc" prompt="Vendor model number and Brief Description.  " sqref="B30:B332 F31:G33 I30:I33 C30:H30" xr:uid="{00000000-0002-0000-0000-000006000000}"/>
    <dataValidation allowBlank="1" showInputMessage="1" showErrorMessage="1" promptTitle="Program Number" prompt="Enter the Authorizatin Code" sqref="M30:M333" xr:uid="{00000000-0002-0000-0000-000007000000}"/>
    <dataValidation allowBlank="1" showInputMessage="1" showErrorMessage="1" prompt="Vendor supported portion of promotion, percentage.  For example, the vendor is giving the Exchange 25% off each scanned item during the promotional period or a markdown of 25%.  Unless otherwise noted in the comments, the discount will be taken off cost." sqref="J30:J333" xr:uid="{00000000-0002-0000-0000-000008000000}"/>
    <dataValidation allowBlank="1" showInputMessage="1" showErrorMessage="1" promptTitle="Vendor Support $" prompt="Vendor supported portion of promotion, flat dollar amount. For example, the vendor is giving the Exchange $30 for each scanned item during the promotional period." sqref="I34:I333" xr:uid="{00000000-0002-0000-0000-000009000000}"/>
    <dataValidation allowBlank="1" showInputMessage="1" showErrorMessage="1" promptTitle="Total Deal" prompt="Total deal, sometimes referred to as the IR.  For example, if the customer is receiving $50 off the item, $30 being paid by the vendor and $20 by the Exchange. _x000a_" sqref="H31:H333" xr:uid="{00000000-0002-0000-0000-00000A000000}"/>
    <dataValidation allowBlank="1" showInputMessage="1" showErrorMessage="1" promptTitle="Description" prompt="Description of the Promotion" sqref="B13" xr:uid="{00000000-0002-0000-0000-00000B000000}"/>
    <dataValidation type="date" operator="greaterThanOrEqual" allowBlank="1" showInputMessage="1" showErrorMessage="1" errorTitle="Date Error" error="End Date cannot be before the start date." promptTitle="End Date" prompt="End date of promotion_x000a_" sqref="D14" xr:uid="{FC59A3F3-1656-40D8-BC5B-29E400544B11}">
      <formula1>B14</formula1>
    </dataValidation>
    <dataValidation allowBlank="1" showInputMessage="1" showErrorMessage="1" promptTitle="Total $" prompt="This should be the total billing, not including the Scanback or Bill Back." sqref="D11" xr:uid="{00000000-0002-0000-0000-00000D000000}"/>
    <dataValidation allowBlank="1" showInputMessage="1" showErrorMessage="1" promptTitle="Week or Event #:" prompt="Navy Exchange Weeks Start in February. Ex. WK1 of 2022 = Jan 30-Feb 5, WK2 = Feb 6 - Feb12. _x000a_If advertised use the actual ad event # (ie 32FE)" sqref="B11" xr:uid="{00000000-0002-0000-0000-00000E000000}"/>
    <dataValidation allowBlank="1" showInputMessage="1" showErrorMessage="1" promptTitle="Start Date" prompt="Beginning date of promotion_x000a_" sqref="B14" xr:uid="{167F3494-BC08-4D42-A661-E81A5630FFFA}"/>
    <dataValidation type="list" allowBlank="1" showInputMessage="1" showErrorMessage="1" promptTitle="Online" prompt="Includes purchases made online, phone orders, and catalog." sqref="B24:D24" xr:uid="{00000000-0002-0000-0000-000010000000}">
      <formula1>"Yes,No"</formula1>
    </dataValidation>
    <dataValidation type="list" allowBlank="1" showInputMessage="1" showErrorMessage="1" promptTitle="Contingency" prompt="Includes facilities in OEF/OIF, Iraq and Afghanistan." sqref="B23:D23" xr:uid="{00000000-0002-0000-0000-000011000000}">
      <formula1>"Yes, No"</formula1>
    </dataValidation>
    <dataValidation type="list" allowBlank="1" showInputMessage="1" showErrorMessage="1" promptTitle="Pacific" prompt="Includes all Pacific Exchange locations. Japan, Guam and Singapore. _x000a_" sqref="B22:D22" xr:uid="{00000000-0002-0000-0000-000012000000}">
      <formula1>"Yes, No"</formula1>
    </dataValidation>
    <dataValidation type="list" allowBlank="1" showInputMessage="1" showErrorMessage="1" promptTitle="Europe" prompt="Includes all Europe Exchange locations, Including Bahrain, Djibouti, Naples, Rota, Sigonella, Souda Bay._x000a_" sqref="B21:D21" xr:uid="{00000000-0002-0000-0000-000013000000}">
      <formula1>"Yes, No"</formula1>
    </dataValidation>
    <dataValidation type="list" allowBlank="1" showInputMessage="1" showErrorMessage="1" promptTitle="Alaska/Hawaii" prompt="Includes Alaska and Hawaii Exchange locations._x000a_" sqref="B20:D20" xr:uid="{00000000-0002-0000-0000-000014000000}">
      <formula1>"Yes, No"</formula1>
    </dataValidation>
    <dataValidation type="list" allowBlank="1" showInputMessage="1" showErrorMessage="1" promptTitle="Conus" prompt="Includes all Conus Exchange locations. Does not include Guam or Hawaii or Gitmo._x000a_" sqref="B19:D19" xr:uid="{00000000-0002-0000-0000-000015000000}">
      <formula1>"Yes, No"</formula1>
    </dataValidation>
    <dataValidation type="list" allowBlank="1" showInputMessage="1" showErrorMessage="1" promptTitle="Method of Payment" prompt="Chargeback, deduction will occur no more than 7 days after the claim is created.  If paying by check, we will invoice you and payment is due within 30 days of invoice. If credit memo, we will create a chargeback deduction." sqref="B15" xr:uid="{00000000-0002-0000-0000-000016000000}">
      <formula1>"Chargeback, Check/Invoice, Credit Memo"</formula1>
    </dataValidation>
    <dataValidation type="list" allowBlank="1" showInputMessage="1" showErrorMessage="1" promptTitle="WW" prompt="Includes all Navy Exchange Locations. Does not include Online." sqref="B18:D18" xr:uid="{00000000-0002-0000-0000-000017000000}">
      <formula1>"Yes, No"</formula1>
    </dataValidation>
    <dataValidation type="whole" allowBlank="1" showInputMessage="1" showErrorMessage="1" error="A DUNS can not be more than 9 digits. _x000a_" promptTitle="DUNS Number" prompt="Vendor Number to be billed. Your Duns #" sqref="B6" xr:uid="{00000000-0002-0000-0000-000018000000}">
      <formula1>1000</formula1>
      <formula2>999999999</formula2>
    </dataValidation>
    <dataValidation type="list" allowBlank="1" showInputMessage="1" showErrorMessage="1" sqref="B16" xr:uid="{00000000-0002-0000-0000-000019000000}">
      <formula1>"Invoice Deduction, Check, Credit Memo, Other"</formula1>
    </dataValidation>
    <dataValidation type="list" allowBlank="1" showInputMessage="1" showErrorMessage="1" sqref="B12" xr:uid="{00000000-0002-0000-0000-00001A000000}">
      <formula1>"Yes, No"</formula1>
    </dataValidation>
    <dataValidation type="list" allowBlank="1" showInputMessage="1" showErrorMessage="1" prompt="Selecte the Type of Program this document covers" sqref="B10" xr:uid="{00000000-0002-0000-0000-00001B000000}">
      <formula1>lu_reason_name</formula1>
    </dataValidation>
    <dataValidation allowBlank="1" showInputMessage="1" showErrorMessage="1" prompt="Qty Sold x the Bill Back amount" sqref="L30:L334" xr:uid="{00000000-0002-0000-0000-000002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VENDORDOF">
                <anchor moveWithCells="1" sizeWithCells="1">
                  <from>
                    <xdr:col>4</xdr:col>
                    <xdr:colOff>200025</xdr:colOff>
                    <xdr:row>9</xdr:row>
                    <xdr:rowOff>9525</xdr:rowOff>
                  </from>
                  <to>
                    <xdr:col>8</xdr:col>
                    <xdr:colOff>857250</xdr:colOff>
                    <xdr:row>23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 id="{AA1BE5A0-6510-4099-93FD-C269CA8B17D7}">
            <xm:f>'C:\Users\grayr\Desktop\Exports\[Copy of DOF for Josh Garmin In Store 2025.11.55.xlsm]Worksheet'!#REF!&lt;1</xm:f>
            <x14:dxf>
              <font>
                <color theme="1"/>
              </font>
              <fill>
                <patternFill patternType="none">
                  <bgColor auto="1"/>
                </patternFill>
              </fill>
              <border>
                <bottom style="thin">
                  <color auto="1"/>
                </bottom>
              </border>
            </x14:dxf>
          </x14:cfRule>
          <xm:sqref>B19:D23</xm:sqref>
        </x14:conditionalFormatting>
        <x14:conditionalFormatting xmlns:xm="http://schemas.microsoft.com/office/excel/2006/main">
          <x14:cfRule type="expression" priority="34" id="{3F637300-6073-4382-997B-6EAD693B7680}">
            <xm:f>'C:\Users\grayr\Desktop\Exports\[Copy of DOF for Josh Garmin In Store 2025.11.55.xlsm]Worksheet'!#REF!&gt;0</xm:f>
            <x14:dxf>
              <fill>
                <patternFill patternType="none">
                  <bgColor auto="1"/>
                </patternFill>
              </fill>
            </x14:dxf>
          </x14:cfRule>
          <x14:cfRule type="expression" priority="35" id="{F0850EFB-AA6A-42DB-821F-B125745C0443}">
            <xm:f>'C:\Users\grayr\Desktop\Exports\[Copy of DOF for Josh Garmin In Store 2025.11.55.xlsm]Worksheet'!#REF!&gt;0</xm:f>
            <x14:dxf>
              <fill>
                <patternFill>
                  <bgColor rgb="FFFFFF00"/>
                </patternFill>
              </fill>
            </x14:dxf>
          </x14:cfRule>
          <xm:sqref>A26</xm:sqref>
        </x14:conditionalFormatting>
        <x14:conditionalFormatting xmlns:xm="http://schemas.microsoft.com/office/excel/2006/main">
          <x14:cfRule type="expression" priority="24" id="{B9A4B66C-CE9C-45EA-B636-E67BF5539399}">
            <xm:f>'C:\Users\grayr\Desktop\Exports\[Copy of DOF for Josh Garmin In Store 2025.11.55.xlsm]Worksheet'!#REF!&gt;0</xm:f>
            <x14:dxf>
              <fill>
                <patternFill>
                  <bgColor theme="0"/>
                </patternFill>
              </fill>
              <border>
                <bottom style="thin">
                  <color auto="1"/>
                </bottom>
                <vertical/>
                <horizontal/>
              </border>
            </x14:dxf>
          </x14:cfRule>
          <x14:cfRule type="expression" priority="33" id="{83D7380B-9428-435D-AF6D-7B03B49B9427}">
            <xm:f>'C:\Users\grayr\Desktop\Exports\[Copy of DOF for Josh Garmin In Store 2025.11.55.xlsm]Worksheet'!#REF!&gt;0</xm:f>
            <x14:dxf>
              <border>
                <bottom style="thin">
                  <color auto="1"/>
                </bottom>
                <vertical/>
                <horizontal/>
              </border>
            </x14:dxf>
          </x14:cfRule>
          <xm:sqref>D10</xm:sqref>
        </x14:conditionalFormatting>
        <x14:conditionalFormatting xmlns:xm="http://schemas.microsoft.com/office/excel/2006/main">
          <x14:cfRule type="expression" priority="21" id="{65CD64AC-7708-42B7-8777-A14B207C5618}">
            <xm:f>'C:\Users\grayr\Desktop\Exports\[Copy of DOF for Josh Garmin In Store 2025.11.55.xlsm]Worksheet'!#REF!&gt;0</xm:f>
            <x14:dxf>
              <border>
                <bottom style="thin">
                  <color auto="1"/>
                </bottom>
                <vertical/>
                <horizontal/>
              </border>
            </x14:dxf>
          </x14:cfRule>
          <x14:cfRule type="expression" priority="23" id="{DD2DE6D7-7FB1-4DF8-980B-7453A15AE15B}">
            <xm:f>'C:\Users\grayr\Desktop\Exports\[Copy of DOF for Josh Garmin In Store 2025.11.55.xlsm]Worksheet'!#REF!&gt;0</xm:f>
            <x14:dxf>
              <fill>
                <patternFill>
                  <bgColor theme="0"/>
                </patternFill>
              </fill>
              <border>
                <bottom style="thin">
                  <color auto="1"/>
                </bottom>
                <vertical/>
                <horizontal/>
              </border>
            </x14:dxf>
          </x14:cfRule>
          <x14:cfRule type="expression" priority="30" id="{477377BA-1071-43AA-89DC-57A02CCA35FF}">
            <xm:f>'C:\Users\grayr\Desktop\Exports\[Copy of DOF for Josh Garmin In Store 2025.11.55.xlsm]Worksheet'!#REF!&gt;0</xm:f>
            <x14:dxf>
              <border>
                <bottom style="thin">
                  <color auto="1"/>
                </bottom>
                <vertical/>
                <horizontal/>
              </border>
            </x14:dxf>
          </x14:cfRule>
          <x14:cfRule type="expression" priority="32" id="{B4A0F821-F7E2-4F62-9E48-A05DFAEF82F1}">
            <xm:f>'C:\Users\grayr\Desktop\Exports\[Copy of DOF for Josh Garmin In Store 2025.11.55.xlsm]Worksheet'!#REF!&gt;0</xm:f>
            <x14:dxf>
              <border>
                <bottom style="thin">
                  <color auto="1"/>
                </bottom>
                <vertical/>
                <horizontal/>
              </border>
            </x14:dxf>
          </x14:cfRule>
          <xm:sqref>D11</xm:sqref>
        </x14:conditionalFormatting>
        <x14:conditionalFormatting xmlns:xm="http://schemas.microsoft.com/office/excel/2006/main">
          <x14:cfRule type="expression" priority="22" id="{89AA7AE5-E576-4A52-8FD4-04EE8F7B9B23}">
            <xm:f>'C:\Users\grayr\Desktop\Exports\[Copy of DOF for Josh Garmin In Store 2025.11.55.xlsm]Worksheet'!#REF!&gt;0</xm:f>
            <x14:dxf>
              <fill>
                <patternFill>
                  <bgColor theme="0"/>
                </patternFill>
              </fill>
              <border>
                <bottom style="thin">
                  <color auto="1"/>
                </bottom>
                <vertical/>
                <horizontal/>
              </border>
            </x14:dxf>
          </x14:cfRule>
          <x14:cfRule type="expression" priority="29" id="{FE9DF82E-DDB1-4DA1-88F2-C24FDA54F480}">
            <xm:f>'C:\Users\grayr\Desktop\Exports\[Copy of DOF for Josh Garmin In Store 2025.11.55.xlsm]Worksheet'!#REF!&gt;0</xm:f>
            <x14:dxf>
              <border>
                <bottom style="thin">
                  <color auto="1"/>
                </bottom>
                <vertical/>
                <horizontal/>
              </border>
            </x14:dxf>
          </x14:cfRule>
          <x14:cfRule type="expression" priority="31" id="{289AE3CB-D366-4253-9D4E-D55629EC5DB0}">
            <xm:f>'C:\Users\grayr\Desktop\Exports\[Copy of DOF for Josh Garmin In Store 2025.11.55.xlsm]Worksheet'!#REF!&gt;0</xm:f>
            <x14:dxf>
              <border>
                <bottom style="thin">
                  <color auto="1"/>
                </bottom>
                <vertical/>
                <horizontal/>
              </border>
            </x14:dxf>
          </x14:cfRule>
          <xm:sqref>D12</xm:sqref>
        </x14:conditionalFormatting>
        <x14:conditionalFormatting xmlns:xm="http://schemas.microsoft.com/office/excel/2006/main">
          <x14:cfRule type="expression" priority="26" id="{8B915D24-BD14-406C-A3B7-EC7105818A62}">
            <xm:f>'C:\Users\grayr\Desktop\Exports\[Copy of DOF for Josh Garmin In Store 2025.11.55.xlsm]Worksheet'!#REF!&gt;0</xm:f>
            <x14:dxf>
              <fill>
                <patternFill>
                  <bgColor theme="1"/>
                </patternFill>
              </fill>
            </x14:dxf>
          </x14:cfRule>
          <x14:cfRule type="expression" priority="28" id="{B127F25A-CF82-42D5-AE73-4A3927BFADFD}">
            <xm:f>'C:\Users\grayr\Desktop\Exports\[Copy of DOF for Josh Garmin In Store 2025.11.55.xlsm]Worksheet'!#REF!&gt;0</xm:f>
            <x14:dxf>
              <fill>
                <patternFill>
                  <bgColor rgb="FFFFFF00"/>
                </patternFill>
              </fill>
            </x14:dxf>
          </x14:cfRule>
          <xm:sqref>J30:L30 J35:L333</xm:sqref>
        </x14:conditionalFormatting>
        <x14:conditionalFormatting xmlns:xm="http://schemas.microsoft.com/office/excel/2006/main">
          <x14:cfRule type="expression" priority="27" id="{9EE09360-301D-44E7-9EC2-50BBED880EC2}">
            <xm:f>'C:\Users\grayr\Desktop\Exports\[Copy of DOF for Josh Garmin In Store 2025.11.55.xlsm]Worksheet'!#REF!&lt;1</xm:f>
            <x14:dxf>
              <fill>
                <patternFill patternType="none">
                  <bgColor auto="1"/>
                </patternFill>
              </fill>
              <border>
                <bottom style="thin">
                  <color auto="1"/>
                </bottom>
              </border>
            </x14:dxf>
          </x14:cfRule>
          <xm:sqref>B24:D24</xm:sqref>
        </x14:conditionalFormatting>
        <x14:conditionalFormatting xmlns:xm="http://schemas.microsoft.com/office/excel/2006/main">
          <x14:cfRule type="expression" priority="25" id="{5190AEBA-9138-4F0C-A90D-C97365827889}">
            <xm:f>'C:\Users\grayr\Desktop\Exports\[Copy of DOF for Josh Garmin In Store 2025.11.55.xlsm]Worksheet'!#REF!&gt;0</xm:f>
            <x14:dxf>
              <fill>
                <patternFill>
                  <bgColor rgb="FFFFFF00"/>
                </patternFill>
              </fill>
            </x14:dxf>
          </x14:cfRule>
          <xm:sqref>D10:D12</xm:sqref>
        </x14:conditionalFormatting>
        <x14:conditionalFormatting xmlns:xm="http://schemas.microsoft.com/office/excel/2006/main">
          <x14:cfRule type="expression" priority="19" id="{8271C5DB-32C3-4FE8-BEE1-8CAA4A042F93}">
            <xm:f>'C:\Users\grayr\Desktop\Exports\[Copy of DOF for Josh Garmin In Store 2025.11.55.xlsm]Worksheet'!#REF!&gt;0</xm:f>
            <x14:dxf>
              <fill>
                <patternFill>
                  <bgColor theme="1"/>
                </patternFill>
              </fill>
            </x14:dxf>
          </x14:cfRule>
          <x14:cfRule type="expression" priority="20" id="{D3990558-839C-4935-B7D9-C2140BC56AAA}">
            <xm:f>'C:\Users\grayr\Desktop\Exports\[Copy of DOF for Josh Garmin In Store 2025.11.55.xlsm]Worksheet'!#REF!&gt;0</xm:f>
            <x14:dxf>
              <fill>
                <patternFill>
                  <bgColor rgb="FFFFFF00"/>
                </patternFill>
              </fill>
            </x14:dxf>
          </x14:cfRule>
          <xm:sqref>I44:I68 I72:I333</xm:sqref>
        </x14:conditionalFormatting>
        <x14:conditionalFormatting xmlns:xm="http://schemas.microsoft.com/office/excel/2006/main">
          <x14:cfRule type="expression" priority="17" id="{82D6A5BA-C2ED-47B1-82B4-D648674706A4}">
            <xm:f>'C:\Users\grayr\Desktop\Exports\[Copy of DOF for Josh Garmin In Store 2025.11.55.xlsm]Worksheet'!#REF!&gt;0</xm:f>
            <x14:dxf>
              <fill>
                <patternFill>
                  <bgColor theme="1"/>
                </patternFill>
              </fill>
            </x14:dxf>
          </x14:cfRule>
          <x14:cfRule type="expression" priority="18" id="{4585C584-61AC-4D18-9CCC-7F0CCCA8C0BB}">
            <xm:f>'C:\Users\grayr\Desktop\Exports\[Copy of DOF for Josh Garmin In Store 2025.11.55.xlsm]Worksheet'!#REF!&gt;0</xm:f>
            <x14:dxf>
              <fill>
                <patternFill>
                  <bgColor rgb="FFFFFF00"/>
                </patternFill>
              </fill>
            </x14:dxf>
          </x14:cfRule>
          <xm:sqref>I34:I43</xm:sqref>
        </x14:conditionalFormatting>
        <x14:conditionalFormatting xmlns:xm="http://schemas.microsoft.com/office/excel/2006/main">
          <x14:cfRule type="expression" priority="15" id="{E3FF9AB4-E375-4368-83A1-5E440AD72166}">
            <xm:f>'C:\Users\grayr\Desktop\Exports\[Copy of DOF for Josh Garmin In Store 2025.11.55.xlsm]Worksheet'!#REF!&gt;0</xm:f>
            <x14:dxf>
              <fill>
                <patternFill>
                  <bgColor theme="1"/>
                </patternFill>
              </fill>
            </x14:dxf>
          </x14:cfRule>
          <x14:cfRule type="expression" priority="16" id="{1F1BDF8D-31B5-43F2-958E-A0A0730CB551}">
            <xm:f>'C:\Users\grayr\Desktop\Exports\[Copy of DOF for Josh Garmin In Store 2025.11.55.xlsm]Worksheet'!#REF!&gt;0</xm:f>
            <x14:dxf>
              <fill>
                <patternFill>
                  <bgColor rgb="FFFFFF00"/>
                </patternFill>
              </fill>
            </x14:dxf>
          </x14:cfRule>
          <xm:sqref>J334:L334</xm:sqref>
        </x14:conditionalFormatting>
        <x14:conditionalFormatting xmlns:xm="http://schemas.microsoft.com/office/excel/2006/main">
          <x14:cfRule type="expression" priority="13" id="{4B51E1B8-8A0A-40EF-9D01-E1043B8C93BA}">
            <xm:f>'C:\Users\grayr\Desktop\Exports\[Copy of DOF for Josh Garmin In Store 2025.11.55.xlsm]Worksheet'!#REF!&gt;0</xm:f>
            <x14:dxf>
              <fill>
                <patternFill>
                  <bgColor theme="1"/>
                </patternFill>
              </fill>
            </x14:dxf>
          </x14:cfRule>
          <x14:cfRule type="expression" priority="14" id="{56A28E3F-0F6F-4F40-9FD1-D00FDA5BB632}">
            <xm:f>'C:\Users\grayr\Desktop\Exports\[Copy of DOF for Josh Garmin In Store 2025.11.55.xlsm]Worksheet'!#REF!&gt;0</xm:f>
            <x14:dxf>
              <fill>
                <patternFill>
                  <bgColor rgb="FFFFFF00"/>
                </patternFill>
              </fill>
            </x14:dxf>
          </x14:cfRule>
          <xm:sqref>I334</xm:sqref>
        </x14:conditionalFormatting>
        <x14:conditionalFormatting xmlns:xm="http://schemas.microsoft.com/office/excel/2006/main">
          <x14:cfRule type="expression" priority="11" id="{13BE1C24-6232-435A-BE05-D7DFCCDECF7D}">
            <xm:f>'C:\Users\grayr\Desktop\Exports\[Copy of DOF for Josh Garmin In Store 2025.11.55.xlsm]Worksheet'!#REF!&gt;0</xm:f>
            <x14:dxf>
              <fill>
                <patternFill>
                  <bgColor theme="1"/>
                </patternFill>
              </fill>
            </x14:dxf>
          </x14:cfRule>
          <x14:cfRule type="expression" priority="12" id="{46F8E4C7-9ECB-435B-98F7-B5EE30F3CC24}">
            <xm:f>'C:\Users\grayr\Desktop\Exports\[Copy of DOF for Josh Garmin In Store 2025.11.55.xlsm]Worksheet'!#REF!&gt;0</xm:f>
            <x14:dxf>
              <fill>
                <patternFill>
                  <bgColor rgb="FFFFFF00"/>
                </patternFill>
              </fill>
            </x14:dxf>
          </x14:cfRule>
          <xm:sqref>I334</xm:sqref>
        </x14:conditionalFormatting>
        <x14:conditionalFormatting xmlns:xm="http://schemas.microsoft.com/office/excel/2006/main">
          <x14:cfRule type="expression" priority="9" id="{72AAABEA-EB77-4032-8CD7-DEA3CA381F79}">
            <xm:f>'C:\Users\grayr\Desktop\Exports\[Copy of DOF for Josh Garmin In Store 2025.11.55.xlsm]Worksheet'!#REF!&gt;0</xm:f>
            <x14:dxf>
              <fill>
                <patternFill>
                  <bgColor theme="1"/>
                </patternFill>
              </fill>
            </x14:dxf>
          </x14:cfRule>
          <x14:cfRule type="expression" priority="10" id="{E0F6B24D-7A6E-48A1-8D5A-3B307ADD0109}">
            <xm:f>'C:\Users\grayr\Desktop\Exports\[Copy of DOF for Josh Garmin In Store 2025.11.55.xlsm]Worksheet'!#REF!&gt;0</xm:f>
            <x14:dxf>
              <fill>
                <patternFill>
                  <bgColor rgb="FFFFFF00"/>
                </patternFill>
              </fill>
            </x14:dxf>
          </x14:cfRule>
          <xm:sqref>J31:L32 J34:L34</xm:sqref>
        </x14:conditionalFormatting>
        <x14:conditionalFormatting xmlns:xm="http://schemas.microsoft.com/office/excel/2006/main">
          <x14:cfRule type="expression" priority="5" id="{83FCD8B5-2A4E-40F1-9C13-9EB328CF269A}">
            <xm:f>'C:\Users\grayr\Desktop\Exports\[Copy of DOF for Josh Garmin In Store 2025.11.55.xlsm]Worksheet'!#REF!&gt;0</xm:f>
            <x14:dxf>
              <fill>
                <patternFill>
                  <bgColor theme="1"/>
                </patternFill>
              </fill>
            </x14:dxf>
          </x14:cfRule>
          <x14:cfRule type="expression" priority="6" id="{5D65AB19-722C-46EE-A81B-068F212B1F68}">
            <xm:f>'C:\Users\grayr\Desktop\Exports\[Copy of DOF for Josh Garmin In Store 2025.11.55.xlsm]Worksheet'!#REF!&gt;0</xm:f>
            <x14:dxf>
              <fill>
                <patternFill>
                  <bgColor rgb="FFFFFF00"/>
                </patternFill>
              </fill>
            </x14:dxf>
          </x14:cfRule>
          <xm:sqref>J33:L33</xm:sqref>
        </x14:conditionalFormatting>
        <x14:conditionalFormatting xmlns:xm="http://schemas.microsoft.com/office/excel/2006/main">
          <x14:cfRule type="expression" priority="1" id="{EFFE05C8-B129-4364-98AE-3D7E9A1B135D}">
            <xm:f>'C:\Users\grayr\Desktop\Exports\[Copy of DOF for Josh Garmin In Store 2025.11.55.xlsm]Worksheet'!#REF!&gt;0</xm:f>
            <x14:dxf>
              <fill>
                <patternFill>
                  <bgColor theme="1"/>
                </patternFill>
              </fill>
            </x14:dxf>
          </x14:cfRule>
          <x14:cfRule type="expression" priority="2" id="{32B42C58-11FA-4E63-A0B2-11DA15DCA6B7}">
            <xm:f>'C:\Users\grayr\Desktop\Exports\[Copy of DOF for Josh Garmin In Store 2025.11.55.xlsm]Worksheet'!#REF!&gt;0</xm:f>
            <x14:dxf>
              <fill>
                <patternFill>
                  <bgColor rgb="FFFFFF00"/>
                </patternFill>
              </fill>
            </x14:dxf>
          </x14:cfRule>
          <xm:sqref>I69:I71</xm:sqref>
        </x14:conditionalFormatting>
      </x14:conditionalFormattings>
    </ext>
    <ext xmlns:x14="http://schemas.microsoft.com/office/spreadsheetml/2009/9/main" uri="{CCE6A557-97BC-4b89-ADB6-D9C93CAAB3DF}">
      <x14:dataValidations xmlns:xm="http://schemas.microsoft.com/office/excel/2006/main" xWindow="324" yWindow="540" count="1">
        <x14:dataValidation type="list" allowBlank="1" showInputMessage="1" showErrorMessage="1" xr:uid="{00000000-0002-0000-0000-00001C000000}">
          <x14:formula1>
            <xm:f>'C:\Users\grayr\Desktop\Exports\[Copy of DOF for Josh Garmin In Store 2025.11.55.xlsm]Worksheet'!#REF!</xm:f>
          </x14:formula1>
          <xm:sqref>D10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Gray, Ryan</dc:creator>
  <cp:lastModifiedBy>Gray, Ryan</cp:lastModifiedBy>
  <dcterms:created xsi:type="dcterms:W3CDTF">2025-12-17T20:37:19Z</dcterms:created>
  <dcterms:modified xsi:type="dcterms:W3CDTF">2026-05-19T12:20:11Z</dcterms:modified>
</cp:coreProperties>
</file>