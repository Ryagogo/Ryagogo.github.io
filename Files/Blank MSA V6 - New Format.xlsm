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Code_M\Code_MG1\Group 257\F7 Forecast\1. All Groups MSA\2026 MSA\New Format\"/>
    </mc:Choice>
  </mc:AlternateContent>
  <xr:revisionPtr revIDLastSave="0" documentId="13_ncr:1_{8D1489C6-ADAE-4DF9-9C60-20ABFCADFCF2}" xr6:coauthVersionLast="47" xr6:coauthVersionMax="47" xr10:uidLastSave="{00000000-0000-0000-0000-000000000000}"/>
  <bookViews>
    <workbookView xWindow="-44910" yWindow="-2910" windowWidth="25820" windowHeight="13900" tabRatio="500" activeTab="2" xr2:uid="{9BC0800F-D02A-4947-9DDC-13E35E743902}"/>
  </bookViews>
  <sheets>
    <sheet name="SQL" sheetId="1" r:id="rId1"/>
    <sheet name="Instructions" sheetId="8" r:id="rId2"/>
    <sheet name="Master Assortment" sheetId="2" r:id="rId3"/>
    <sheet name="Executive Dashboard" sheetId="3" r:id="rId4"/>
    <sheet name="Buyer View" sheetId="4" r:id="rId5"/>
    <sheet name="Settings" sheetId="5" r:id="rId6"/>
    <sheet name="Ad Week Dates" sheetId="6" r:id="rId7"/>
    <sheet name="WEEKLY_DATA" sheetId="7" r:id="rId8"/>
    <sheet name="Location Lists" sheetId="9" r:id="rId9"/>
    <sheet name="BrandList" sheetId="10" r:id="rId10"/>
  </sheets>
  <functionGroups builtInGroupCount="19"/>
  <definedNames>
    <definedName name="_xlnm._FilterDatabase" localSheetId="4" hidden="1">'Buyer View'!$A$2:$K$2</definedName>
    <definedName name="_xlnm._FilterDatabase" localSheetId="2" hidden="1">'Master Assortment'!$A$4:$AT$234</definedName>
    <definedName name="_xleta.LEFT" hidden="1" xlm="1">#NAME?</definedName>
    <definedName name="_xleta.NOT" hidden="1" xlm="1">#NAME?</definedName>
    <definedName name="brandlist">BrandList!$A:$A</definedName>
    <definedName name="rngrmsquery" localSheetId="0">SQL!$B$1</definedName>
    <definedName name="Z_051F7B8E_8887_4F7C_BE84_39381F59BBAB_.wvu.FilterData" localSheetId="4" hidden="1">'Buyer View'!$A$2:$K$190</definedName>
    <definedName name="Z_051F7B8E_8887_4F7C_BE84_39381F59BBAB_.wvu.FilterData" localSheetId="2" hidden="1">'Master Assortment'!$A$4:$AM$234</definedName>
    <definedName name="Z_3301D7ED_6574_40EB_BC76_168E5F04FB0F_.wvu.FilterData" localSheetId="4" hidden="1">'Buyer View'!$A$2:$K$190</definedName>
    <definedName name="Z_3301D7ED_6574_40EB_BC76_168E5F04FB0F_.wvu.FilterData" localSheetId="2" hidden="1">'Master Assortment'!$A$4:$AM$234</definedName>
    <definedName name="Z_366F9FB5_3BA8_414E_92A2_B2DD6F2763C8_.wvu.FilterData" localSheetId="2" hidden="1">'Master Assortment'!$A$4:$AT$234</definedName>
    <definedName name="Z_48DF0157_45D8_4418_BEC1_95C889BD86BC_.wvu.FilterData" localSheetId="2" hidden="1">'Master Assortment'!$A$4:$AT$234</definedName>
    <definedName name="Z_5C0E3754_CF5F_4DBA_9511_D71CA19189B0_.wvu.FilterData" localSheetId="2" hidden="1">'Master Assortment'!$A$4:$AM$203</definedName>
    <definedName name="Z_66058753_F09A_4F89_9D6D_DF919A0AABFF_.wvu.FilterData" localSheetId="2" hidden="1">'Master Assortment'!$A$4:$AM$203</definedName>
    <definedName name="Z_747C58B5_1285_44D2_9D58_49973DC73188_.wvu.FilterData" localSheetId="2" hidden="1">'Master Assortment'!$A$4:$AM$203</definedName>
    <definedName name="Z_75FD8772_6705_43A0_93CF_16DCF3197B11_.wvu.FilterData" localSheetId="2" hidden="1">'Master Assortment'!$A$4:$AM$222</definedName>
    <definedName name="Z_80AC9CA6_9F2D_4362_9F96_BE5DC04B35C8_.wvu.FilterData" localSheetId="2" hidden="1">'Master Assortment'!$A$4:$AT$234</definedName>
    <definedName name="Z_983365A7_A65E_4C48_A460_AAA3B8052ACA_.wvu.FilterData" localSheetId="2" hidden="1">'Master Assortment'!$A$4:$AT$54</definedName>
    <definedName name="Z_BFC23A99_8068_4F7A_A3EF_B0436B22DBB2_.wvu.FilterData" localSheetId="4" hidden="1">'Buyer View'!$A$2:$K$190</definedName>
    <definedName name="Z_BFC23A99_8068_4F7A_A3EF_B0436B22DBB2_.wvu.FilterData" localSheetId="2" hidden="1">'Master Assortment'!$A$4:$AT$234</definedName>
    <definedName name="Z_CDC7DFA5_0A21_4903_8DAF_AF2AD06C092C_.wvu.FilterData" localSheetId="2" hidden="1">'Master Assortment'!$A$4:$AT$214</definedName>
    <definedName name="Z_FE60293F_D66D_444E_A1CD_0D97CF17EBD5_.wvu.FilterData" localSheetId="4" hidden="1">'Buyer View'!$A$2:$K$190</definedName>
    <definedName name="Z_FE60293F_D66D_444E_A1CD_0D97CF17EBD5_.wvu.FilterData" localSheetId="2" hidden="1">'Master Assortment'!$A$4:$AT$234</definedName>
  </definedNames>
  <calcPr calcId="191029"/>
  <customWorkbookViews>
    <customWorkbookView name="Taylor, Jonathan (Chad) - Personal View" guid="{FE60293F-D66D-444E-A1CD-0D97CF17EBD5}" mergeInterval="0" personalView="1" maximized="1" xWindow="-8" yWindow="-8" windowWidth="1936" windowHeight="1048" tabRatio="500" activeSheetId="2"/>
    <customWorkbookView name="Baker, Jennifer - Personal View" guid="{3301D7ED-6574-40EB-BC76-168E5F04FB0F}" mergeInterval="0" personalView="1" maximized="1" xWindow="-11" yWindow="-11" windowWidth="1942" windowHeight="1030" tabRatio="500" activeSheetId="2"/>
    <customWorkbookView name="Tabb, Ciara - Personal View" guid="{747C58B5-1285-44D2-9D58-49973DC73188}" mergeInterval="0" personalView="1" maximized="1" xWindow="-11" yWindow="-11" windowWidth="1942" windowHeight="1030" tabRatio="500" activeSheetId="2"/>
    <customWorkbookView name="Murphy, Heather - Personal View" guid="{BFC23A99-8068-4F7A-A3EF-B0436B22DBB2}" mergeInterval="0" personalView="1" maximized="1" xWindow="-8" yWindow="-8" windowWidth="2576" windowHeight="1408" tabRatio="500" activeSheetId="2"/>
    <customWorkbookView name="Gray, Ryan - Personal View" guid="{051F7B8E-8887-4F7C-BE84-39381F59BBAB}" mergeInterval="0" personalView="1" maximized="1" xWindow="-4491" yWindow="-291" windowWidth="2582" windowHeight="1390" tabRatio="500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7" i="2" l="1" a="1"/>
  <c r="AM7" i="2"/>
  <c r="AM8" i="2" a="1"/>
  <c r="AM8" i="2"/>
  <c r="AM9" i="2" a="1"/>
  <c r="AM9" i="2"/>
  <c r="AM10" i="2" a="1"/>
  <c r="AM10" i="2"/>
  <c r="AM11" i="2" a="1"/>
  <c r="AM11" i="2"/>
  <c r="AM12" i="2" a="1"/>
  <c r="AM12" i="2"/>
  <c r="AM13" i="2" a="1"/>
  <c r="AM13" i="2"/>
  <c r="AM14" i="2" a="1"/>
  <c r="AM14" i="2"/>
  <c r="AM15" i="2" a="1"/>
  <c r="AM15" i="2"/>
  <c r="AM16" i="2" a="1"/>
  <c r="AM16" i="2"/>
  <c r="AM17" i="2" a="1"/>
  <c r="AM17" i="2"/>
  <c r="AM18" i="2" a="1"/>
  <c r="AM18" i="2"/>
  <c r="AM19" i="2" a="1"/>
  <c r="AM19" i="2"/>
  <c r="AM20" i="2" a="1"/>
  <c r="AM20" i="2"/>
  <c r="AM21" i="2" a="1"/>
  <c r="AM21" i="2"/>
  <c r="AM22" i="2" a="1"/>
  <c r="AM22" i="2"/>
  <c r="AM23" i="2" a="1"/>
  <c r="AM23" i="2"/>
  <c r="AM24" i="2" a="1"/>
  <c r="AM24" i="2"/>
  <c r="AM25" i="2" a="1"/>
  <c r="AM25" i="2"/>
  <c r="AM26" i="2" a="1"/>
  <c r="AM26" i="2"/>
  <c r="AM27" i="2" a="1"/>
  <c r="AM27" i="2"/>
  <c r="AM28" i="2" a="1"/>
  <c r="AM28" i="2"/>
  <c r="AM29" i="2" a="1"/>
  <c r="AM29" i="2"/>
  <c r="AM30" i="2" a="1"/>
  <c r="AM30" i="2"/>
  <c r="AM31" i="2" a="1"/>
  <c r="AM31" i="2"/>
  <c r="AM32" i="2" a="1"/>
  <c r="AM32" i="2"/>
  <c r="AM33" i="2" a="1"/>
  <c r="AM33" i="2"/>
  <c r="AM34" i="2" a="1"/>
  <c r="AM34" i="2"/>
  <c r="AM35" i="2" a="1"/>
  <c r="AM35" i="2"/>
  <c r="AM36" i="2" a="1"/>
  <c r="AM36" i="2"/>
  <c r="AM37" i="2" a="1"/>
  <c r="AM37" i="2"/>
  <c r="AM38" i="2" a="1"/>
  <c r="AM38" i="2"/>
  <c r="AM39" i="2" a="1"/>
  <c r="AM39" i="2"/>
  <c r="AM40" i="2" a="1"/>
  <c r="AM40" i="2"/>
  <c r="AM41" i="2" a="1"/>
  <c r="AM41" i="2"/>
  <c r="AM42" i="2" a="1"/>
  <c r="AM42" i="2"/>
  <c r="AM43" i="2" a="1"/>
  <c r="AM43" i="2"/>
  <c r="AM44" i="2" a="1"/>
  <c r="AM44" i="2"/>
  <c r="AM45" i="2" a="1"/>
  <c r="AM45" i="2"/>
  <c r="AM46" i="2" a="1"/>
  <c r="AM46" i="2"/>
  <c r="AM47" i="2" a="1"/>
  <c r="AM47" i="2"/>
  <c r="AM48" i="2" a="1"/>
  <c r="AM48" i="2"/>
  <c r="AM49" i="2" a="1"/>
  <c r="AM49" i="2"/>
  <c r="AM50" i="2" a="1"/>
  <c r="AM50" i="2"/>
  <c r="AM51" i="2" a="1"/>
  <c r="AM51" i="2"/>
  <c r="AM52" i="2" a="1"/>
  <c r="AM52" i="2"/>
  <c r="AM53" i="2" a="1"/>
  <c r="AM53" i="2"/>
  <c r="AM54" i="2" a="1"/>
  <c r="AM54" i="2"/>
  <c r="AM55" i="2" a="1"/>
  <c r="AM55" i="2"/>
  <c r="AM56" i="2" a="1"/>
  <c r="AM56" i="2"/>
  <c r="AM57" i="2" a="1"/>
  <c r="AM57" i="2"/>
  <c r="AM58" i="2" a="1"/>
  <c r="AM58" i="2"/>
  <c r="AM59" i="2" a="1"/>
  <c r="AM59" i="2"/>
  <c r="AM60" i="2" a="1"/>
  <c r="AM60" i="2"/>
  <c r="AM61" i="2" a="1"/>
  <c r="AM61" i="2"/>
  <c r="AM62" i="2" a="1"/>
  <c r="AM62" i="2"/>
  <c r="AM63" i="2" a="1"/>
  <c r="AM63" i="2"/>
  <c r="AM64" i="2" a="1"/>
  <c r="AM64" i="2"/>
  <c r="AM65" i="2" a="1"/>
  <c r="AM65" i="2"/>
  <c r="AM66" i="2" a="1"/>
  <c r="AM66" i="2"/>
  <c r="AM67" i="2" a="1"/>
  <c r="AM67" i="2"/>
  <c r="AM68" i="2" a="1"/>
  <c r="AM68" i="2"/>
  <c r="AM69" i="2" a="1"/>
  <c r="AM69" i="2"/>
  <c r="AM70" i="2" a="1"/>
  <c r="AM70" i="2"/>
  <c r="AM71" i="2" a="1"/>
  <c r="AM71" i="2"/>
  <c r="AM72" i="2" a="1"/>
  <c r="AM72" i="2"/>
  <c r="AM73" i="2" a="1"/>
  <c r="AM73" i="2"/>
  <c r="AM74" i="2" a="1"/>
  <c r="AM74" i="2"/>
  <c r="AM75" i="2" a="1"/>
  <c r="AM75" i="2"/>
  <c r="AM76" i="2" a="1"/>
  <c r="AM76" i="2"/>
  <c r="AM77" i="2" a="1"/>
  <c r="AM77" i="2"/>
  <c r="AM78" i="2" a="1"/>
  <c r="AM78" i="2"/>
  <c r="AM79" i="2" a="1"/>
  <c r="AM79" i="2"/>
  <c r="AM80" i="2" a="1"/>
  <c r="AM80" i="2"/>
  <c r="AM81" i="2" a="1"/>
  <c r="AM81" i="2"/>
  <c r="AM82" i="2" a="1"/>
  <c r="AM82" i="2"/>
  <c r="AM83" i="2" a="1"/>
  <c r="AM83" i="2"/>
  <c r="AM84" i="2" a="1"/>
  <c r="AM84" i="2"/>
  <c r="AM85" i="2" a="1"/>
  <c r="AM85" i="2"/>
  <c r="AM86" i="2" a="1"/>
  <c r="AM86" i="2"/>
  <c r="AM87" i="2" a="1"/>
  <c r="AM87" i="2"/>
  <c r="AM88" i="2" a="1"/>
  <c r="AM88" i="2"/>
  <c r="AM89" i="2" a="1"/>
  <c r="AM89" i="2"/>
  <c r="AM90" i="2" a="1"/>
  <c r="AM90" i="2"/>
  <c r="AM91" i="2" a="1"/>
  <c r="AM91" i="2"/>
  <c r="AM92" i="2" a="1"/>
  <c r="AM92" i="2"/>
  <c r="AM93" i="2" a="1"/>
  <c r="AM93" i="2"/>
  <c r="AM94" i="2" a="1"/>
  <c r="AM94" i="2"/>
  <c r="AM95" i="2" a="1"/>
  <c r="AM95" i="2"/>
  <c r="AM96" i="2" a="1"/>
  <c r="AM96" i="2"/>
  <c r="AM97" i="2" a="1"/>
  <c r="AM97" i="2"/>
  <c r="AM98" i="2" a="1"/>
  <c r="AM98" i="2"/>
  <c r="AM99" i="2" a="1"/>
  <c r="AM99" i="2"/>
  <c r="AM100" i="2" a="1"/>
  <c r="AM100" i="2"/>
  <c r="AM101" i="2" a="1"/>
  <c r="AM101" i="2"/>
  <c r="AM102" i="2" a="1"/>
  <c r="AM102" i="2"/>
  <c r="AM103" i="2" a="1"/>
  <c r="AM103" i="2"/>
  <c r="AM104" i="2" a="1"/>
  <c r="AM104" i="2"/>
  <c r="AM105" i="2" a="1"/>
  <c r="AM105" i="2"/>
  <c r="AM106" i="2" a="1"/>
  <c r="AM106" i="2"/>
  <c r="AM107" i="2" a="1"/>
  <c r="AM107" i="2"/>
  <c r="AM108" i="2" a="1"/>
  <c r="AM108" i="2"/>
  <c r="AM109" i="2" a="1"/>
  <c r="AM109" i="2"/>
  <c r="AM110" i="2" a="1"/>
  <c r="AM110" i="2"/>
  <c r="AM111" i="2" a="1"/>
  <c r="AM111" i="2"/>
  <c r="AM112" i="2" a="1"/>
  <c r="AM112" i="2"/>
  <c r="AM113" i="2" a="1"/>
  <c r="AM113" i="2"/>
  <c r="AM114" i="2" a="1"/>
  <c r="AM114" i="2"/>
  <c r="AM115" i="2" a="1"/>
  <c r="AM115" i="2"/>
  <c r="AM116" i="2" a="1"/>
  <c r="AM116" i="2"/>
  <c r="AM117" i="2" a="1"/>
  <c r="AM117" i="2"/>
  <c r="AM118" i="2" a="1"/>
  <c r="AM118" i="2"/>
  <c r="AM119" i="2" a="1"/>
  <c r="AM119" i="2"/>
  <c r="AM120" i="2" a="1"/>
  <c r="AM120" i="2"/>
  <c r="AM121" i="2" a="1"/>
  <c r="AM121" i="2"/>
  <c r="AM122" i="2" a="1"/>
  <c r="AM122" i="2"/>
  <c r="AM123" i="2" a="1"/>
  <c r="AM123" i="2"/>
  <c r="AM124" i="2" a="1"/>
  <c r="AM124" i="2"/>
  <c r="AM125" i="2" a="1"/>
  <c r="AM125" i="2"/>
  <c r="AM126" i="2" a="1"/>
  <c r="AM126" i="2"/>
  <c r="AM127" i="2" a="1"/>
  <c r="AM127" i="2"/>
  <c r="AM128" i="2" a="1"/>
  <c r="AM128" i="2"/>
  <c r="AM129" i="2" a="1"/>
  <c r="AM129" i="2"/>
  <c r="AM130" i="2" a="1"/>
  <c r="AM130" i="2"/>
  <c r="AM131" i="2" a="1"/>
  <c r="AM131" i="2"/>
  <c r="AM132" i="2" a="1"/>
  <c r="AM132" i="2"/>
  <c r="AM133" i="2" a="1"/>
  <c r="AM133" i="2"/>
  <c r="AM134" i="2" a="1"/>
  <c r="AM134" i="2"/>
  <c r="AM135" i="2" a="1"/>
  <c r="AM135" i="2"/>
  <c r="AM136" i="2" a="1"/>
  <c r="AM136" i="2"/>
  <c r="AM137" i="2" a="1"/>
  <c r="AM137" i="2"/>
  <c r="AM138" i="2" a="1"/>
  <c r="AM138" i="2"/>
  <c r="AM139" i="2" a="1"/>
  <c r="AM139" i="2"/>
  <c r="AM140" i="2" a="1"/>
  <c r="AM140" i="2"/>
  <c r="AM141" i="2" a="1"/>
  <c r="AM141" i="2"/>
  <c r="AM142" i="2" a="1"/>
  <c r="AM142" i="2"/>
  <c r="AM143" i="2" a="1"/>
  <c r="AM143" i="2"/>
  <c r="AM144" i="2" a="1"/>
  <c r="AM144" i="2"/>
  <c r="AM145" i="2" a="1"/>
  <c r="AM145" i="2"/>
  <c r="AM146" i="2" a="1"/>
  <c r="AM146" i="2"/>
  <c r="AM147" i="2" a="1"/>
  <c r="AM147" i="2"/>
  <c r="AM148" i="2" a="1"/>
  <c r="AM148" i="2"/>
  <c r="AM149" i="2" a="1"/>
  <c r="AM149" i="2"/>
  <c r="AM150" i="2" a="1"/>
  <c r="AM150" i="2"/>
  <c r="AM151" i="2" a="1"/>
  <c r="AM151" i="2"/>
  <c r="AM152" i="2" a="1"/>
  <c r="AM152" i="2"/>
  <c r="AM153" i="2" a="1"/>
  <c r="AM153" i="2"/>
  <c r="AM154" i="2" a="1"/>
  <c r="AM154" i="2"/>
  <c r="AM155" i="2" a="1"/>
  <c r="AM155" i="2"/>
  <c r="AM156" i="2" a="1"/>
  <c r="AM156" i="2"/>
  <c r="AM157" i="2" a="1"/>
  <c r="AM157" i="2"/>
  <c r="AM158" i="2" a="1"/>
  <c r="AM158" i="2"/>
  <c r="AM159" i="2" a="1"/>
  <c r="AM159" i="2"/>
  <c r="AM160" i="2" a="1"/>
  <c r="AM160" i="2"/>
  <c r="AM161" i="2" a="1"/>
  <c r="AM161" i="2"/>
  <c r="AM162" i="2" a="1"/>
  <c r="AM162" i="2"/>
  <c r="AM163" i="2" a="1"/>
  <c r="AM163" i="2"/>
  <c r="AM164" i="2" a="1"/>
  <c r="AM164" i="2"/>
  <c r="AM165" i="2" a="1"/>
  <c r="AM165" i="2"/>
  <c r="AM166" i="2" a="1"/>
  <c r="AM166" i="2"/>
  <c r="AM167" i="2" a="1"/>
  <c r="AM167" i="2"/>
  <c r="AM168" i="2" a="1"/>
  <c r="AM168" i="2"/>
  <c r="AM169" i="2" a="1"/>
  <c r="AM169" i="2"/>
  <c r="AM170" i="2" a="1"/>
  <c r="AM170" i="2"/>
  <c r="AM171" i="2" a="1"/>
  <c r="AM171" i="2"/>
  <c r="AM172" i="2" a="1"/>
  <c r="AM172" i="2"/>
  <c r="AM173" i="2" a="1"/>
  <c r="AM173" i="2"/>
  <c r="AM174" i="2" a="1"/>
  <c r="AM174" i="2"/>
  <c r="AM175" i="2" a="1"/>
  <c r="AM175" i="2"/>
  <c r="AM176" i="2" a="1"/>
  <c r="AM176" i="2"/>
  <c r="AM177" i="2" a="1"/>
  <c r="AM177" i="2"/>
  <c r="AM178" i="2" a="1"/>
  <c r="AM178" i="2"/>
  <c r="AM179" i="2" a="1"/>
  <c r="AM179" i="2"/>
  <c r="AM180" i="2" a="1"/>
  <c r="AM180" i="2"/>
  <c r="AM181" i="2" a="1"/>
  <c r="AM181" i="2"/>
  <c r="AM182" i="2" a="1"/>
  <c r="AM182" i="2"/>
  <c r="AM183" i="2" a="1"/>
  <c r="AM183" i="2"/>
  <c r="AM184" i="2" a="1"/>
  <c r="AM184" i="2"/>
  <c r="AM185" i="2" a="1"/>
  <c r="AM185" i="2"/>
  <c r="AM186" i="2" a="1"/>
  <c r="AM186" i="2"/>
  <c r="AM187" i="2" a="1"/>
  <c r="AM187" i="2"/>
  <c r="AM188" i="2" a="1"/>
  <c r="AM188" i="2"/>
  <c r="AM189" i="2" a="1"/>
  <c r="AM189" i="2"/>
  <c r="AM190" i="2" a="1"/>
  <c r="AM190" i="2"/>
  <c r="AM191" i="2" a="1"/>
  <c r="AM191" i="2"/>
  <c r="AM192" i="2" a="1"/>
  <c r="AM192" i="2"/>
  <c r="AM193" i="2" a="1"/>
  <c r="AM193" i="2"/>
  <c r="AM194" i="2" a="1"/>
  <c r="AM194" i="2"/>
  <c r="AM195" i="2" a="1"/>
  <c r="AM195" i="2"/>
  <c r="AM196" i="2" a="1"/>
  <c r="AM196" i="2"/>
  <c r="AM197" i="2" a="1"/>
  <c r="AM197" i="2"/>
  <c r="AM198" i="2" a="1"/>
  <c r="AM198" i="2"/>
  <c r="AM199" i="2" a="1"/>
  <c r="AM199" i="2"/>
  <c r="AM200" i="2" a="1"/>
  <c r="AM200" i="2"/>
  <c r="AM201" i="2" a="1"/>
  <c r="AM201" i="2"/>
  <c r="AM202" i="2" a="1"/>
  <c r="AM202" i="2"/>
  <c r="AM203" i="2" a="1"/>
  <c r="AM203" i="2"/>
  <c r="AM204" i="2" a="1"/>
  <c r="AM204" i="2"/>
  <c r="AM205" i="2" a="1"/>
  <c r="AM205" i="2"/>
  <c r="AM206" i="2" a="1"/>
  <c r="AM206" i="2"/>
  <c r="AM207" i="2" a="1"/>
  <c r="AM207" i="2"/>
  <c r="AM208" i="2" a="1"/>
  <c r="AM208" i="2"/>
  <c r="AM209" i="2" a="1"/>
  <c r="AM209" i="2"/>
  <c r="AM210" i="2" a="1"/>
  <c r="AM210" i="2"/>
  <c r="AM211" i="2" a="1"/>
  <c r="AM211" i="2"/>
  <c r="AM212" i="2" a="1"/>
  <c r="AM212" i="2"/>
  <c r="AM213" i="2" a="1"/>
  <c r="AM213" i="2"/>
  <c r="AM214" i="2" a="1"/>
  <c r="AM214" i="2"/>
  <c r="AM215" i="2" a="1"/>
  <c r="AM215" i="2"/>
  <c r="AM216" i="2" a="1"/>
  <c r="AM216" i="2"/>
  <c r="AM217" i="2" a="1"/>
  <c r="AM217" i="2"/>
  <c r="AM218" i="2" a="1"/>
  <c r="AM218" i="2"/>
  <c r="AM219" i="2" a="1"/>
  <c r="AM219" i="2"/>
  <c r="AM220" i="2" a="1"/>
  <c r="AM220" i="2"/>
  <c r="AM221" i="2" a="1"/>
  <c r="AM221" i="2"/>
  <c r="AM222" i="2" a="1"/>
  <c r="AM222" i="2"/>
  <c r="AM223" i="2" a="1"/>
  <c r="AM223" i="2"/>
  <c r="AM224" i="2" a="1"/>
  <c r="AM224" i="2"/>
  <c r="AM225" i="2" a="1"/>
  <c r="AM225" i="2"/>
  <c r="AM6" i="2" a="1"/>
  <c r="AM6" i="2"/>
  <c r="AM5" i="2" a="1"/>
  <c r="AM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5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" i="2"/>
  <c r="X5" i="2"/>
  <c r="W5" i="2"/>
  <c r="V5" i="2"/>
  <c r="U5" i="2"/>
  <c r="T5" i="2"/>
  <c r="S5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" i="2"/>
  <c r="R5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" i="2"/>
  <c r="Q5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" i="2"/>
  <c r="P5" i="2"/>
  <c r="I6" i="2" a="1"/>
  <c r="I6" i="2" s="1"/>
  <c r="I7" i="2" a="1"/>
  <c r="I7" i="2"/>
  <c r="I8" i="2" a="1"/>
  <c r="I8" i="2"/>
  <c r="I9" i="2" a="1"/>
  <c r="I9" i="2"/>
  <c r="I10" i="2" a="1"/>
  <c r="I10" i="2"/>
  <c r="I11" i="2" a="1"/>
  <c r="I11" i="2"/>
  <c r="I12" i="2" a="1"/>
  <c r="I12" i="2" s="1"/>
  <c r="I13" i="2" a="1"/>
  <c r="I13" i="2"/>
  <c r="I14" i="2" a="1"/>
  <c r="I14" i="2"/>
  <c r="I15" i="2" a="1"/>
  <c r="I15" i="2"/>
  <c r="I16" i="2" a="1"/>
  <c r="I16" i="2"/>
  <c r="I17" i="2" a="1"/>
  <c r="I17" i="2"/>
  <c r="I18" i="2" a="1"/>
  <c r="I18" i="2" s="1"/>
  <c r="I19" i="2" a="1"/>
  <c r="I19" i="2" s="1"/>
  <c r="I20" i="2" a="1"/>
  <c r="I20" i="2"/>
  <c r="I21" i="2" a="1"/>
  <c r="I21" i="2"/>
  <c r="I22" i="2" a="1"/>
  <c r="I22" i="2"/>
  <c r="I23" i="2" a="1"/>
  <c r="I23" i="2"/>
  <c r="I24" i="2" a="1"/>
  <c r="I24" i="2" s="1"/>
  <c r="I25" i="2" a="1"/>
  <c r="I25" i="2"/>
  <c r="I26" i="2" a="1"/>
  <c r="I26" i="2"/>
  <c r="I27" i="2" a="1"/>
  <c r="I27" i="2"/>
  <c r="I28" i="2" a="1"/>
  <c r="I28" i="2"/>
  <c r="I29" i="2" a="1"/>
  <c r="I29" i="2"/>
  <c r="I30" i="2" a="1"/>
  <c r="I30" i="2" s="1"/>
  <c r="I31" i="2" a="1"/>
  <c r="I31" i="2"/>
  <c r="I32" i="2" a="1"/>
  <c r="I32" i="2" s="1"/>
  <c r="I33" i="2" a="1"/>
  <c r="I33" i="2"/>
  <c r="I34" i="2" a="1"/>
  <c r="I34" i="2"/>
  <c r="I35" i="2" a="1"/>
  <c r="I35" i="2"/>
  <c r="I36" i="2" a="1"/>
  <c r="I36" i="2" s="1"/>
  <c r="I37" i="2" a="1"/>
  <c r="I37" i="2"/>
  <c r="I38" i="2" a="1"/>
  <c r="I38" i="2"/>
  <c r="I39" i="2" a="1"/>
  <c r="I39" i="2"/>
  <c r="I40" i="2" a="1"/>
  <c r="I40" i="2"/>
  <c r="I41" i="2" a="1"/>
  <c r="I41" i="2"/>
  <c r="I42" i="2" a="1"/>
  <c r="I42" i="2" s="1"/>
  <c r="I43" i="2" a="1"/>
  <c r="I43" i="2"/>
  <c r="I44" i="2" a="1"/>
  <c r="I44" i="2"/>
  <c r="I45" i="2" a="1"/>
  <c r="I45" i="2" s="1"/>
  <c r="I46" i="2" a="1"/>
  <c r="I46" i="2"/>
  <c r="I47" i="2" a="1"/>
  <c r="I47" i="2"/>
  <c r="I48" i="2" a="1"/>
  <c r="I48" i="2" s="1"/>
  <c r="I49" i="2" a="1"/>
  <c r="I49" i="2"/>
  <c r="I50" i="2" a="1"/>
  <c r="I50" i="2"/>
  <c r="I51" i="2" a="1"/>
  <c r="I51" i="2"/>
  <c r="I52" i="2" a="1"/>
  <c r="I52" i="2"/>
  <c r="I53" i="2" a="1"/>
  <c r="I53" i="2"/>
  <c r="I54" i="2" a="1"/>
  <c r="I54" i="2" s="1"/>
  <c r="I55" i="2" a="1"/>
  <c r="I55" i="2"/>
  <c r="I56" i="2" a="1"/>
  <c r="I56" i="2"/>
  <c r="I57" i="2" a="1"/>
  <c r="I57" i="2"/>
  <c r="I58" i="2" a="1"/>
  <c r="I58" i="2" s="1"/>
  <c r="I59" i="2" a="1"/>
  <c r="I59" i="2"/>
  <c r="I60" i="2" a="1"/>
  <c r="I60" i="2" s="1"/>
  <c r="I61" i="2" a="1"/>
  <c r="I61" i="2"/>
  <c r="I62" i="2" a="1"/>
  <c r="I62" i="2"/>
  <c r="I63" i="2" a="1"/>
  <c r="I63" i="2"/>
  <c r="I64" i="2" a="1"/>
  <c r="I64" i="2"/>
  <c r="I65" i="2" a="1"/>
  <c r="I65" i="2"/>
  <c r="I66" i="2" a="1"/>
  <c r="I66" i="2" s="1"/>
  <c r="I67" i="2" a="1"/>
  <c r="I67" i="2"/>
  <c r="I68" i="2" a="1"/>
  <c r="I68" i="2"/>
  <c r="I69" i="2" a="1"/>
  <c r="I69" i="2"/>
  <c r="I70" i="2" a="1"/>
  <c r="I70" i="2"/>
  <c r="I71" i="2" a="1"/>
  <c r="I71" i="2" s="1"/>
  <c r="I72" i="2" a="1"/>
  <c r="I72" i="2" s="1"/>
  <c r="I73" i="2" a="1"/>
  <c r="I73" i="2"/>
  <c r="I74" i="2" a="1"/>
  <c r="I74" i="2"/>
  <c r="I75" i="2" a="1"/>
  <c r="I75" i="2"/>
  <c r="I76" i="2" a="1"/>
  <c r="I76" i="2"/>
  <c r="I77" i="2" a="1"/>
  <c r="I77" i="2"/>
  <c r="I78" i="2" a="1"/>
  <c r="I78" i="2" s="1"/>
  <c r="I79" i="2" a="1"/>
  <c r="I79" i="2"/>
  <c r="I80" i="2" a="1"/>
  <c r="I80" i="2"/>
  <c r="I81" i="2" a="1"/>
  <c r="I81" i="2"/>
  <c r="I82" i="2" a="1"/>
  <c r="I82" i="2"/>
  <c r="I83" i="2" a="1"/>
  <c r="I83" i="2"/>
  <c r="I84" i="2" a="1"/>
  <c r="I84" i="2" s="1"/>
  <c r="I85" i="2" a="1"/>
  <c r="I85" i="2"/>
  <c r="I86" i="2" a="1"/>
  <c r="I86" i="2"/>
  <c r="I87" i="2" a="1"/>
  <c r="I87" i="2"/>
  <c r="I88" i="2" a="1"/>
  <c r="I88" i="2"/>
  <c r="I89" i="2" a="1"/>
  <c r="I89" i="2"/>
  <c r="I90" i="2" a="1"/>
  <c r="I90" i="2" s="1"/>
  <c r="I91" i="2" a="1"/>
  <c r="I91" i="2" s="1"/>
  <c r="I92" i="2" a="1"/>
  <c r="I92" i="2"/>
  <c r="I93" i="2" a="1"/>
  <c r="I93" i="2"/>
  <c r="I94" i="2" a="1"/>
  <c r="I94" i="2"/>
  <c r="I95" i="2" a="1"/>
  <c r="I95" i="2"/>
  <c r="I96" i="2" a="1"/>
  <c r="I96" i="2" s="1"/>
  <c r="I97" i="2" a="1"/>
  <c r="I97" i="2"/>
  <c r="I98" i="2" a="1"/>
  <c r="I98" i="2"/>
  <c r="I99" i="2" a="1"/>
  <c r="I99" i="2"/>
  <c r="I100" i="2" a="1"/>
  <c r="I100" i="2"/>
  <c r="I101" i="2" a="1"/>
  <c r="I101" i="2"/>
  <c r="I102" i="2" a="1"/>
  <c r="I102" i="2" s="1"/>
  <c r="I103" i="2" a="1"/>
  <c r="I103" i="2"/>
  <c r="I104" i="2" a="1"/>
  <c r="I104" i="2" s="1"/>
  <c r="I105" i="2" a="1"/>
  <c r="I105" i="2"/>
  <c r="I106" i="2" a="1"/>
  <c r="I106" i="2"/>
  <c r="I107" i="2" a="1"/>
  <c r="I107" i="2"/>
  <c r="I108" i="2" a="1"/>
  <c r="I108" i="2" s="1"/>
  <c r="I109" i="2" a="1"/>
  <c r="I109" i="2"/>
  <c r="I110" i="2" a="1"/>
  <c r="I110" i="2"/>
  <c r="I111" i="2" a="1"/>
  <c r="I111" i="2"/>
  <c r="I112" i="2" a="1"/>
  <c r="I112" i="2"/>
  <c r="I113" i="2" a="1"/>
  <c r="I113" i="2"/>
  <c r="I114" i="2" a="1"/>
  <c r="I114" i="2" s="1"/>
  <c r="I115" i="2" a="1"/>
  <c r="I115" i="2"/>
  <c r="I116" i="2" a="1"/>
  <c r="I116" i="2"/>
  <c r="I117" i="2" a="1"/>
  <c r="I117" i="2" s="1"/>
  <c r="I118" i="2" a="1"/>
  <c r="I118" i="2"/>
  <c r="I119" i="2" a="1"/>
  <c r="I119" i="2"/>
  <c r="I120" i="2" a="1"/>
  <c r="I120" i="2" s="1"/>
  <c r="I121" i="2" a="1"/>
  <c r="I121" i="2"/>
  <c r="I122" i="2" a="1"/>
  <c r="I122" i="2"/>
  <c r="I123" i="2" a="1"/>
  <c r="I123" i="2"/>
  <c r="I124" i="2" a="1"/>
  <c r="I124" i="2" s="1"/>
  <c r="I125" i="2" a="1"/>
  <c r="I125" i="2"/>
  <c r="I126" i="2" a="1"/>
  <c r="I126" i="2" s="1"/>
  <c r="I127" i="2" a="1"/>
  <c r="I127" i="2"/>
  <c r="I128" i="2" a="1"/>
  <c r="I128" i="2"/>
  <c r="I129" i="2" a="1"/>
  <c r="I129" i="2"/>
  <c r="I130" i="2" a="1"/>
  <c r="I130" i="2" s="1"/>
  <c r="I131" i="2" a="1"/>
  <c r="I131" i="2"/>
  <c r="I132" i="2" a="1"/>
  <c r="I132" i="2" s="1"/>
  <c r="I133" i="2" a="1"/>
  <c r="I133" i="2"/>
  <c r="I134" i="2" a="1"/>
  <c r="I134" i="2"/>
  <c r="I135" i="2" a="1"/>
  <c r="I135" i="2"/>
  <c r="I136" i="2" a="1"/>
  <c r="I136" i="2"/>
  <c r="I137" i="2" a="1"/>
  <c r="I137" i="2" s="1"/>
  <c r="I138" i="2" a="1"/>
  <c r="I138" i="2" s="1"/>
  <c r="I139" i="2" a="1"/>
  <c r="I139" i="2"/>
  <c r="I140" i="2" a="1"/>
  <c r="I140" i="2"/>
  <c r="I141" i="2" a="1"/>
  <c r="I141" i="2"/>
  <c r="I142" i="2" a="1"/>
  <c r="I142" i="2"/>
  <c r="I143" i="2" a="1"/>
  <c r="I143" i="2" s="1"/>
  <c r="I144" i="2" a="1"/>
  <c r="I144" i="2" s="1"/>
  <c r="I145" i="2" a="1"/>
  <c r="I145" i="2"/>
  <c r="I146" i="2" a="1"/>
  <c r="I146" i="2"/>
  <c r="I147" i="2" a="1"/>
  <c r="I147" i="2"/>
  <c r="I148" i="2" a="1"/>
  <c r="I148" i="2"/>
  <c r="I149" i="2" a="1"/>
  <c r="I149" i="2"/>
  <c r="I150" i="2" a="1"/>
  <c r="I150" i="2" s="1"/>
  <c r="I151" i="2" a="1"/>
  <c r="I151" i="2"/>
  <c r="I152" i="2" a="1"/>
  <c r="I152" i="2"/>
  <c r="I153" i="2" a="1"/>
  <c r="I153" i="2"/>
  <c r="I154" i="2" a="1"/>
  <c r="I154" i="2"/>
  <c r="I155" i="2" a="1"/>
  <c r="I155" i="2"/>
  <c r="I156" i="2" a="1"/>
  <c r="I156" i="2" s="1"/>
  <c r="I157" i="2" a="1"/>
  <c r="I157" i="2" s="1"/>
  <c r="I158" i="2" a="1"/>
  <c r="I158" i="2"/>
  <c r="I159" i="2" a="1"/>
  <c r="I159" i="2"/>
  <c r="I160" i="2" a="1"/>
  <c r="I160" i="2"/>
  <c r="I161" i="2" a="1"/>
  <c r="I161" i="2"/>
  <c r="I162" i="2" a="1"/>
  <c r="I162" i="2" s="1"/>
  <c r="I163" i="2" a="1"/>
  <c r="I163" i="2" s="1"/>
  <c r="I164" i="2" a="1"/>
  <c r="I164" i="2"/>
  <c r="I165" i="2" a="1"/>
  <c r="I165" i="2"/>
  <c r="I166" i="2" a="1"/>
  <c r="I166" i="2"/>
  <c r="I167" i="2" a="1"/>
  <c r="I167" i="2"/>
  <c r="I168" i="2" a="1"/>
  <c r="I168" i="2" s="1"/>
  <c r="I169" i="2" a="1"/>
  <c r="I169" i="2"/>
  <c r="I170" i="2" a="1"/>
  <c r="I170" i="2" s="1"/>
  <c r="I171" i="2" a="1"/>
  <c r="I171" i="2"/>
  <c r="I172" i="2" a="1"/>
  <c r="I172" i="2"/>
  <c r="I173" i="2" a="1"/>
  <c r="I173" i="2"/>
  <c r="I174" i="2" a="1"/>
  <c r="I174" i="2" s="1"/>
  <c r="I175" i="2" a="1"/>
  <c r="I175" i="2"/>
  <c r="I176" i="2" a="1"/>
  <c r="I176" i="2" s="1"/>
  <c r="I177" i="2" a="1"/>
  <c r="I177" i="2"/>
  <c r="I178" i="2" a="1"/>
  <c r="I178" i="2"/>
  <c r="I179" i="2" a="1"/>
  <c r="I179" i="2"/>
  <c r="I180" i="2" a="1"/>
  <c r="I180" i="2" s="1"/>
  <c r="I181" i="2" a="1"/>
  <c r="I181" i="2"/>
  <c r="I182" i="2" a="1"/>
  <c r="I182" i="2"/>
  <c r="I183" i="2" a="1"/>
  <c r="I183" i="2" s="1"/>
  <c r="I184" i="2" a="1"/>
  <c r="I184" i="2"/>
  <c r="I185" i="2" a="1"/>
  <c r="I185" i="2"/>
  <c r="I186" i="2" a="1"/>
  <c r="I186" i="2" s="1"/>
  <c r="I187" i="2" a="1"/>
  <c r="I187" i="2"/>
  <c r="I188" i="2" a="1"/>
  <c r="I188" i="2"/>
  <c r="I189" i="2" a="1"/>
  <c r="I189" i="2" s="1"/>
  <c r="I190" i="2" a="1"/>
  <c r="I190" i="2"/>
  <c r="I191" i="2" a="1"/>
  <c r="I191" i="2"/>
  <c r="I192" i="2" a="1"/>
  <c r="I192" i="2" s="1"/>
  <c r="I193" i="2" a="1"/>
  <c r="I193" i="2"/>
  <c r="I194" i="2" a="1"/>
  <c r="I194" i="2"/>
  <c r="I195" i="2" a="1"/>
  <c r="I195" i="2"/>
  <c r="I196" i="2" a="1"/>
  <c r="I196" i="2" s="1"/>
  <c r="I197" i="2" a="1"/>
  <c r="I197" i="2"/>
  <c r="I198" i="2" a="1"/>
  <c r="I198" i="2" s="1"/>
  <c r="I199" i="2" a="1"/>
  <c r="I199" i="2"/>
  <c r="I200" i="2" a="1"/>
  <c r="I200" i="2"/>
  <c r="I201" i="2" a="1"/>
  <c r="I201" i="2"/>
  <c r="I202" i="2" a="1"/>
  <c r="I202" i="2" s="1"/>
  <c r="I203" i="2" a="1"/>
  <c r="I203" i="2"/>
  <c r="I204" i="2" a="1"/>
  <c r="I204" i="2" s="1"/>
  <c r="I205" i="2" a="1"/>
  <c r="I205" i="2"/>
  <c r="I206" i="2" a="1"/>
  <c r="I206" i="2"/>
  <c r="I207" i="2" a="1"/>
  <c r="I207" i="2"/>
  <c r="I208" i="2" a="1"/>
  <c r="I208" i="2"/>
  <c r="I209" i="2" a="1"/>
  <c r="I209" i="2" s="1"/>
  <c r="I210" i="2" a="1"/>
  <c r="I210" i="2" s="1"/>
  <c r="I211" i="2" a="1"/>
  <c r="I211" i="2"/>
  <c r="I212" i="2" a="1"/>
  <c r="I212" i="2"/>
  <c r="I213" i="2" a="1"/>
  <c r="I213" i="2"/>
  <c r="I214" i="2" a="1"/>
  <c r="I214" i="2"/>
  <c r="I215" i="2" a="1"/>
  <c r="I215" i="2" s="1"/>
  <c r="I216" i="2" a="1"/>
  <c r="I216" i="2" s="1"/>
  <c r="I217" i="2" a="1"/>
  <c r="I217" i="2"/>
  <c r="I218" i="2" a="1"/>
  <c r="I218" i="2"/>
  <c r="I219" i="2" a="1"/>
  <c r="I219" i="2"/>
  <c r="I220" i="2" a="1"/>
  <c r="I220" i="2"/>
  <c r="I221" i="2" a="1"/>
  <c r="I221" i="2"/>
  <c r="I222" i="2" a="1"/>
  <c r="I222" i="2" s="1"/>
  <c r="I223" i="2" a="1"/>
  <c r="I223" i="2"/>
  <c r="I224" i="2" a="1"/>
  <c r="I224" i="2"/>
  <c r="I225" i="2" a="1"/>
  <c r="I225" i="2"/>
  <c r="I226" i="2" a="1"/>
  <c r="I226" i="2"/>
  <c r="I227" i="2" a="1"/>
  <c r="I227" i="2"/>
  <c r="I228" i="2" a="1"/>
  <c r="I228" i="2" s="1"/>
  <c r="I229" i="2" a="1"/>
  <c r="I229" i="2" s="1"/>
  <c r="I230" i="2" a="1"/>
  <c r="I230" i="2"/>
  <c r="I231" i="2" a="1"/>
  <c r="I231" i="2"/>
  <c r="I232" i="2" a="1"/>
  <c r="I232" i="2"/>
  <c r="I233" i="2" a="1"/>
  <c r="I233" i="2"/>
  <c r="I234" i="2" a="1"/>
  <c r="I234" i="2" s="1"/>
  <c r="I235" i="2" a="1"/>
  <c r="I235" i="2" s="1"/>
  <c r="I236" i="2" a="1"/>
  <c r="I236" i="2"/>
  <c r="I237" i="2" a="1"/>
  <c r="I237" i="2"/>
  <c r="I238" i="2" a="1"/>
  <c r="I238" i="2"/>
  <c r="I239" i="2" a="1"/>
  <c r="I239" i="2"/>
  <c r="I240" i="2" a="1"/>
  <c r="I240" i="2" s="1"/>
  <c r="I241" i="2" a="1"/>
  <c r="I241" i="2"/>
  <c r="I242" i="2" a="1"/>
  <c r="I242" i="2" s="1"/>
  <c r="I243" i="2" a="1"/>
  <c r="I243" i="2"/>
  <c r="I244" i="2" a="1"/>
  <c r="I244" i="2"/>
  <c r="I245" i="2" a="1"/>
  <c r="I245" i="2"/>
  <c r="I246" i="2" a="1"/>
  <c r="I246" i="2" s="1"/>
  <c r="I247" i="2" a="1"/>
  <c r="I247" i="2"/>
  <c r="I248" i="2" a="1"/>
  <c r="I248" i="2" s="1"/>
  <c r="I249" i="2" a="1"/>
  <c r="I249" i="2"/>
  <c r="I250" i="2" a="1"/>
  <c r="I250" i="2"/>
  <c r="I251" i="2" a="1"/>
  <c r="I251" i="2"/>
  <c r="I252" i="2" a="1"/>
  <c r="I252" i="2" s="1"/>
  <c r="I253" i="2" a="1"/>
  <c r="I253" i="2"/>
  <c r="I254" i="2" a="1"/>
  <c r="I254" i="2"/>
  <c r="I255" i="2" a="1"/>
  <c r="I255" i="2" s="1"/>
  <c r="I256" i="2" a="1"/>
  <c r="I256" i="2"/>
  <c r="I257" i="2" a="1"/>
  <c r="I257" i="2"/>
  <c r="I258" i="2" a="1"/>
  <c r="I258" i="2" s="1"/>
  <c r="I259" i="2" a="1"/>
  <c r="I259" i="2"/>
  <c r="I260" i="2" a="1"/>
  <c r="I260" i="2"/>
  <c r="I261" i="2" a="1"/>
  <c r="I261" i="2" s="1"/>
  <c r="I262" i="2" a="1"/>
  <c r="I262" i="2"/>
  <c r="I263" i="2" a="1"/>
  <c r="I263" i="2"/>
  <c r="I264" i="2" a="1"/>
  <c r="I264" i="2" s="1"/>
  <c r="I265" i="2" a="1"/>
  <c r="I265" i="2"/>
  <c r="I266" i="2" a="1"/>
  <c r="I266" i="2"/>
  <c r="I267" i="2" a="1"/>
  <c r="I267" i="2"/>
  <c r="I268" i="2" a="1"/>
  <c r="I268" i="2" s="1"/>
  <c r="I269" i="2" a="1"/>
  <c r="I269" i="2"/>
  <c r="I270" i="2" a="1"/>
  <c r="I270" i="2" s="1"/>
  <c r="I271" i="2" a="1"/>
  <c r="I271" i="2"/>
  <c r="I272" i="2" a="1"/>
  <c r="I272" i="2"/>
  <c r="I273" i="2" a="1"/>
  <c r="I273" i="2"/>
  <c r="I274" i="2" a="1"/>
  <c r="I274" i="2" s="1"/>
  <c r="I275" i="2" a="1"/>
  <c r="I275" i="2"/>
  <c r="I276" i="2" a="1"/>
  <c r="I276" i="2" s="1"/>
  <c r="I277" i="2" a="1"/>
  <c r="I277" i="2"/>
  <c r="I278" i="2" a="1"/>
  <c r="I278" i="2"/>
  <c r="I279" i="2" a="1"/>
  <c r="I279" i="2"/>
  <c r="I280" i="2" a="1"/>
  <c r="I280" i="2"/>
  <c r="I281" i="2" a="1"/>
  <c r="I281" i="2" s="1"/>
  <c r="I282" i="2" a="1"/>
  <c r="I282" i="2" s="1"/>
  <c r="I283" i="2" a="1"/>
  <c r="I283" i="2"/>
  <c r="I284" i="2" a="1"/>
  <c r="I284" i="2"/>
  <c r="I285" i="2" a="1"/>
  <c r="I285" i="2"/>
  <c r="I286" i="2" a="1"/>
  <c r="I286" i="2"/>
  <c r="I287" i="2" a="1"/>
  <c r="I287" i="2" s="1"/>
  <c r="I288" i="2" a="1"/>
  <c r="I288" i="2" s="1"/>
  <c r="I289" i="2" a="1"/>
  <c r="I289" i="2"/>
  <c r="I290" i="2" a="1"/>
  <c r="I290" i="2"/>
  <c r="I291" i="2" a="1"/>
  <c r="I291" i="2"/>
  <c r="I292" i="2" a="1"/>
  <c r="I292" i="2"/>
  <c r="I293" i="2" a="1"/>
  <c r="I293" i="2"/>
  <c r="I294" i="2" a="1"/>
  <c r="I294" i="2" s="1"/>
  <c r="I295" i="2" a="1"/>
  <c r="I295" i="2"/>
  <c r="I296" i="2" a="1"/>
  <c r="I296" i="2"/>
  <c r="I297" i="2" a="1"/>
  <c r="I297" i="2"/>
  <c r="I298" i="2" a="1"/>
  <c r="I298" i="2"/>
  <c r="I299" i="2" a="1"/>
  <c r="I299" i="2"/>
  <c r="I300" i="2" a="1"/>
  <c r="I300" i="2" s="1"/>
  <c r="I301" i="2" a="1"/>
  <c r="I301" i="2" s="1"/>
  <c r="I302" i="2" a="1"/>
  <c r="I302" i="2"/>
  <c r="I303" i="2" a="1"/>
  <c r="I303" i="2"/>
  <c r="I304" i="2" a="1"/>
  <c r="I304" i="2"/>
  <c r="I305" i="2" a="1"/>
  <c r="I305" i="2"/>
  <c r="I306" i="2" a="1"/>
  <c r="I306" i="2" s="1"/>
  <c r="I307" i="2" a="1"/>
  <c r="I307" i="2" s="1"/>
  <c r="I308" i="2" a="1"/>
  <c r="I308" i="2"/>
  <c r="I309" i="2" a="1"/>
  <c r="I309" i="2"/>
  <c r="I310" i="2" a="1"/>
  <c r="I310" i="2"/>
  <c r="I311" i="2" a="1"/>
  <c r="I311" i="2"/>
  <c r="I312" i="2" a="1"/>
  <c r="I312" i="2" s="1"/>
  <c r="I313" i="2" a="1"/>
  <c r="I313" i="2"/>
  <c r="I314" i="2" a="1"/>
  <c r="I314" i="2" s="1"/>
  <c r="I315" i="2" a="1"/>
  <c r="I315" i="2"/>
  <c r="I316" i="2" a="1"/>
  <c r="I316" i="2"/>
  <c r="I317" i="2" a="1"/>
  <c r="I317" i="2"/>
  <c r="I318" i="2" a="1"/>
  <c r="I318" i="2" s="1"/>
  <c r="I319" i="2" a="1"/>
  <c r="I319" i="2"/>
  <c r="I320" i="2" a="1"/>
  <c r="I320" i="2" s="1"/>
  <c r="I321" i="2" a="1"/>
  <c r="I321" i="2"/>
  <c r="I322" i="2" a="1"/>
  <c r="I322" i="2"/>
  <c r="I323" i="2" a="1"/>
  <c r="I323" i="2"/>
  <c r="I324" i="2" a="1"/>
  <c r="I324" i="2" s="1"/>
  <c r="I325" i="2" a="1"/>
  <c r="I325" i="2"/>
  <c r="I326" i="2" a="1"/>
  <c r="I326" i="2"/>
  <c r="I327" i="2" a="1"/>
  <c r="I327" i="2" s="1"/>
  <c r="I328" i="2" a="1"/>
  <c r="I328" i="2"/>
  <c r="I329" i="2" a="1"/>
  <c r="I329" i="2"/>
  <c r="I330" i="2" a="1"/>
  <c r="I330" i="2" s="1"/>
  <c r="I331" i="2" a="1"/>
  <c r="I331" i="2"/>
  <c r="I332" i="2" a="1"/>
  <c r="I332" i="2"/>
  <c r="I333" i="2" a="1"/>
  <c r="I333" i="2" s="1"/>
  <c r="I334" i="2" a="1"/>
  <c r="I334" i="2"/>
  <c r="I335" i="2" a="1"/>
  <c r="I335" i="2"/>
  <c r="I336" i="2" a="1"/>
  <c r="I336" i="2" s="1"/>
  <c r="I337" i="2" a="1"/>
  <c r="I337" i="2"/>
  <c r="I338" i="2" a="1"/>
  <c r="I338" i="2"/>
  <c r="I339" i="2" a="1"/>
  <c r="I339" i="2"/>
  <c r="I340" i="2" a="1"/>
  <c r="I340" i="2" s="1"/>
  <c r="I341" i="2" a="1"/>
  <c r="I341" i="2"/>
  <c r="I342" i="2" a="1"/>
  <c r="I342" i="2" s="1"/>
  <c r="I343" i="2" a="1"/>
  <c r="I343" i="2"/>
  <c r="I344" i="2" a="1"/>
  <c r="I344" i="2"/>
  <c r="I345" i="2" a="1"/>
  <c r="I345" i="2"/>
  <c r="I346" i="2" a="1"/>
  <c r="I346" i="2" s="1"/>
  <c r="I347" i="2" a="1"/>
  <c r="I347" i="2"/>
  <c r="I348" i="2" a="1"/>
  <c r="I348" i="2" s="1"/>
  <c r="I349" i="2" a="1"/>
  <c r="I349" i="2"/>
  <c r="I350" i="2" a="1"/>
  <c r="I350" i="2"/>
  <c r="I351" i="2" a="1"/>
  <c r="I351" i="2"/>
  <c r="I352" i="2" a="1"/>
  <c r="I352" i="2"/>
  <c r="I353" i="2" a="1"/>
  <c r="I353" i="2" s="1"/>
  <c r="I354" i="2" a="1"/>
  <c r="I354" i="2" s="1"/>
  <c r="I355" i="2" a="1"/>
  <c r="I355" i="2"/>
  <c r="I356" i="2" a="1"/>
  <c r="I356" i="2"/>
  <c r="I357" i="2" a="1"/>
  <c r="I357" i="2"/>
  <c r="I358" i="2" a="1"/>
  <c r="I358" i="2"/>
  <c r="I359" i="2" a="1"/>
  <c r="I359" i="2" s="1"/>
  <c r="I360" i="2" a="1"/>
  <c r="I360" i="2" s="1"/>
  <c r="I361" i="2" a="1"/>
  <c r="I361" i="2"/>
  <c r="I362" i="2" a="1"/>
  <c r="I362" i="2"/>
  <c r="I363" i="2" a="1"/>
  <c r="I363" i="2"/>
  <c r="I364" i="2" a="1"/>
  <c r="I364" i="2"/>
  <c r="I365" i="2" a="1"/>
  <c r="I365" i="2"/>
  <c r="I366" i="2" a="1"/>
  <c r="I366" i="2" s="1"/>
  <c r="I367" i="2" a="1"/>
  <c r="I367" i="2"/>
  <c r="I368" i="2" a="1"/>
  <c r="I368" i="2"/>
  <c r="I369" i="2" a="1"/>
  <c r="I369" i="2"/>
  <c r="I370" i="2" a="1"/>
  <c r="I370" i="2"/>
  <c r="I371" i="2" a="1"/>
  <c r="I371" i="2"/>
  <c r="I372" i="2" a="1"/>
  <c r="I372" i="2" s="1"/>
  <c r="I373" i="2" a="1"/>
  <c r="I373" i="2" s="1"/>
  <c r="I374" i="2" a="1"/>
  <c r="I374" i="2"/>
  <c r="I375" i="2" a="1"/>
  <c r="I375" i="2"/>
  <c r="I376" i="2" a="1"/>
  <c r="I376" i="2"/>
  <c r="I377" i="2" a="1"/>
  <c r="I377" i="2"/>
  <c r="I378" i="2" a="1"/>
  <c r="I378" i="2" s="1"/>
  <c r="I379" i="2" a="1"/>
  <c r="I379" i="2" s="1"/>
  <c r="I380" i="2" a="1"/>
  <c r="I380" i="2"/>
  <c r="I381" i="2" a="1"/>
  <c r="I381" i="2"/>
  <c r="I382" i="2" a="1"/>
  <c r="I382" i="2"/>
  <c r="I383" i="2" a="1"/>
  <c r="I383" i="2"/>
  <c r="I384" i="2" a="1"/>
  <c r="I384" i="2" s="1"/>
  <c r="I385" i="2" a="1"/>
  <c r="I385" i="2"/>
  <c r="I386" i="2" a="1"/>
  <c r="I386" i="2" s="1"/>
  <c r="I387" i="2" a="1"/>
  <c r="I387" i="2"/>
  <c r="I388" i="2" a="1"/>
  <c r="I388" i="2"/>
  <c r="I389" i="2" a="1"/>
  <c r="I389" i="2"/>
  <c r="I390" i="2" a="1"/>
  <c r="I390" i="2" s="1"/>
  <c r="I391" i="2" a="1"/>
  <c r="I391" i="2"/>
  <c r="I392" i="2" a="1"/>
  <c r="I392" i="2" s="1"/>
  <c r="I393" i="2" a="1"/>
  <c r="I393" i="2"/>
  <c r="I394" i="2" a="1"/>
  <c r="I394" i="2"/>
  <c r="I395" i="2" a="1"/>
  <c r="I395" i="2"/>
  <c r="I396" i="2" a="1"/>
  <c r="I396" i="2" s="1"/>
  <c r="I397" i="2" a="1"/>
  <c r="I397" i="2"/>
  <c r="I398" i="2" a="1"/>
  <c r="I398" i="2"/>
  <c r="I399" i="2" a="1"/>
  <c r="I399" i="2" s="1"/>
  <c r="I400" i="2" a="1"/>
  <c r="I400" i="2"/>
  <c r="I401" i="2" a="1"/>
  <c r="I401" i="2"/>
  <c r="I402" i="2" a="1"/>
  <c r="I402" i="2" s="1"/>
  <c r="I403" i="2" a="1"/>
  <c r="I403" i="2"/>
  <c r="I404" i="2" a="1"/>
  <c r="I404" i="2"/>
  <c r="I405" i="2" a="1"/>
  <c r="I405" i="2" s="1"/>
  <c r="I406" i="2" a="1"/>
  <c r="I406" i="2"/>
  <c r="I407" i="2" a="1"/>
  <c r="I407" i="2"/>
  <c r="I408" i="2" a="1"/>
  <c r="I408" i="2" s="1"/>
  <c r="I409" i="2" a="1"/>
  <c r="I409" i="2"/>
  <c r="I410" i="2" a="1"/>
  <c r="I410" i="2"/>
  <c r="I411" i="2" a="1"/>
  <c r="I411" i="2"/>
  <c r="I412" i="2" a="1"/>
  <c r="I412" i="2" s="1"/>
  <c r="I413" i="2" a="1"/>
  <c r="I413" i="2"/>
  <c r="I414" i="2" a="1"/>
  <c r="I414" i="2" s="1"/>
  <c r="I415" i="2" a="1"/>
  <c r="I415" i="2"/>
  <c r="I416" i="2" a="1"/>
  <c r="I416" i="2"/>
  <c r="I417" i="2" a="1"/>
  <c r="I417" i="2"/>
  <c r="I418" i="2" a="1"/>
  <c r="I418" i="2" s="1"/>
  <c r="I419" i="2" a="1"/>
  <c r="I419" i="2"/>
  <c r="I420" i="2" a="1"/>
  <c r="I420" i="2" s="1"/>
  <c r="I421" i="2" a="1"/>
  <c r="I421" i="2"/>
  <c r="I422" i="2" a="1"/>
  <c r="I422" i="2"/>
  <c r="I423" i="2" a="1"/>
  <c r="I423" i="2"/>
  <c r="I424" i="2" a="1"/>
  <c r="I424" i="2"/>
  <c r="I425" i="2" a="1"/>
  <c r="I425" i="2" s="1"/>
  <c r="I426" i="2" a="1"/>
  <c r="I426" i="2" s="1"/>
  <c r="I427" i="2" a="1"/>
  <c r="I427" i="2"/>
  <c r="I428" i="2" a="1"/>
  <c r="I428" i="2"/>
  <c r="I429" i="2" a="1"/>
  <c r="I429" i="2"/>
  <c r="I430" i="2" a="1"/>
  <c r="I430" i="2"/>
  <c r="I431" i="2" a="1"/>
  <c r="I431" i="2" s="1"/>
  <c r="I432" i="2" a="1"/>
  <c r="I432" i="2" s="1"/>
  <c r="I433" i="2" a="1"/>
  <c r="I433" i="2"/>
  <c r="I434" i="2" a="1"/>
  <c r="I434" i="2"/>
  <c r="I435" i="2" a="1"/>
  <c r="I435" i="2"/>
  <c r="I436" i="2" a="1"/>
  <c r="I436" i="2"/>
  <c r="I437" i="2" a="1"/>
  <c r="I437" i="2"/>
  <c r="I438" i="2" a="1"/>
  <c r="I438" i="2" s="1"/>
  <c r="I439" i="2" a="1"/>
  <c r="I439" i="2"/>
  <c r="I440" i="2" a="1"/>
  <c r="I440" i="2"/>
  <c r="I441" i="2" a="1"/>
  <c r="I441" i="2"/>
  <c r="I442" i="2" a="1"/>
  <c r="I442" i="2"/>
  <c r="I443" i="2" a="1"/>
  <c r="I443" i="2"/>
  <c r="I444" i="2" a="1"/>
  <c r="I444" i="2" s="1"/>
  <c r="I445" i="2" a="1"/>
  <c r="I445" i="2" s="1"/>
  <c r="I446" i="2" a="1"/>
  <c r="I446" i="2"/>
  <c r="I447" i="2" a="1"/>
  <c r="I447" i="2"/>
  <c r="I448" i="2" a="1"/>
  <c r="I448" i="2"/>
  <c r="I449" i="2" a="1"/>
  <c r="I449" i="2"/>
  <c r="I450" i="2" a="1"/>
  <c r="I450" i="2" s="1"/>
  <c r="I451" i="2" a="1"/>
  <c r="I451" i="2" s="1"/>
  <c r="I452" i="2" a="1"/>
  <c r="I452" i="2"/>
  <c r="I453" i="2" a="1"/>
  <c r="I453" i="2"/>
  <c r="I454" i="2" a="1"/>
  <c r="I454" i="2"/>
  <c r="I455" i="2" a="1"/>
  <c r="I455" i="2"/>
  <c r="I456" i="2" a="1"/>
  <c r="I456" i="2" s="1"/>
  <c r="I457" i="2" a="1"/>
  <c r="I457" i="2"/>
  <c r="I458" i="2" a="1"/>
  <c r="I458" i="2" s="1"/>
  <c r="I459" i="2" a="1"/>
  <c r="I459" i="2"/>
  <c r="I460" i="2" a="1"/>
  <c r="I460" i="2"/>
  <c r="I461" i="2" a="1"/>
  <c r="I461" i="2"/>
  <c r="I462" i="2" a="1"/>
  <c r="I462" i="2" s="1"/>
  <c r="I463" i="2" a="1"/>
  <c r="I463" i="2"/>
  <c r="I464" i="2" a="1"/>
  <c r="I464" i="2" s="1"/>
  <c r="I465" i="2" a="1"/>
  <c r="I465" i="2"/>
  <c r="I466" i="2" a="1"/>
  <c r="I466" i="2"/>
  <c r="I467" i="2" a="1"/>
  <c r="I467" i="2"/>
  <c r="I468" i="2" a="1"/>
  <c r="I468" i="2" s="1"/>
  <c r="I469" i="2" a="1"/>
  <c r="I469" i="2"/>
  <c r="I470" i="2" a="1"/>
  <c r="I470" i="2"/>
  <c r="I471" i="2" a="1"/>
  <c r="I471" i="2" s="1"/>
  <c r="I472" i="2" a="1"/>
  <c r="I472" i="2"/>
  <c r="I473" i="2" a="1"/>
  <c r="I473" i="2"/>
  <c r="I474" i="2" a="1"/>
  <c r="I474" i="2" s="1"/>
  <c r="I475" i="2" a="1"/>
  <c r="I475" i="2"/>
  <c r="I476" i="2" a="1"/>
  <c r="I476" i="2"/>
  <c r="I477" i="2" a="1"/>
  <c r="I477" i="2" s="1"/>
  <c r="I478" i="2" a="1"/>
  <c r="I478" i="2"/>
  <c r="I479" i="2" a="1"/>
  <c r="I479" i="2"/>
  <c r="I480" i="2" a="1"/>
  <c r="I480" i="2" s="1"/>
  <c r="I481" i="2" a="1"/>
  <c r="I481" i="2"/>
  <c r="I482" i="2" a="1"/>
  <c r="I482" i="2"/>
  <c r="I483" i="2" a="1"/>
  <c r="I483" i="2"/>
  <c r="I484" i="2" a="1"/>
  <c r="I484" i="2" s="1"/>
  <c r="I485" i="2" a="1"/>
  <c r="I485" i="2"/>
  <c r="I486" i="2" a="1"/>
  <c r="I486" i="2" s="1"/>
  <c r="I487" i="2" a="1"/>
  <c r="I487" i="2"/>
  <c r="I488" i="2" a="1"/>
  <c r="I488" i="2"/>
  <c r="I489" i="2" a="1"/>
  <c r="I489" i="2"/>
  <c r="I490" i="2" a="1"/>
  <c r="I490" i="2" s="1"/>
  <c r="I491" i="2" a="1"/>
  <c r="I491" i="2"/>
  <c r="I492" i="2" a="1"/>
  <c r="I492" i="2" s="1"/>
  <c r="I493" i="2" a="1"/>
  <c r="I493" i="2"/>
  <c r="I494" i="2" a="1"/>
  <c r="I494" i="2"/>
  <c r="I495" i="2" a="1"/>
  <c r="I495" i="2"/>
  <c r="I496" i="2" a="1"/>
  <c r="I496" i="2"/>
  <c r="I497" i="2" a="1"/>
  <c r="I497" i="2" s="1"/>
  <c r="I498" i="2" a="1"/>
  <c r="I498" i="2" s="1"/>
  <c r="I499" i="2" a="1"/>
  <c r="I499" i="2"/>
  <c r="I500" i="2" a="1"/>
  <c r="I500" i="2"/>
  <c r="I501" i="2" a="1"/>
  <c r="I501" i="2"/>
  <c r="I502" i="2" a="1"/>
  <c r="I502" i="2"/>
  <c r="I503" i="2" a="1"/>
  <c r="I503" i="2" s="1"/>
  <c r="I504" i="2" a="1"/>
  <c r="I504" i="2" s="1"/>
  <c r="I505" i="2" a="1"/>
  <c r="I505" i="2"/>
  <c r="I506" i="2" a="1"/>
  <c r="I506" i="2"/>
  <c r="I507" i="2" a="1"/>
  <c r="I507" i="2"/>
  <c r="I508" i="2" a="1"/>
  <c r="I508" i="2"/>
  <c r="I509" i="2" a="1"/>
  <c r="I509" i="2"/>
  <c r="I510" i="2" a="1"/>
  <c r="I510" i="2" s="1"/>
  <c r="I511" i="2" a="1"/>
  <c r="I511" i="2"/>
  <c r="I512" i="2" a="1"/>
  <c r="I512" i="2"/>
  <c r="I513" i="2" a="1"/>
  <c r="I513" i="2"/>
  <c r="I514" i="2" a="1"/>
  <c r="I514" i="2"/>
  <c r="I515" i="2" a="1"/>
  <c r="I515" i="2"/>
  <c r="I516" i="2" a="1"/>
  <c r="I516" i="2" s="1"/>
  <c r="I517" i="2" a="1"/>
  <c r="I517" i="2"/>
  <c r="I518" i="2" a="1"/>
  <c r="I518" i="2"/>
  <c r="I519" i="2" a="1"/>
  <c r="I519" i="2"/>
  <c r="I520" i="2" a="1"/>
  <c r="I520" i="2"/>
  <c r="I521" i="2" a="1"/>
  <c r="I521" i="2"/>
  <c r="I522" i="2" a="1"/>
  <c r="I522" i="2" s="1"/>
  <c r="I523" i="2" a="1"/>
  <c r="I523" i="2"/>
  <c r="I524" i="2" a="1"/>
  <c r="I524" i="2"/>
  <c r="I525" i="2" a="1"/>
  <c r="I525" i="2"/>
  <c r="I526" i="2" a="1"/>
  <c r="I526" i="2"/>
  <c r="I527" i="2" a="1"/>
  <c r="I527" i="2"/>
  <c r="I528" i="2" a="1"/>
  <c r="I528" i="2" s="1"/>
  <c r="I529" i="2" a="1"/>
  <c r="I529" i="2"/>
  <c r="I530" i="2" a="1"/>
  <c r="I530" i="2"/>
  <c r="I531" i="2" a="1"/>
  <c r="I531" i="2"/>
  <c r="I532" i="2" a="1"/>
  <c r="I532" i="2"/>
  <c r="I533" i="2" a="1"/>
  <c r="I533" i="2"/>
  <c r="I534" i="2" a="1"/>
  <c r="I534" i="2" s="1"/>
  <c r="I535" i="2" a="1"/>
  <c r="I535" i="2"/>
  <c r="I536" i="2" a="1"/>
  <c r="I536" i="2"/>
  <c r="I537" i="2" a="1"/>
  <c r="I537" i="2"/>
  <c r="I538" i="2" a="1"/>
  <c r="I538" i="2"/>
  <c r="I539" i="2" a="1"/>
  <c r="I539" i="2"/>
  <c r="I540" i="2" a="1"/>
  <c r="I540" i="2" s="1"/>
  <c r="I541" i="2" a="1"/>
  <c r="I541" i="2"/>
  <c r="I542" i="2" a="1"/>
  <c r="I542" i="2"/>
  <c r="I543" i="2" a="1"/>
  <c r="I543" i="2"/>
  <c r="I544" i="2" a="1"/>
  <c r="I544" i="2"/>
  <c r="I545" i="2" a="1"/>
  <c r="I545" i="2"/>
  <c r="I546" i="2" a="1"/>
  <c r="I546" i="2" s="1"/>
  <c r="I547" i="2" a="1"/>
  <c r="I547" i="2"/>
  <c r="I548" i="2" a="1"/>
  <c r="I548" i="2"/>
  <c r="I549" i="2" a="1"/>
  <c r="I549" i="2"/>
  <c r="I550" i="2" a="1"/>
  <c r="I550" i="2"/>
  <c r="I551" i="2" a="1"/>
  <c r="I551" i="2"/>
  <c r="I552" i="2" a="1"/>
  <c r="I552" i="2" s="1"/>
  <c r="I553" i="2" a="1"/>
  <c r="I553" i="2"/>
  <c r="I554" i="2" a="1"/>
  <c r="I554" i="2"/>
  <c r="I555" i="2" a="1"/>
  <c r="I555" i="2"/>
  <c r="I556" i="2" a="1"/>
  <c r="I556" i="2"/>
  <c r="I557" i="2" a="1"/>
  <c r="I557" i="2"/>
  <c r="I558" i="2" a="1"/>
  <c r="I558" i="2" s="1"/>
  <c r="I559" i="2" a="1"/>
  <c r="I559" i="2"/>
  <c r="I560" i="2" a="1"/>
  <c r="I560" i="2"/>
  <c r="I561" i="2" a="1"/>
  <c r="I561" i="2"/>
  <c r="I562" i="2" a="1"/>
  <c r="I562" i="2"/>
  <c r="I563" i="2" a="1"/>
  <c r="I563" i="2"/>
  <c r="I564" i="2" a="1"/>
  <c r="I564" i="2" s="1"/>
  <c r="I565" i="2" a="1"/>
  <c r="I565" i="2"/>
  <c r="I566" i="2" a="1"/>
  <c r="I566" i="2"/>
  <c r="I567" i="2" a="1"/>
  <c r="I567" i="2"/>
  <c r="I568" i="2" a="1"/>
  <c r="I568" i="2"/>
  <c r="I569" i="2" a="1"/>
  <c r="I569" i="2"/>
  <c r="I570" i="2" a="1"/>
  <c r="I570" i="2" s="1"/>
  <c r="I571" i="2" a="1"/>
  <c r="I571" i="2"/>
  <c r="I572" i="2" a="1"/>
  <c r="I572" i="2"/>
  <c r="I573" i="2" a="1"/>
  <c r="I573" i="2"/>
  <c r="I574" i="2" a="1"/>
  <c r="I574" i="2"/>
  <c r="I575" i="2" a="1"/>
  <c r="I575" i="2"/>
  <c r="I576" i="2" a="1"/>
  <c r="I576" i="2" s="1"/>
  <c r="I577" i="2" a="1"/>
  <c r="I577" i="2"/>
  <c r="I578" i="2" a="1"/>
  <c r="I578" i="2"/>
  <c r="I579" i="2" a="1"/>
  <c r="I579" i="2"/>
  <c r="I580" i="2" a="1"/>
  <c r="I580" i="2"/>
  <c r="I581" i="2" a="1"/>
  <c r="I581" i="2"/>
  <c r="I582" i="2" a="1"/>
  <c r="I582" i="2" s="1"/>
  <c r="I583" i="2" a="1"/>
  <c r="I583" i="2"/>
  <c r="I584" i="2" a="1"/>
  <c r="I584" i="2"/>
  <c r="I585" i="2" a="1"/>
  <c r="I585" i="2"/>
  <c r="I586" i="2" a="1"/>
  <c r="I586" i="2"/>
  <c r="I587" i="2" a="1"/>
  <c r="I587" i="2"/>
  <c r="I588" i="2" a="1"/>
  <c r="I588" i="2" s="1"/>
  <c r="I589" i="2" a="1"/>
  <c r="I589" i="2"/>
  <c r="I590" i="2" a="1"/>
  <c r="I590" i="2"/>
  <c r="I591" i="2" a="1"/>
  <c r="I591" i="2"/>
  <c r="I592" i="2" a="1"/>
  <c r="I592" i="2"/>
  <c r="I593" i="2" a="1"/>
  <c r="I593" i="2"/>
  <c r="I594" i="2" a="1"/>
  <c r="I594" i="2" s="1"/>
  <c r="I595" i="2" a="1"/>
  <c r="I595" i="2"/>
  <c r="I596" i="2" a="1"/>
  <c r="I596" i="2"/>
  <c r="I597" i="2" a="1"/>
  <c r="I597" i="2"/>
  <c r="I598" i="2" a="1"/>
  <c r="I598" i="2"/>
  <c r="I599" i="2" a="1"/>
  <c r="I599" i="2"/>
  <c r="I600" i="2" a="1"/>
  <c r="I600" i="2" s="1"/>
  <c r="I601" i="2" a="1"/>
  <c r="I601" i="2"/>
  <c r="I602" i="2" a="1"/>
  <c r="I602" i="2"/>
  <c r="I603" i="2" a="1"/>
  <c r="I603" i="2"/>
  <c r="I604" i="2" a="1"/>
  <c r="I604" i="2"/>
  <c r="I605" i="2" a="1"/>
  <c r="I605" i="2"/>
  <c r="I606" i="2" a="1"/>
  <c r="I606" i="2" s="1"/>
  <c r="I607" i="2" a="1"/>
  <c r="I607" i="2"/>
  <c r="I608" i="2" a="1"/>
  <c r="I608" i="2"/>
  <c r="I609" i="2" a="1"/>
  <c r="I609" i="2"/>
  <c r="I610" i="2" a="1"/>
  <c r="I610" i="2"/>
  <c r="I611" i="2" a="1"/>
  <c r="I611" i="2"/>
  <c r="I612" i="2" a="1"/>
  <c r="I612" i="2" s="1"/>
  <c r="I613" i="2" a="1"/>
  <c r="I613" i="2"/>
  <c r="I614" i="2" a="1"/>
  <c r="I614" i="2"/>
  <c r="I615" i="2" a="1"/>
  <c r="I615" i="2"/>
  <c r="I616" i="2" a="1"/>
  <c r="I616" i="2"/>
  <c r="I617" i="2" a="1"/>
  <c r="I617" i="2"/>
  <c r="I618" i="2" a="1"/>
  <c r="I618" i="2" s="1"/>
  <c r="I619" i="2" a="1"/>
  <c r="I619" i="2"/>
  <c r="I620" i="2" a="1"/>
  <c r="I620" i="2"/>
  <c r="I621" i="2" a="1"/>
  <c r="I621" i="2"/>
  <c r="I622" i="2" a="1"/>
  <c r="I622" i="2"/>
  <c r="I623" i="2" a="1"/>
  <c r="I623" i="2"/>
  <c r="I624" i="2" a="1"/>
  <c r="I624" i="2" s="1"/>
  <c r="I625" i="2" a="1"/>
  <c r="I625" i="2"/>
  <c r="I626" i="2" a="1"/>
  <c r="I626" i="2"/>
  <c r="I627" i="2" a="1"/>
  <c r="I627" i="2"/>
  <c r="I628" i="2" a="1"/>
  <c r="I628" i="2"/>
  <c r="I629" i="2" a="1"/>
  <c r="I629" i="2"/>
  <c r="I630" i="2" a="1"/>
  <c r="I630" i="2" s="1"/>
  <c r="I631" i="2" a="1"/>
  <c r="I631" i="2"/>
  <c r="I632" i="2" a="1"/>
  <c r="I632" i="2"/>
  <c r="I633" i="2" a="1"/>
  <c r="I633" i="2"/>
  <c r="I634" i="2" a="1"/>
  <c r="I634" i="2"/>
  <c r="I635" i="2" a="1"/>
  <c r="I635" i="2"/>
  <c r="I5" i="2" a="1"/>
  <c r="I5" i="2"/>
  <c r="H16" i="2" a="1"/>
  <c r="H16" i="2"/>
  <c r="H17" i="2" a="1"/>
  <c r="H17" i="2"/>
  <c r="H18" i="2" a="1"/>
  <c r="H18" i="2"/>
  <c r="H19" i="2" a="1"/>
  <c r="H19" i="2"/>
  <c r="H20" i="2" a="1"/>
  <c r="H20" i="2"/>
  <c r="H21" i="2" a="1"/>
  <c r="H21" i="2"/>
  <c r="H22" i="2" a="1"/>
  <c r="H22" i="2"/>
  <c r="H23" i="2" a="1"/>
  <c r="H23" i="2"/>
  <c r="H24" i="2" a="1"/>
  <c r="H24" i="2"/>
  <c r="H25" i="2" a="1"/>
  <c r="H25" i="2"/>
  <c r="H26" i="2" a="1"/>
  <c r="H26" i="2"/>
  <c r="H27" i="2" a="1"/>
  <c r="H27" i="2"/>
  <c r="H28" i="2" a="1"/>
  <c r="H28" i="2"/>
  <c r="H29" i="2" a="1"/>
  <c r="H29" i="2"/>
  <c r="H30" i="2" a="1"/>
  <c r="H30" i="2"/>
  <c r="H31" i="2" a="1"/>
  <c r="H31" i="2"/>
  <c r="H32" i="2" a="1"/>
  <c r="H32" i="2"/>
  <c r="H33" i="2" a="1"/>
  <c r="H33" i="2"/>
  <c r="H34" i="2" a="1"/>
  <c r="H34" i="2"/>
  <c r="H35" i="2" a="1"/>
  <c r="H35" i="2"/>
  <c r="H36" i="2" a="1"/>
  <c r="H36" i="2"/>
  <c r="H37" i="2" a="1"/>
  <c r="H37" i="2"/>
  <c r="H38" i="2" a="1"/>
  <c r="H38" i="2"/>
  <c r="H39" i="2" a="1"/>
  <c r="H39" i="2"/>
  <c r="H40" i="2" a="1"/>
  <c r="H40" i="2"/>
  <c r="H41" i="2" a="1"/>
  <c r="H41" i="2"/>
  <c r="H42" i="2" a="1"/>
  <c r="H42" i="2"/>
  <c r="H43" i="2" a="1"/>
  <c r="H43" i="2"/>
  <c r="H44" i="2" a="1"/>
  <c r="H44" i="2"/>
  <c r="H45" i="2" a="1"/>
  <c r="H45" i="2"/>
  <c r="H46" i="2" a="1"/>
  <c r="H46" i="2"/>
  <c r="H47" i="2" a="1"/>
  <c r="H47" i="2"/>
  <c r="H48" i="2" a="1"/>
  <c r="H48" i="2"/>
  <c r="H49" i="2" a="1"/>
  <c r="H49" i="2"/>
  <c r="H50" i="2" a="1"/>
  <c r="H50" i="2"/>
  <c r="H51" i="2" a="1"/>
  <c r="H51" i="2"/>
  <c r="H52" i="2" a="1"/>
  <c r="H52" i="2"/>
  <c r="H53" i="2" a="1"/>
  <c r="H53" i="2"/>
  <c r="H54" i="2" a="1"/>
  <c r="H54" i="2"/>
  <c r="H55" i="2" a="1"/>
  <c r="H55" i="2"/>
  <c r="H56" i="2" a="1"/>
  <c r="H56" i="2"/>
  <c r="H57" i="2" a="1"/>
  <c r="H57" i="2"/>
  <c r="H58" i="2" a="1"/>
  <c r="H58" i="2"/>
  <c r="H59" i="2" a="1"/>
  <c r="H59" i="2"/>
  <c r="H60" i="2" a="1"/>
  <c r="H60" i="2"/>
  <c r="H61" i="2" a="1"/>
  <c r="H61" i="2"/>
  <c r="H62" i="2" a="1"/>
  <c r="H62" i="2"/>
  <c r="H63" i="2" a="1"/>
  <c r="H63" i="2"/>
  <c r="H64" i="2" a="1"/>
  <c r="H64" i="2"/>
  <c r="H65" i="2" a="1"/>
  <c r="H65" i="2"/>
  <c r="H66" i="2" a="1"/>
  <c r="H66" i="2"/>
  <c r="H67" i="2" a="1"/>
  <c r="H67" i="2"/>
  <c r="H68" i="2" a="1"/>
  <c r="H68" i="2"/>
  <c r="H69" i="2" a="1"/>
  <c r="H69" i="2"/>
  <c r="H70" i="2" a="1"/>
  <c r="H70" i="2"/>
  <c r="H71" i="2" a="1"/>
  <c r="H71" i="2"/>
  <c r="H72" i="2" a="1"/>
  <c r="H72" i="2"/>
  <c r="H73" i="2" a="1"/>
  <c r="H73" i="2"/>
  <c r="H74" i="2" a="1"/>
  <c r="H74" i="2"/>
  <c r="H75" i="2" a="1"/>
  <c r="H75" i="2"/>
  <c r="H76" i="2" a="1"/>
  <c r="H76" i="2"/>
  <c r="H77" i="2" a="1"/>
  <c r="H77" i="2"/>
  <c r="H78" i="2" a="1"/>
  <c r="H78" i="2"/>
  <c r="H79" i="2" a="1"/>
  <c r="H79" i="2"/>
  <c r="H80" i="2" a="1"/>
  <c r="H80" i="2"/>
  <c r="H81" i="2" a="1"/>
  <c r="H81" i="2"/>
  <c r="H82" i="2" a="1"/>
  <c r="H82" i="2"/>
  <c r="H83" i="2" a="1"/>
  <c r="H83" i="2"/>
  <c r="H84" i="2" a="1"/>
  <c r="H84" i="2"/>
  <c r="H85" i="2" a="1"/>
  <c r="H85" i="2"/>
  <c r="H86" i="2" a="1"/>
  <c r="H86" i="2"/>
  <c r="H87" i="2" a="1"/>
  <c r="H87" i="2"/>
  <c r="H88" i="2" a="1"/>
  <c r="H88" i="2"/>
  <c r="H89" i="2" a="1"/>
  <c r="H89" i="2"/>
  <c r="H90" i="2" a="1"/>
  <c r="H90" i="2"/>
  <c r="H91" i="2" a="1"/>
  <c r="H91" i="2"/>
  <c r="H92" i="2" a="1"/>
  <c r="H92" i="2"/>
  <c r="H93" i="2" a="1"/>
  <c r="H93" i="2"/>
  <c r="H94" i="2" a="1"/>
  <c r="H94" i="2"/>
  <c r="H95" i="2" a="1"/>
  <c r="H95" i="2"/>
  <c r="H96" i="2" a="1"/>
  <c r="H96" i="2"/>
  <c r="H97" i="2" a="1"/>
  <c r="H97" i="2"/>
  <c r="H98" i="2" a="1"/>
  <c r="H98" i="2"/>
  <c r="H99" i="2" a="1"/>
  <c r="H99" i="2"/>
  <c r="H100" i="2" a="1"/>
  <c r="H100" i="2"/>
  <c r="H101" i="2" a="1"/>
  <c r="H101" i="2"/>
  <c r="H102" i="2" a="1"/>
  <c r="H102" i="2"/>
  <c r="H103" i="2" a="1"/>
  <c r="H103" i="2"/>
  <c r="H104" i="2" a="1"/>
  <c r="H104" i="2"/>
  <c r="H105" i="2" a="1"/>
  <c r="H105" i="2"/>
  <c r="H106" i="2" a="1"/>
  <c r="H106" i="2"/>
  <c r="H107" i="2" a="1"/>
  <c r="H107" i="2"/>
  <c r="H108" i="2" a="1"/>
  <c r="H108" i="2"/>
  <c r="H109" i="2" a="1"/>
  <c r="H109" i="2"/>
  <c r="H110" i="2" a="1"/>
  <c r="H110" i="2"/>
  <c r="H111" i="2" a="1"/>
  <c r="H111" i="2"/>
  <c r="H112" i="2" a="1"/>
  <c r="H112" i="2"/>
  <c r="H113" i="2" a="1"/>
  <c r="H113" i="2"/>
  <c r="H114" i="2" a="1"/>
  <c r="H114" i="2"/>
  <c r="H115" i="2" a="1"/>
  <c r="H115" i="2"/>
  <c r="H116" i="2" a="1"/>
  <c r="H116" i="2"/>
  <c r="H117" i="2" a="1"/>
  <c r="H117" i="2"/>
  <c r="H118" i="2" a="1"/>
  <c r="H118" i="2"/>
  <c r="H119" i="2" a="1"/>
  <c r="H119" i="2"/>
  <c r="H120" i="2" a="1"/>
  <c r="H120" i="2"/>
  <c r="H121" i="2" a="1"/>
  <c r="H121" i="2"/>
  <c r="H122" i="2" a="1"/>
  <c r="H122" i="2"/>
  <c r="H123" i="2" a="1"/>
  <c r="H123" i="2"/>
  <c r="H124" i="2" a="1"/>
  <c r="H124" i="2"/>
  <c r="H125" i="2" a="1"/>
  <c r="H125" i="2"/>
  <c r="H126" i="2" a="1"/>
  <c r="H126" i="2"/>
  <c r="H127" i="2" a="1"/>
  <c r="H127" i="2"/>
  <c r="H128" i="2" a="1"/>
  <c r="H128" i="2"/>
  <c r="H129" i="2" a="1"/>
  <c r="H129" i="2"/>
  <c r="H130" i="2" a="1"/>
  <c r="H130" i="2"/>
  <c r="H131" i="2" a="1"/>
  <c r="H131" i="2"/>
  <c r="H132" i="2" a="1"/>
  <c r="H132" i="2"/>
  <c r="H133" i="2" a="1"/>
  <c r="H133" i="2"/>
  <c r="H134" i="2" a="1"/>
  <c r="H134" i="2"/>
  <c r="H135" i="2" a="1"/>
  <c r="H135" i="2"/>
  <c r="H136" i="2" a="1"/>
  <c r="H136" i="2"/>
  <c r="H137" i="2" a="1"/>
  <c r="H137" i="2"/>
  <c r="H138" i="2" a="1"/>
  <c r="H138" i="2"/>
  <c r="H139" i="2" a="1"/>
  <c r="H139" i="2"/>
  <c r="H140" i="2" a="1"/>
  <c r="H140" i="2"/>
  <c r="H141" i="2" a="1"/>
  <c r="H141" i="2"/>
  <c r="H142" i="2" a="1"/>
  <c r="H142" i="2"/>
  <c r="H143" i="2" a="1"/>
  <c r="H143" i="2"/>
  <c r="H144" i="2" a="1"/>
  <c r="H144" i="2"/>
  <c r="H145" i="2" a="1"/>
  <c r="H145" i="2"/>
  <c r="H146" i="2" a="1"/>
  <c r="H146" i="2"/>
  <c r="H147" i="2" a="1"/>
  <c r="H147" i="2"/>
  <c r="H148" i="2" a="1"/>
  <c r="H148" i="2"/>
  <c r="H149" i="2" a="1"/>
  <c r="H149" i="2"/>
  <c r="H150" i="2" a="1"/>
  <c r="H150" i="2"/>
  <c r="H151" i="2" a="1"/>
  <c r="H151" i="2"/>
  <c r="H152" i="2" a="1"/>
  <c r="H152" i="2"/>
  <c r="H153" i="2" a="1"/>
  <c r="H153" i="2"/>
  <c r="H154" i="2" a="1"/>
  <c r="H154" i="2"/>
  <c r="H155" i="2" a="1"/>
  <c r="H155" i="2"/>
  <c r="H156" i="2" a="1"/>
  <c r="H156" i="2"/>
  <c r="H157" i="2" a="1"/>
  <c r="H157" i="2"/>
  <c r="H158" i="2" a="1"/>
  <c r="H158" i="2"/>
  <c r="H159" i="2" a="1"/>
  <c r="H159" i="2"/>
  <c r="H160" i="2" a="1"/>
  <c r="H160" i="2"/>
  <c r="H161" i="2" a="1"/>
  <c r="H161" i="2"/>
  <c r="H162" i="2" a="1"/>
  <c r="H162" i="2"/>
  <c r="H163" i="2" a="1"/>
  <c r="H163" i="2"/>
  <c r="H164" i="2" a="1"/>
  <c r="H164" i="2"/>
  <c r="H165" i="2" a="1"/>
  <c r="H165" i="2"/>
  <c r="H166" i="2" a="1"/>
  <c r="H166" i="2"/>
  <c r="H167" i="2" a="1"/>
  <c r="H167" i="2"/>
  <c r="H168" i="2" a="1"/>
  <c r="H168" i="2"/>
  <c r="H169" i="2" a="1"/>
  <c r="H169" i="2"/>
  <c r="H170" i="2" a="1"/>
  <c r="H170" i="2"/>
  <c r="H171" i="2" a="1"/>
  <c r="H171" i="2"/>
  <c r="H172" i="2" a="1"/>
  <c r="H172" i="2"/>
  <c r="H173" i="2" a="1"/>
  <c r="H173" i="2"/>
  <c r="H174" i="2" a="1"/>
  <c r="H174" i="2"/>
  <c r="H175" i="2" a="1"/>
  <c r="H175" i="2"/>
  <c r="H176" i="2" a="1"/>
  <c r="H176" i="2"/>
  <c r="H177" i="2" a="1"/>
  <c r="H177" i="2"/>
  <c r="H178" i="2" a="1"/>
  <c r="H178" i="2"/>
  <c r="H179" i="2" a="1"/>
  <c r="H179" i="2"/>
  <c r="H180" i="2" a="1"/>
  <c r="H180" i="2"/>
  <c r="H181" i="2" a="1"/>
  <c r="H181" i="2"/>
  <c r="H182" i="2" a="1"/>
  <c r="H182" i="2"/>
  <c r="H183" i="2" a="1"/>
  <c r="H183" i="2"/>
  <c r="H184" i="2" a="1"/>
  <c r="H184" i="2"/>
  <c r="H185" i="2" a="1"/>
  <c r="H185" i="2"/>
  <c r="H186" i="2" a="1"/>
  <c r="H186" i="2"/>
  <c r="H187" i="2" a="1"/>
  <c r="H187" i="2"/>
  <c r="H188" i="2" a="1"/>
  <c r="H188" i="2"/>
  <c r="H189" i="2" a="1"/>
  <c r="H189" i="2"/>
  <c r="H190" i="2" a="1"/>
  <c r="H190" i="2"/>
  <c r="H191" i="2" a="1"/>
  <c r="H191" i="2"/>
  <c r="H192" i="2" a="1"/>
  <c r="H192" i="2"/>
  <c r="H193" i="2" a="1"/>
  <c r="H193" i="2"/>
  <c r="H194" i="2" a="1"/>
  <c r="H194" i="2"/>
  <c r="H195" i="2" a="1"/>
  <c r="H195" i="2"/>
  <c r="H196" i="2" a="1"/>
  <c r="H196" i="2"/>
  <c r="H197" i="2" a="1"/>
  <c r="H197" i="2"/>
  <c r="H198" i="2" a="1"/>
  <c r="H198" i="2"/>
  <c r="H199" i="2" a="1"/>
  <c r="H199" i="2"/>
  <c r="H200" i="2" a="1"/>
  <c r="H200" i="2"/>
  <c r="H201" i="2" a="1"/>
  <c r="H201" i="2"/>
  <c r="H202" i="2" a="1"/>
  <c r="H202" i="2"/>
  <c r="H203" i="2" a="1"/>
  <c r="H203" i="2"/>
  <c r="H204" i="2" a="1"/>
  <c r="H204" i="2"/>
  <c r="H205" i="2" a="1"/>
  <c r="H205" i="2"/>
  <c r="H206" i="2" a="1"/>
  <c r="H206" i="2"/>
  <c r="H207" i="2" a="1"/>
  <c r="H207" i="2"/>
  <c r="H208" i="2" a="1"/>
  <c r="H208" i="2"/>
  <c r="H209" i="2" a="1"/>
  <c r="H209" i="2"/>
  <c r="H210" i="2" a="1"/>
  <c r="H210" i="2"/>
  <c r="H211" i="2" a="1"/>
  <c r="H211" i="2"/>
  <c r="H212" i="2" a="1"/>
  <c r="H212" i="2"/>
  <c r="H213" i="2" a="1"/>
  <c r="H213" i="2"/>
  <c r="H214" i="2" a="1"/>
  <c r="H214" i="2"/>
  <c r="H215" i="2" a="1"/>
  <c r="H215" i="2"/>
  <c r="H216" i="2" a="1"/>
  <c r="H216" i="2"/>
  <c r="H217" i="2" a="1"/>
  <c r="H217" i="2"/>
  <c r="H218" i="2" a="1"/>
  <c r="H218" i="2"/>
  <c r="H219" i="2" a="1"/>
  <c r="H219" i="2"/>
  <c r="H220" i="2" a="1"/>
  <c r="H220" i="2"/>
  <c r="H221" i="2" a="1"/>
  <c r="H221" i="2"/>
  <c r="H222" i="2" a="1"/>
  <c r="H222" i="2"/>
  <c r="H223" i="2" a="1"/>
  <c r="H223" i="2"/>
  <c r="H224" i="2" a="1"/>
  <c r="H224" i="2"/>
  <c r="H225" i="2" a="1"/>
  <c r="H225" i="2"/>
  <c r="H6" i="2" a="1"/>
  <c r="H6" i="2"/>
  <c r="H7" i="2" a="1"/>
  <c r="H7" i="2"/>
  <c r="H8" i="2" a="1"/>
  <c r="H8" i="2"/>
  <c r="H9" i="2" a="1"/>
  <c r="H9" i="2"/>
  <c r="H10" i="2" a="1"/>
  <c r="H10" i="2"/>
  <c r="H11" i="2" a="1"/>
  <c r="H11" i="2"/>
  <c r="H12" i="2" a="1"/>
  <c r="H12" i="2"/>
  <c r="H13" i="2" a="1"/>
  <c r="H13" i="2"/>
  <c r="H14" i="2" a="1"/>
  <c r="H14" i="2"/>
  <c r="H15" i="2" a="1"/>
  <c r="H15" i="2"/>
  <c r="H5" i="2" a="1"/>
  <c r="H5" i="2" s="1"/>
  <c r="H234" i="2" l="1"/>
  <c r="H233" i="2"/>
  <c r="H232" i="2" l="1" a="1"/>
  <c r="H232" i="2" s="1"/>
  <c r="H231" i="2" a="1"/>
  <c r="H231" i="2" s="1"/>
  <c r="H230" i="2" a="1"/>
  <c r="H230" i="2" s="1"/>
  <c r="H229" i="2" a="1"/>
  <c r="H229" i="2" s="1"/>
  <c r="H228" i="2" a="1"/>
  <c r="H228" i="2" s="1"/>
  <c r="H227" i="2" a="1"/>
  <c r="H227" i="2" s="1"/>
  <c r="AO24" i="2" l="1"/>
  <c r="AO25" i="2"/>
  <c r="AO26" i="2"/>
  <c r="AN24" i="2"/>
  <c r="AN25" i="2"/>
  <c r="AN26" i="2"/>
  <c r="F4" i="3" l="1"/>
  <c r="D4" i="3"/>
  <c r="C4" i="3"/>
  <c r="B4" i="3"/>
  <c r="Z40" i="2"/>
  <c r="AN157" i="2" l="1"/>
  <c r="AO157" i="2"/>
  <c r="AQ157" i="2"/>
  <c r="AN81" i="2"/>
  <c r="AO81" i="2"/>
  <c r="AQ81" i="2"/>
  <c r="AN23" i="2"/>
  <c r="AO23" i="2"/>
  <c r="AQ23" i="2"/>
  <c r="AN223" i="2"/>
  <c r="AO223" i="2"/>
  <c r="AQ223" i="2"/>
  <c r="AN87" i="2"/>
  <c r="AO87" i="2"/>
  <c r="AQ87" i="2"/>
  <c r="AN156" i="2"/>
  <c r="AO156" i="2"/>
  <c r="AQ156" i="2"/>
  <c r="AN130" i="2"/>
  <c r="AO130" i="2"/>
  <c r="AQ130" i="2"/>
  <c r="AN88" i="2"/>
  <c r="AO88" i="2"/>
  <c r="AQ88" i="2"/>
  <c r="AN117" i="2"/>
  <c r="AO117" i="2"/>
  <c r="AQ117" i="2"/>
  <c r="AN61" i="2"/>
  <c r="AO61" i="2"/>
  <c r="AQ61" i="2"/>
  <c r="AN62" i="2"/>
  <c r="AO62" i="2"/>
  <c r="AQ62" i="2"/>
  <c r="AN22" i="2"/>
  <c r="AO22" i="2"/>
  <c r="AQ22" i="2"/>
  <c r="AN110" i="2"/>
  <c r="AO110" i="2"/>
  <c r="AQ110" i="2"/>
  <c r="AN131" i="2"/>
  <c r="AO131" i="2"/>
  <c r="AQ131" i="2"/>
  <c r="AN144" i="2"/>
  <c r="AO144" i="2"/>
  <c r="AQ144" i="2"/>
  <c r="AN203" i="2"/>
  <c r="AO203" i="2"/>
  <c r="AQ203" i="2"/>
  <c r="AN134" i="2"/>
  <c r="AO134" i="2"/>
  <c r="AQ134" i="2"/>
  <c r="AN143" i="2"/>
  <c r="AO143" i="2"/>
  <c r="AQ143" i="2"/>
  <c r="AN89" i="2"/>
  <c r="AO89" i="2"/>
  <c r="AQ89" i="2"/>
  <c r="AN63" i="2"/>
  <c r="AO63" i="2"/>
  <c r="AQ63" i="2"/>
  <c r="AN142" i="2"/>
  <c r="AO142" i="2"/>
  <c r="AQ142" i="2"/>
  <c r="AN56" i="2"/>
  <c r="AO56" i="2"/>
  <c r="AQ56" i="2"/>
  <c r="AN141" i="2"/>
  <c r="AO141" i="2"/>
  <c r="AQ141" i="2"/>
  <c r="AN21" i="2"/>
  <c r="AO21" i="2"/>
  <c r="AQ21" i="2"/>
  <c r="AN59" i="2"/>
  <c r="AO59" i="2"/>
  <c r="AQ59" i="2"/>
  <c r="AN132" i="2"/>
  <c r="AO132" i="2"/>
  <c r="AQ132" i="2"/>
  <c r="AN126" i="2"/>
  <c r="AO126" i="2"/>
  <c r="AQ126" i="2"/>
  <c r="AN220" i="2"/>
  <c r="AO220" i="2"/>
  <c r="AQ220" i="2"/>
  <c r="AN204" i="2"/>
  <c r="AO204" i="2"/>
  <c r="AQ204" i="2"/>
  <c r="AN201" i="2"/>
  <c r="AO201" i="2"/>
  <c r="AQ201" i="2"/>
  <c r="AN50" i="2"/>
  <c r="AO50" i="2"/>
  <c r="AQ50" i="2"/>
  <c r="AN49" i="2"/>
  <c r="AO49" i="2"/>
  <c r="AQ49" i="2"/>
  <c r="AN64" i="2"/>
  <c r="AO64" i="2"/>
  <c r="AQ64" i="2"/>
  <c r="AN109" i="2"/>
  <c r="AO109" i="2"/>
  <c r="AQ109" i="2"/>
  <c r="AN199" i="2"/>
  <c r="AO199" i="2"/>
  <c r="AQ199" i="2"/>
  <c r="AN200" i="2"/>
  <c r="AO200" i="2"/>
  <c r="AQ200" i="2"/>
  <c r="AN140" i="2"/>
  <c r="AO140" i="2"/>
  <c r="AQ140" i="2"/>
  <c r="AN139" i="2"/>
  <c r="AO139" i="2"/>
  <c r="AQ139" i="2"/>
  <c r="AN100" i="2"/>
  <c r="AO100" i="2"/>
  <c r="AQ100" i="2"/>
  <c r="AN224" i="2"/>
  <c r="AO224" i="2"/>
  <c r="AQ224" i="2"/>
  <c r="AN80" i="2"/>
  <c r="AO80" i="2"/>
  <c r="AQ80" i="2"/>
  <c r="AN127" i="2"/>
  <c r="AO127" i="2"/>
  <c r="AQ127" i="2"/>
  <c r="AN20" i="2"/>
  <c r="AO20" i="2"/>
  <c r="AQ20" i="2"/>
  <c r="AN57" i="2"/>
  <c r="AO57" i="2"/>
  <c r="AQ57" i="2"/>
  <c r="AN180" i="2"/>
  <c r="AO180" i="2"/>
  <c r="AQ180" i="2"/>
  <c r="AN151" i="2"/>
  <c r="AO151" i="2"/>
  <c r="AQ151" i="2"/>
  <c r="AN79" i="2"/>
  <c r="AO79" i="2"/>
  <c r="AQ79" i="2"/>
  <c r="AN163" i="2"/>
  <c r="AO163" i="2"/>
  <c r="AQ163" i="2"/>
  <c r="AN85" i="2"/>
  <c r="AO85" i="2"/>
  <c r="AQ85" i="2"/>
  <c r="AN158" i="2"/>
  <c r="AO158" i="2"/>
  <c r="AQ158" i="2"/>
  <c r="AN135" i="2"/>
  <c r="AO135" i="2"/>
  <c r="AQ135" i="2"/>
  <c r="AN198" i="2"/>
  <c r="AO198" i="2"/>
  <c r="AQ198" i="2"/>
  <c r="AN78" i="2"/>
  <c r="AO78" i="2"/>
  <c r="AQ78" i="2"/>
  <c r="AN93" i="2"/>
  <c r="AO93" i="2"/>
  <c r="AQ93" i="2"/>
  <c r="AN133" i="2"/>
  <c r="AO133" i="2"/>
  <c r="AQ133" i="2"/>
  <c r="AN138" i="2"/>
  <c r="AO138" i="2"/>
  <c r="AQ138" i="2"/>
  <c r="AN86" i="2"/>
  <c r="AO86" i="2"/>
  <c r="AQ86" i="2"/>
  <c r="AN195" i="2"/>
  <c r="AO195" i="2"/>
  <c r="AQ195" i="2"/>
  <c r="AN196" i="2"/>
  <c r="AO196" i="2"/>
  <c r="AQ196" i="2"/>
  <c r="AN193" i="2"/>
  <c r="AO193" i="2"/>
  <c r="AQ193" i="2"/>
  <c r="AN194" i="2"/>
  <c r="AO194" i="2"/>
  <c r="AQ194" i="2"/>
  <c r="AN99" i="2"/>
  <c r="AO99" i="2"/>
  <c r="AQ99" i="2"/>
  <c r="AN202" i="2"/>
  <c r="AO202" i="2"/>
  <c r="AQ202" i="2"/>
  <c r="AN77" i="2"/>
  <c r="AO77" i="2"/>
  <c r="AQ77" i="2"/>
  <c r="AN58" i="2"/>
  <c r="AO58" i="2"/>
  <c r="AQ58" i="2"/>
  <c r="AN205" i="2"/>
  <c r="AO205" i="2"/>
  <c r="AQ205" i="2"/>
  <c r="AN19" i="2"/>
  <c r="AO19" i="2"/>
  <c r="AQ19" i="2"/>
  <c r="AN76" i="2"/>
  <c r="AO76" i="2"/>
  <c r="AQ76" i="2"/>
  <c r="AN206" i="2"/>
  <c r="AO206" i="2"/>
  <c r="AQ206" i="2"/>
  <c r="AN48" i="2"/>
  <c r="AO48" i="2"/>
  <c r="AQ48" i="2"/>
  <c r="AN60" i="2"/>
  <c r="AO60" i="2"/>
  <c r="AQ60" i="2"/>
  <c r="AN136" i="2"/>
  <c r="AO136" i="2"/>
  <c r="AQ136" i="2"/>
  <c r="AN145" i="2"/>
  <c r="AO145" i="2"/>
  <c r="AQ145" i="2"/>
  <c r="AN18" i="2"/>
  <c r="AO18" i="2"/>
  <c r="AQ18" i="2"/>
  <c r="AN197" i="2"/>
  <c r="AO197" i="2"/>
  <c r="AQ197" i="2"/>
  <c r="AN173" i="2"/>
  <c r="AO173" i="2"/>
  <c r="AQ173" i="2"/>
  <c r="AN128" i="2"/>
  <c r="AO128" i="2"/>
  <c r="AQ128" i="2"/>
  <c r="AN98" i="2"/>
  <c r="AO98" i="2"/>
  <c r="AQ98" i="2"/>
  <c r="AN207" i="2"/>
  <c r="AO207" i="2"/>
  <c r="AQ207" i="2"/>
  <c r="AN160" i="2"/>
  <c r="AO160" i="2"/>
  <c r="AQ160" i="2"/>
  <c r="AN159" i="2"/>
  <c r="AO159" i="2"/>
  <c r="AQ159" i="2"/>
  <c r="AN208" i="2"/>
  <c r="AO208" i="2"/>
  <c r="AQ208" i="2"/>
  <c r="AN192" i="2"/>
  <c r="AO192" i="2"/>
  <c r="AQ192" i="2"/>
  <c r="AN75" i="2"/>
  <c r="AO75" i="2"/>
  <c r="AQ75" i="2"/>
  <c r="AN47" i="2"/>
  <c r="AO47" i="2"/>
  <c r="AQ47" i="2"/>
  <c r="AN46" i="2"/>
  <c r="AO46" i="2"/>
  <c r="AQ46" i="2"/>
  <c r="AN74" i="2"/>
  <c r="AO74" i="2"/>
  <c r="AQ74" i="2"/>
  <c r="AN225" i="2"/>
  <c r="AO225" i="2"/>
  <c r="AQ225" i="2"/>
  <c r="AN146" i="2"/>
  <c r="AO146" i="2"/>
  <c r="AQ146" i="2"/>
  <c r="AN191" i="2"/>
  <c r="AO191" i="2"/>
  <c r="AQ191" i="2"/>
  <c r="AN82" i="2"/>
  <c r="AO82" i="2"/>
  <c r="AQ82" i="2"/>
  <c r="AN83" i="2"/>
  <c r="AO83" i="2"/>
  <c r="AQ83" i="2"/>
  <c r="AN147" i="2"/>
  <c r="AO147" i="2"/>
  <c r="AQ147" i="2"/>
  <c r="AN210" i="2"/>
  <c r="AO210" i="2"/>
  <c r="AQ210" i="2"/>
  <c r="AN209" i="2"/>
  <c r="AO209" i="2"/>
  <c r="AQ209" i="2"/>
  <c r="AN17" i="2"/>
  <c r="AO17" i="2"/>
  <c r="AQ17" i="2"/>
  <c r="AN45" i="2"/>
  <c r="AO45" i="2"/>
  <c r="AQ45" i="2"/>
  <c r="AN211" i="2"/>
  <c r="AO211" i="2"/>
  <c r="AQ211" i="2"/>
  <c r="AN164" i="2"/>
  <c r="AO164" i="2"/>
  <c r="AQ164" i="2"/>
  <c r="AN65" i="2"/>
  <c r="AO65" i="2"/>
  <c r="AQ65" i="2"/>
  <c r="AN150" i="2"/>
  <c r="AO150" i="2"/>
  <c r="AQ150" i="2"/>
  <c r="AN111" i="2"/>
  <c r="AO111" i="2"/>
  <c r="AQ111" i="2"/>
  <c r="AN221" i="2"/>
  <c r="AO221" i="2"/>
  <c r="AQ221" i="2"/>
  <c r="AN137" i="2"/>
  <c r="AO137" i="2"/>
  <c r="AQ137" i="2"/>
  <c r="AN152" i="2"/>
  <c r="AO152" i="2"/>
  <c r="AQ152" i="2"/>
  <c r="AN212" i="2"/>
  <c r="AO212" i="2"/>
  <c r="AQ212" i="2"/>
  <c r="AN97" i="2"/>
  <c r="AO97" i="2"/>
  <c r="AQ97" i="2"/>
  <c r="AN154" i="2"/>
  <c r="AO154" i="2"/>
  <c r="AQ154" i="2"/>
  <c r="AN190" i="2"/>
  <c r="AO190" i="2"/>
  <c r="AQ190" i="2"/>
  <c r="AN129" i="2"/>
  <c r="AO129" i="2"/>
  <c r="AQ129" i="2"/>
  <c r="AN44" i="2"/>
  <c r="AO44" i="2"/>
  <c r="AQ44" i="2"/>
  <c r="AN185" i="2"/>
  <c r="AO185" i="2"/>
  <c r="AQ185" i="2"/>
  <c r="AN213" i="2"/>
  <c r="AO213" i="2"/>
  <c r="AQ213" i="2"/>
  <c r="AN148" i="2"/>
  <c r="AO148" i="2"/>
  <c r="AQ148" i="2"/>
  <c r="AN42" i="2"/>
  <c r="AO42" i="2"/>
  <c r="AQ42" i="2"/>
  <c r="AN43" i="2"/>
  <c r="AO43" i="2"/>
  <c r="AQ43" i="2"/>
  <c r="AN186" i="2"/>
  <c r="AO186" i="2"/>
  <c r="AQ186" i="2"/>
  <c r="AB39" i="2"/>
  <c r="AN39" i="2"/>
  <c r="AO39" i="2"/>
  <c r="AQ39" i="2"/>
  <c r="AN73" i="2"/>
  <c r="AO73" i="2"/>
  <c r="AQ73" i="2"/>
  <c r="AN69" i="2"/>
  <c r="AO69" i="2"/>
  <c r="AQ69" i="2"/>
  <c r="AN184" i="2"/>
  <c r="AO184" i="2"/>
  <c r="AQ184" i="2"/>
  <c r="AN155" i="2"/>
  <c r="AO155" i="2"/>
  <c r="AQ155" i="2"/>
  <c r="AB38" i="2"/>
  <c r="AN38" i="2"/>
  <c r="AO38" i="2"/>
  <c r="AQ38" i="2"/>
  <c r="AN103" i="2"/>
  <c r="AO103" i="2"/>
  <c r="AQ103" i="2"/>
  <c r="AB41" i="2"/>
  <c r="AN41" i="2"/>
  <c r="AO41" i="2"/>
  <c r="AQ41" i="2"/>
  <c r="AN165" i="2"/>
  <c r="AO165" i="2"/>
  <c r="AQ165" i="2"/>
  <c r="AN102" i="2"/>
  <c r="AO102" i="2"/>
  <c r="AQ102" i="2"/>
  <c r="AB40" i="2"/>
  <c r="AN40" i="2"/>
  <c r="AO40" i="2"/>
  <c r="AQ40" i="2"/>
  <c r="AN214" i="2"/>
  <c r="AO214" i="2"/>
  <c r="AQ214" i="2"/>
  <c r="AN72" i="2"/>
  <c r="AO72" i="2"/>
  <c r="AQ72" i="2"/>
  <c r="AN153" i="2"/>
  <c r="AO153" i="2"/>
  <c r="AQ153" i="2"/>
  <c r="AN101" i="2"/>
  <c r="AO101" i="2"/>
  <c r="AQ101" i="2"/>
  <c r="AN15" i="2"/>
  <c r="AO15" i="2"/>
  <c r="AQ15" i="2"/>
  <c r="AN55" i="2"/>
  <c r="AO55" i="2"/>
  <c r="AQ55" i="2"/>
  <c r="AB37" i="2"/>
  <c r="AN37" i="2"/>
  <c r="AO37" i="2"/>
  <c r="AQ37" i="2"/>
  <c r="AN106" i="2"/>
  <c r="AO106" i="2"/>
  <c r="AQ106" i="2"/>
  <c r="AN54" i="2"/>
  <c r="AO54" i="2"/>
  <c r="AQ54" i="2"/>
  <c r="AN66" i="2"/>
  <c r="AO66" i="2"/>
  <c r="AQ66" i="2"/>
  <c r="AN16" i="2"/>
  <c r="AO16" i="2"/>
  <c r="AQ16" i="2"/>
  <c r="AN107" i="2"/>
  <c r="AO107" i="2"/>
  <c r="AQ107" i="2"/>
  <c r="AB35" i="2"/>
  <c r="AN35" i="2"/>
  <c r="AO35" i="2"/>
  <c r="AQ35" i="2"/>
  <c r="AN222" i="2"/>
  <c r="AO222" i="2"/>
  <c r="AQ222" i="2"/>
  <c r="AN53" i="2"/>
  <c r="AO53" i="2"/>
  <c r="AQ53" i="2"/>
  <c r="AN108" i="2"/>
  <c r="AO108" i="2"/>
  <c r="AQ108" i="2"/>
  <c r="AN90" i="2"/>
  <c r="AO90" i="2"/>
  <c r="AQ90" i="2"/>
  <c r="AN182" i="2"/>
  <c r="AO182" i="2"/>
  <c r="AQ182" i="2"/>
  <c r="AN84" i="2"/>
  <c r="AO84" i="2"/>
  <c r="AQ84" i="2"/>
  <c r="AN116" i="2"/>
  <c r="AO116" i="2"/>
  <c r="AQ116" i="2"/>
  <c r="AN14" i="2"/>
  <c r="AO14" i="2"/>
  <c r="AQ14" i="2"/>
  <c r="AN71" i="2"/>
  <c r="AO71" i="2"/>
  <c r="AQ71" i="2"/>
  <c r="AN91" i="2"/>
  <c r="AO91" i="2"/>
  <c r="AQ91" i="2"/>
  <c r="AN166" i="2"/>
  <c r="AO166" i="2"/>
  <c r="AQ166" i="2"/>
  <c r="AN167" i="2"/>
  <c r="AO167" i="2"/>
  <c r="AQ167" i="2"/>
  <c r="AN115" i="2"/>
  <c r="AO115" i="2"/>
  <c r="AQ115" i="2"/>
  <c r="AB36" i="2"/>
  <c r="AN36" i="2"/>
  <c r="AO36" i="2"/>
  <c r="AQ36" i="2"/>
  <c r="AN12" i="2"/>
  <c r="AO12" i="2"/>
  <c r="AQ12" i="2"/>
  <c r="AN168" i="2"/>
  <c r="AO168" i="2"/>
  <c r="AQ168" i="2"/>
  <c r="AB33" i="2"/>
  <c r="AN33" i="2"/>
  <c r="AO33" i="2"/>
  <c r="AQ33" i="2"/>
  <c r="AN114" i="2"/>
  <c r="AO114" i="2"/>
  <c r="AQ114" i="2"/>
  <c r="AN174" i="2"/>
  <c r="AO174" i="2"/>
  <c r="AQ174" i="2"/>
  <c r="AN113" i="2"/>
  <c r="AO113" i="2"/>
  <c r="AQ113" i="2"/>
  <c r="AN169" i="2"/>
  <c r="AO169" i="2"/>
  <c r="AQ169" i="2"/>
  <c r="AB34" i="2"/>
  <c r="AN34" i="2"/>
  <c r="AO34" i="2"/>
  <c r="AQ34" i="2"/>
  <c r="AB32" i="2"/>
  <c r="AN32" i="2"/>
  <c r="AO32" i="2"/>
  <c r="AQ32" i="2"/>
  <c r="AN170" i="2"/>
  <c r="AO170" i="2"/>
  <c r="AQ170" i="2"/>
  <c r="AN112" i="2"/>
  <c r="AO112" i="2"/>
  <c r="AQ112" i="2"/>
  <c r="AN13" i="2"/>
  <c r="AO13" i="2"/>
  <c r="AQ13" i="2"/>
  <c r="AN175" i="2"/>
  <c r="AO175" i="2"/>
  <c r="AQ175" i="2"/>
  <c r="AN215" i="2"/>
  <c r="AO215" i="2"/>
  <c r="AQ215" i="2"/>
  <c r="AN70" i="2"/>
  <c r="AO70" i="2"/>
  <c r="AQ70" i="2"/>
  <c r="AN67" i="2"/>
  <c r="AO67" i="2"/>
  <c r="AQ67" i="2"/>
  <c r="AN11" i="2"/>
  <c r="AO11" i="2"/>
  <c r="AQ11" i="2"/>
  <c r="AN176" i="2"/>
  <c r="AO176" i="2"/>
  <c r="AQ176" i="2"/>
  <c r="AB30" i="2"/>
  <c r="AN30" i="2"/>
  <c r="AO30" i="2"/>
  <c r="AQ30" i="2"/>
  <c r="AB31" i="2"/>
  <c r="AN31" i="2"/>
  <c r="AO31" i="2"/>
  <c r="AQ31" i="2"/>
  <c r="AN105" i="2"/>
  <c r="AO105" i="2"/>
  <c r="AQ105" i="2"/>
  <c r="AN216" i="2"/>
  <c r="AO216" i="2"/>
  <c r="AQ216" i="2"/>
  <c r="AN92" i="2"/>
  <c r="AO92" i="2"/>
  <c r="AQ92" i="2"/>
  <c r="AN118" i="2"/>
  <c r="AO118" i="2"/>
  <c r="AQ118" i="2"/>
  <c r="AN177" i="2"/>
  <c r="AO177" i="2"/>
  <c r="AQ177" i="2"/>
  <c r="AN104" i="2"/>
  <c r="AO104" i="2"/>
  <c r="AQ104" i="2"/>
  <c r="AN119" i="2"/>
  <c r="AO119" i="2"/>
  <c r="AQ119" i="2"/>
  <c r="AN10" i="2"/>
  <c r="AO10" i="2"/>
  <c r="AQ10" i="2"/>
  <c r="AN178" i="2"/>
  <c r="AO178" i="2"/>
  <c r="AQ178" i="2"/>
  <c r="AN217" i="2"/>
  <c r="AO217" i="2"/>
  <c r="AQ217" i="2"/>
  <c r="AN9" i="2"/>
  <c r="AO9" i="2"/>
  <c r="AQ9" i="2"/>
  <c r="AN183" i="2"/>
  <c r="AO183" i="2"/>
  <c r="AQ183" i="2"/>
  <c r="AN120" i="2"/>
  <c r="AO120" i="2"/>
  <c r="AQ120" i="2"/>
  <c r="AN161" i="2"/>
  <c r="AO161" i="2"/>
  <c r="AQ161" i="2"/>
  <c r="AN189" i="2"/>
  <c r="AO189" i="2"/>
  <c r="AQ189" i="2"/>
  <c r="AN162" i="2"/>
  <c r="AO162" i="2"/>
  <c r="AQ162" i="2"/>
  <c r="AN121" i="2"/>
  <c r="AO121" i="2"/>
  <c r="AQ121" i="2"/>
  <c r="AN188" i="2"/>
  <c r="AO188" i="2"/>
  <c r="AQ188" i="2"/>
  <c r="AN218" i="2"/>
  <c r="AO218" i="2"/>
  <c r="AQ218" i="2"/>
  <c r="AN219" i="2"/>
  <c r="AO219" i="2"/>
  <c r="AQ219" i="2"/>
  <c r="AN171" i="2"/>
  <c r="AO171" i="2"/>
  <c r="AQ171" i="2"/>
  <c r="AB29" i="2"/>
  <c r="AN29" i="2"/>
  <c r="AO29" i="2"/>
  <c r="AQ29" i="2"/>
  <c r="AN122" i="2"/>
  <c r="AO122" i="2"/>
  <c r="AQ122" i="2"/>
  <c r="AN125" i="2"/>
  <c r="AO125" i="2"/>
  <c r="AQ125" i="2"/>
  <c r="AN52" i="2"/>
  <c r="AO52" i="2"/>
  <c r="AQ52" i="2"/>
  <c r="AB28" i="2"/>
  <c r="AN28" i="2"/>
  <c r="AO28" i="2"/>
  <c r="AQ28" i="2"/>
  <c r="AN179" i="2"/>
  <c r="AO179" i="2"/>
  <c r="AQ179" i="2"/>
  <c r="AB27" i="2"/>
  <c r="AN27" i="2"/>
  <c r="AO27" i="2"/>
  <c r="AQ27" i="2"/>
  <c r="AN8" i="2"/>
  <c r="AO8" i="2"/>
  <c r="AQ8" i="2"/>
  <c r="AN124" i="2"/>
  <c r="AO124" i="2"/>
  <c r="AQ124" i="2"/>
  <c r="AN51" i="2"/>
  <c r="AO51" i="2"/>
  <c r="AQ51" i="2"/>
  <c r="AN172" i="2"/>
  <c r="AO172" i="2"/>
  <c r="AQ172" i="2"/>
  <c r="AN187" i="2"/>
  <c r="AO187" i="2"/>
  <c r="AQ187" i="2"/>
  <c r="AN123" i="2"/>
  <c r="AO123" i="2"/>
  <c r="AQ123" i="2"/>
  <c r="AN96" i="2"/>
  <c r="AO96" i="2"/>
  <c r="AQ96" i="2"/>
  <c r="AN181" i="2"/>
  <c r="AO181" i="2"/>
  <c r="AQ181" i="2"/>
  <c r="AN7" i="2"/>
  <c r="AO7" i="2"/>
  <c r="AQ7" i="2"/>
  <c r="AN68" i="2"/>
  <c r="AO68" i="2"/>
  <c r="AQ68" i="2"/>
  <c r="AN149" i="2"/>
  <c r="AO149" i="2"/>
  <c r="AQ149" i="2"/>
  <c r="AN95" i="2"/>
  <c r="AO95" i="2"/>
  <c r="AQ95" i="2"/>
  <c r="AN94" i="2"/>
  <c r="AO94" i="2"/>
  <c r="AQ94" i="2"/>
  <c r="J79" i="4" l="1"/>
  <c r="H79" i="4"/>
  <c r="G79" i="4"/>
  <c r="F79" i="4"/>
  <c r="E79" i="4"/>
  <c r="D79" i="4"/>
  <c r="C79" i="4"/>
  <c r="B79" i="4"/>
  <c r="A79" i="4"/>
  <c r="J132" i="4"/>
  <c r="H132" i="4"/>
  <c r="G132" i="4"/>
  <c r="F132" i="4"/>
  <c r="E132" i="4"/>
  <c r="D132" i="4"/>
  <c r="C132" i="4"/>
  <c r="B132" i="4"/>
  <c r="A132" i="4"/>
  <c r="J131" i="4"/>
  <c r="H131" i="4"/>
  <c r="G131" i="4"/>
  <c r="F131" i="4"/>
  <c r="E131" i="4"/>
  <c r="D131" i="4"/>
  <c r="C131" i="4"/>
  <c r="B131" i="4"/>
  <c r="A131" i="4"/>
  <c r="J130" i="4"/>
  <c r="H130" i="4"/>
  <c r="G130" i="4"/>
  <c r="F130" i="4"/>
  <c r="E130" i="4"/>
  <c r="D130" i="4"/>
  <c r="C130" i="4"/>
  <c r="B130" i="4"/>
  <c r="A130" i="4"/>
  <c r="J68" i="4"/>
  <c r="H68" i="4"/>
  <c r="G68" i="4"/>
  <c r="F68" i="4"/>
  <c r="E68" i="4"/>
  <c r="D68" i="4"/>
  <c r="C68" i="4"/>
  <c r="B68" i="4"/>
  <c r="A68" i="4"/>
  <c r="J69" i="4"/>
  <c r="H69" i="4"/>
  <c r="G69" i="4"/>
  <c r="F69" i="4"/>
  <c r="E69" i="4"/>
  <c r="D69" i="4"/>
  <c r="C69" i="4"/>
  <c r="B69" i="4"/>
  <c r="A69" i="4"/>
  <c r="J70" i="4"/>
  <c r="H70" i="4"/>
  <c r="G70" i="4"/>
  <c r="F70" i="4"/>
  <c r="E70" i="4"/>
  <c r="D70" i="4"/>
  <c r="C70" i="4"/>
  <c r="B70" i="4"/>
  <c r="A70" i="4"/>
  <c r="J170" i="4"/>
  <c r="H170" i="4"/>
  <c r="G170" i="4"/>
  <c r="F170" i="4"/>
  <c r="E170" i="4"/>
  <c r="D170" i="4"/>
  <c r="C170" i="4"/>
  <c r="B170" i="4"/>
  <c r="A170" i="4"/>
  <c r="J171" i="4"/>
  <c r="H171" i="4"/>
  <c r="G171" i="4"/>
  <c r="F171" i="4"/>
  <c r="E171" i="4"/>
  <c r="D171" i="4"/>
  <c r="C171" i="4"/>
  <c r="B171" i="4"/>
  <c r="A171" i="4"/>
  <c r="J172" i="4"/>
  <c r="H172" i="4"/>
  <c r="G172" i="4"/>
  <c r="F172" i="4"/>
  <c r="E172" i="4"/>
  <c r="D172" i="4"/>
  <c r="C172" i="4"/>
  <c r="B172" i="4"/>
  <c r="A172" i="4"/>
  <c r="J173" i="4"/>
  <c r="H173" i="4"/>
  <c r="G173" i="4"/>
  <c r="F173" i="4"/>
  <c r="E173" i="4"/>
  <c r="D173" i="4"/>
  <c r="C173" i="4"/>
  <c r="B173" i="4"/>
  <c r="A173" i="4"/>
  <c r="J157" i="4"/>
  <c r="H157" i="4"/>
  <c r="G157" i="4"/>
  <c r="F157" i="4"/>
  <c r="E157" i="4"/>
  <c r="D157" i="4"/>
  <c r="C157" i="4"/>
  <c r="B157" i="4"/>
  <c r="A157" i="4"/>
  <c r="J154" i="4"/>
  <c r="H154" i="4"/>
  <c r="G154" i="4"/>
  <c r="F154" i="4"/>
  <c r="E154" i="4"/>
  <c r="D154" i="4"/>
  <c r="C154" i="4"/>
  <c r="B154" i="4"/>
  <c r="A154" i="4"/>
  <c r="J155" i="4"/>
  <c r="H155" i="4"/>
  <c r="G155" i="4"/>
  <c r="F155" i="4"/>
  <c r="E155" i="4"/>
  <c r="D155" i="4"/>
  <c r="C155" i="4"/>
  <c r="B155" i="4"/>
  <c r="A155" i="4"/>
  <c r="J156" i="4"/>
  <c r="H156" i="4"/>
  <c r="G156" i="4"/>
  <c r="F156" i="4"/>
  <c r="E156" i="4"/>
  <c r="D156" i="4"/>
  <c r="C156" i="4"/>
  <c r="B156" i="4"/>
  <c r="A156" i="4"/>
  <c r="J159" i="4"/>
  <c r="H159" i="4"/>
  <c r="G159" i="4"/>
  <c r="F159" i="4"/>
  <c r="E159" i="4"/>
  <c r="D159" i="4"/>
  <c r="C159" i="4"/>
  <c r="B159" i="4"/>
  <c r="A159" i="4"/>
  <c r="J168" i="4"/>
  <c r="H168" i="4"/>
  <c r="G168" i="4"/>
  <c r="F168" i="4"/>
  <c r="E168" i="4"/>
  <c r="D168" i="4"/>
  <c r="C168" i="4"/>
  <c r="B168" i="4"/>
  <c r="A168" i="4"/>
  <c r="J160" i="4"/>
  <c r="H160" i="4"/>
  <c r="G160" i="4"/>
  <c r="F160" i="4"/>
  <c r="E160" i="4"/>
  <c r="D160" i="4"/>
  <c r="C160" i="4"/>
  <c r="B160" i="4"/>
  <c r="A160" i="4"/>
  <c r="J167" i="4"/>
  <c r="H167" i="4"/>
  <c r="G167" i="4"/>
  <c r="F167" i="4"/>
  <c r="E167" i="4"/>
  <c r="D167" i="4"/>
  <c r="C167" i="4"/>
  <c r="B167" i="4"/>
  <c r="A167" i="4"/>
  <c r="J121" i="4"/>
  <c r="H121" i="4"/>
  <c r="G121" i="4"/>
  <c r="F121" i="4"/>
  <c r="E121" i="4"/>
  <c r="D121" i="4"/>
  <c r="C121" i="4"/>
  <c r="B121" i="4"/>
  <c r="A121" i="4"/>
  <c r="J129" i="4"/>
  <c r="H129" i="4"/>
  <c r="G129" i="4"/>
  <c r="F129" i="4"/>
  <c r="E129" i="4"/>
  <c r="D129" i="4"/>
  <c r="C129" i="4"/>
  <c r="B129" i="4"/>
  <c r="A129" i="4"/>
  <c r="J138" i="4"/>
  <c r="H138" i="4"/>
  <c r="G138" i="4"/>
  <c r="F138" i="4"/>
  <c r="E138" i="4"/>
  <c r="D138" i="4"/>
  <c r="C138" i="4"/>
  <c r="B138" i="4"/>
  <c r="A138" i="4"/>
  <c r="J78" i="4"/>
  <c r="H78" i="4"/>
  <c r="G78" i="4"/>
  <c r="F78" i="4"/>
  <c r="E78" i="4"/>
  <c r="D78" i="4"/>
  <c r="C78" i="4"/>
  <c r="B78" i="4"/>
  <c r="A78" i="4"/>
  <c r="J146" i="4"/>
  <c r="H146" i="4"/>
  <c r="G146" i="4"/>
  <c r="F146" i="4"/>
  <c r="E146" i="4"/>
  <c r="D146" i="4"/>
  <c r="C146" i="4"/>
  <c r="B146" i="4"/>
  <c r="A146" i="4"/>
  <c r="J51" i="4"/>
  <c r="H51" i="4"/>
  <c r="G51" i="4"/>
  <c r="F51" i="4"/>
  <c r="E51" i="4"/>
  <c r="D51" i="4"/>
  <c r="C51" i="4"/>
  <c r="B51" i="4"/>
  <c r="A51" i="4"/>
  <c r="J164" i="4"/>
  <c r="H164" i="4"/>
  <c r="G164" i="4"/>
  <c r="F164" i="4"/>
  <c r="E164" i="4"/>
  <c r="D164" i="4"/>
  <c r="C164" i="4"/>
  <c r="B164" i="4"/>
  <c r="A164" i="4"/>
  <c r="J149" i="4"/>
  <c r="H149" i="4"/>
  <c r="G149" i="4"/>
  <c r="F149" i="4"/>
  <c r="E149" i="4"/>
  <c r="D149" i="4"/>
  <c r="C149" i="4"/>
  <c r="B149" i="4"/>
  <c r="A149" i="4"/>
  <c r="J120" i="4"/>
  <c r="H120" i="4"/>
  <c r="G120" i="4"/>
  <c r="F120" i="4"/>
  <c r="E120" i="4"/>
  <c r="D120" i="4"/>
  <c r="C120" i="4"/>
  <c r="B120" i="4"/>
  <c r="A120" i="4"/>
  <c r="J90" i="4"/>
  <c r="H90" i="4"/>
  <c r="G90" i="4"/>
  <c r="F90" i="4"/>
  <c r="E90" i="4"/>
  <c r="D90" i="4"/>
  <c r="C90" i="4"/>
  <c r="B90" i="4"/>
  <c r="A90" i="4"/>
  <c r="J183" i="4"/>
  <c r="H183" i="4"/>
  <c r="G183" i="4"/>
  <c r="F183" i="4"/>
  <c r="E183" i="4"/>
  <c r="D183" i="4"/>
  <c r="C183" i="4"/>
  <c r="B183" i="4"/>
  <c r="A183" i="4"/>
  <c r="J108" i="4"/>
  <c r="H108" i="4"/>
  <c r="G108" i="4"/>
  <c r="F108" i="4"/>
  <c r="E108" i="4"/>
  <c r="D108" i="4"/>
  <c r="C108" i="4"/>
  <c r="B108" i="4"/>
  <c r="A108" i="4"/>
  <c r="J94" i="4"/>
  <c r="H94" i="4"/>
  <c r="G94" i="4"/>
  <c r="F94" i="4"/>
  <c r="E94" i="4"/>
  <c r="D94" i="4"/>
  <c r="C94" i="4"/>
  <c r="B94" i="4"/>
  <c r="A94" i="4"/>
  <c r="J175" i="4"/>
  <c r="H175" i="4"/>
  <c r="G175" i="4"/>
  <c r="F175" i="4"/>
  <c r="E175" i="4"/>
  <c r="D175" i="4"/>
  <c r="C175" i="4"/>
  <c r="B175" i="4"/>
  <c r="A175" i="4"/>
  <c r="J184" i="4"/>
  <c r="H184" i="4"/>
  <c r="G184" i="4"/>
  <c r="F184" i="4"/>
  <c r="E184" i="4"/>
  <c r="D184" i="4"/>
  <c r="C184" i="4"/>
  <c r="B184" i="4"/>
  <c r="A184" i="4"/>
  <c r="J152" i="4"/>
  <c r="H152" i="4"/>
  <c r="G152" i="4"/>
  <c r="F152" i="4"/>
  <c r="E152" i="4"/>
  <c r="D152" i="4"/>
  <c r="C152" i="4"/>
  <c r="B152" i="4"/>
  <c r="A152" i="4"/>
  <c r="J142" i="4"/>
  <c r="H142" i="4"/>
  <c r="G142" i="4"/>
  <c r="F142" i="4"/>
  <c r="E142" i="4"/>
  <c r="D142" i="4"/>
  <c r="C142" i="4"/>
  <c r="B142" i="4"/>
  <c r="A142" i="4"/>
  <c r="J102" i="4"/>
  <c r="H102" i="4"/>
  <c r="G102" i="4"/>
  <c r="F102" i="4"/>
  <c r="E102" i="4"/>
  <c r="D102" i="4"/>
  <c r="C102" i="4"/>
  <c r="B102" i="4"/>
  <c r="A102" i="4"/>
  <c r="J88" i="4"/>
  <c r="H88" i="4"/>
  <c r="G88" i="4"/>
  <c r="F88" i="4"/>
  <c r="E88" i="4"/>
  <c r="D88" i="4"/>
  <c r="C88" i="4"/>
  <c r="B88" i="4"/>
  <c r="A88" i="4"/>
  <c r="J189" i="4"/>
  <c r="H189" i="4"/>
  <c r="G189" i="4"/>
  <c r="F189" i="4"/>
  <c r="E189" i="4"/>
  <c r="D189" i="4"/>
  <c r="C189" i="4"/>
  <c r="B189" i="4"/>
  <c r="A189" i="4"/>
  <c r="J145" i="4"/>
  <c r="H145" i="4"/>
  <c r="G145" i="4"/>
  <c r="F145" i="4"/>
  <c r="E145" i="4"/>
  <c r="D145" i="4"/>
  <c r="C145" i="4"/>
  <c r="B145" i="4"/>
  <c r="A145" i="4"/>
  <c r="J150" i="4"/>
  <c r="H150" i="4"/>
  <c r="G150" i="4"/>
  <c r="F150" i="4"/>
  <c r="E150" i="4"/>
  <c r="D150" i="4"/>
  <c r="C150" i="4"/>
  <c r="B150" i="4"/>
  <c r="A150" i="4"/>
  <c r="J30" i="4"/>
  <c r="H30" i="4"/>
  <c r="G30" i="4"/>
  <c r="F30" i="4"/>
  <c r="E30" i="4"/>
  <c r="D30" i="4"/>
  <c r="C30" i="4"/>
  <c r="B30" i="4"/>
  <c r="A30" i="4"/>
  <c r="J135" i="4"/>
  <c r="H135" i="4"/>
  <c r="G135" i="4"/>
  <c r="F135" i="4"/>
  <c r="E135" i="4"/>
  <c r="D135" i="4"/>
  <c r="C135" i="4"/>
  <c r="B135" i="4"/>
  <c r="A135" i="4"/>
  <c r="J153" i="4"/>
  <c r="H153" i="4"/>
  <c r="G153" i="4"/>
  <c r="F153" i="4"/>
  <c r="E153" i="4"/>
  <c r="D153" i="4"/>
  <c r="C153" i="4"/>
  <c r="B153" i="4"/>
  <c r="A153" i="4"/>
  <c r="J113" i="4"/>
  <c r="H113" i="4"/>
  <c r="G113" i="4"/>
  <c r="F113" i="4"/>
  <c r="E113" i="4"/>
  <c r="D113" i="4"/>
  <c r="C113" i="4"/>
  <c r="B113" i="4"/>
  <c r="A113" i="4"/>
  <c r="J107" i="4"/>
  <c r="H107" i="4"/>
  <c r="G107" i="4"/>
  <c r="F107" i="4"/>
  <c r="E107" i="4"/>
  <c r="D107" i="4"/>
  <c r="C107" i="4"/>
  <c r="B107" i="4"/>
  <c r="A107" i="4"/>
  <c r="J143" i="4"/>
  <c r="H143" i="4"/>
  <c r="G143" i="4"/>
  <c r="F143" i="4"/>
  <c r="E143" i="4"/>
  <c r="D143" i="4"/>
  <c r="C143" i="4"/>
  <c r="B143" i="4"/>
  <c r="A143" i="4"/>
  <c r="J144" i="4"/>
  <c r="H144" i="4"/>
  <c r="G144" i="4"/>
  <c r="F144" i="4"/>
  <c r="E144" i="4"/>
  <c r="D144" i="4"/>
  <c r="C144" i="4"/>
  <c r="B144" i="4"/>
  <c r="A144" i="4"/>
  <c r="J134" i="4"/>
  <c r="H134" i="4"/>
  <c r="G134" i="4"/>
  <c r="F134" i="4"/>
  <c r="E134" i="4"/>
  <c r="D134" i="4"/>
  <c r="C134" i="4"/>
  <c r="B134" i="4"/>
  <c r="A134" i="4"/>
  <c r="J163" i="4"/>
  <c r="H163" i="4"/>
  <c r="G163" i="4"/>
  <c r="F163" i="4"/>
  <c r="E163" i="4"/>
  <c r="D163" i="4"/>
  <c r="C163" i="4"/>
  <c r="B163" i="4"/>
  <c r="A163" i="4"/>
  <c r="J63" i="4"/>
  <c r="H63" i="4"/>
  <c r="G63" i="4"/>
  <c r="F63" i="4"/>
  <c r="E63" i="4"/>
  <c r="D63" i="4"/>
  <c r="C63" i="4"/>
  <c r="B63" i="4"/>
  <c r="A63" i="4"/>
  <c r="J161" i="4"/>
  <c r="H161" i="4"/>
  <c r="G161" i="4"/>
  <c r="F161" i="4"/>
  <c r="E161" i="4"/>
  <c r="D161" i="4"/>
  <c r="C161" i="4"/>
  <c r="B161" i="4"/>
  <c r="A161" i="4"/>
  <c r="J45" i="4"/>
  <c r="H45" i="4"/>
  <c r="G45" i="4"/>
  <c r="F45" i="4"/>
  <c r="E45" i="4"/>
  <c r="D45" i="4"/>
  <c r="C45" i="4"/>
  <c r="B45" i="4"/>
  <c r="A45" i="4"/>
  <c r="J112" i="4"/>
  <c r="H112" i="4"/>
  <c r="G112" i="4"/>
  <c r="F112" i="4"/>
  <c r="E112" i="4"/>
  <c r="D112" i="4"/>
  <c r="C112" i="4"/>
  <c r="B112" i="4"/>
  <c r="A112" i="4"/>
  <c r="J53" i="4"/>
  <c r="H53" i="4"/>
  <c r="G53" i="4"/>
  <c r="F53" i="4"/>
  <c r="E53" i="4"/>
  <c r="D53" i="4"/>
  <c r="C53" i="4"/>
  <c r="B53" i="4"/>
  <c r="A53" i="4"/>
  <c r="J127" i="4"/>
  <c r="H127" i="4"/>
  <c r="G127" i="4"/>
  <c r="F127" i="4"/>
  <c r="E127" i="4"/>
  <c r="D127" i="4"/>
  <c r="C127" i="4"/>
  <c r="B127" i="4"/>
  <c r="A127" i="4"/>
  <c r="J133" i="4"/>
  <c r="H133" i="4"/>
  <c r="G133" i="4"/>
  <c r="F133" i="4"/>
  <c r="E133" i="4"/>
  <c r="D133" i="4"/>
  <c r="C133" i="4"/>
  <c r="B133" i="4"/>
  <c r="A133" i="4"/>
  <c r="J34" i="4"/>
  <c r="H34" i="4"/>
  <c r="G34" i="4"/>
  <c r="F34" i="4"/>
  <c r="E34" i="4"/>
  <c r="D34" i="4"/>
  <c r="C34" i="4"/>
  <c r="B34" i="4"/>
  <c r="A34" i="4"/>
  <c r="J38" i="4"/>
  <c r="H38" i="4"/>
  <c r="G38" i="4"/>
  <c r="F38" i="4"/>
  <c r="E38" i="4"/>
  <c r="D38" i="4"/>
  <c r="C38" i="4"/>
  <c r="B38" i="4"/>
  <c r="A38" i="4"/>
  <c r="J116" i="4"/>
  <c r="H116" i="4"/>
  <c r="G116" i="4"/>
  <c r="F116" i="4"/>
  <c r="E116" i="4"/>
  <c r="D116" i="4"/>
  <c r="C116" i="4"/>
  <c r="B116" i="4"/>
  <c r="A116" i="4"/>
  <c r="J35" i="4"/>
  <c r="H35" i="4"/>
  <c r="G35" i="4"/>
  <c r="F35" i="4"/>
  <c r="E35" i="4"/>
  <c r="D35" i="4"/>
  <c r="C35" i="4"/>
  <c r="B35" i="4"/>
  <c r="A35" i="4"/>
  <c r="J158" i="4"/>
  <c r="H158" i="4"/>
  <c r="G158" i="4"/>
  <c r="F158" i="4"/>
  <c r="E158" i="4"/>
  <c r="D158" i="4"/>
  <c r="C158" i="4"/>
  <c r="B158" i="4"/>
  <c r="A158" i="4"/>
  <c r="J111" i="4"/>
  <c r="H111" i="4"/>
  <c r="G111" i="4"/>
  <c r="F111" i="4"/>
  <c r="E111" i="4"/>
  <c r="D111" i="4"/>
  <c r="C111" i="4"/>
  <c r="B111" i="4"/>
  <c r="A111" i="4"/>
  <c r="J11" i="4"/>
  <c r="H11" i="4"/>
  <c r="G11" i="4"/>
  <c r="F11" i="4"/>
  <c r="E11" i="4"/>
  <c r="D11" i="4"/>
  <c r="C11" i="4"/>
  <c r="B11" i="4"/>
  <c r="A11" i="4"/>
  <c r="J178" i="4"/>
  <c r="H178" i="4"/>
  <c r="G178" i="4"/>
  <c r="F178" i="4"/>
  <c r="E178" i="4"/>
  <c r="D178" i="4"/>
  <c r="C178" i="4"/>
  <c r="B178" i="4"/>
  <c r="A178" i="4"/>
  <c r="J118" i="4"/>
  <c r="H118" i="4"/>
  <c r="G118" i="4"/>
  <c r="F118" i="4"/>
  <c r="E118" i="4"/>
  <c r="D118" i="4"/>
  <c r="C118" i="4"/>
  <c r="B118" i="4"/>
  <c r="A118" i="4"/>
  <c r="J128" i="4"/>
  <c r="H128" i="4"/>
  <c r="G128" i="4"/>
  <c r="F128" i="4"/>
  <c r="E128" i="4"/>
  <c r="D128" i="4"/>
  <c r="C128" i="4"/>
  <c r="B128" i="4"/>
  <c r="A128" i="4"/>
  <c r="J109" i="4"/>
  <c r="H109" i="4"/>
  <c r="G109" i="4"/>
  <c r="F109" i="4"/>
  <c r="E109" i="4"/>
  <c r="D109" i="4"/>
  <c r="C109" i="4"/>
  <c r="B109" i="4"/>
  <c r="A109" i="4"/>
  <c r="J110" i="4"/>
  <c r="H110" i="4"/>
  <c r="G110" i="4"/>
  <c r="F110" i="4"/>
  <c r="E110" i="4"/>
  <c r="D110" i="4"/>
  <c r="C110" i="4"/>
  <c r="B110" i="4"/>
  <c r="A110" i="4"/>
  <c r="J65" i="4"/>
  <c r="H65" i="4"/>
  <c r="G65" i="4"/>
  <c r="F65" i="4"/>
  <c r="E65" i="4"/>
  <c r="D65" i="4"/>
  <c r="C65" i="4"/>
  <c r="B65" i="4"/>
  <c r="A65" i="4"/>
  <c r="J5" i="4"/>
  <c r="H5" i="4"/>
  <c r="G5" i="4"/>
  <c r="F5" i="4"/>
  <c r="E5" i="4"/>
  <c r="D5" i="4"/>
  <c r="C5" i="4"/>
  <c r="B5" i="4"/>
  <c r="A5" i="4"/>
  <c r="J74" i="4"/>
  <c r="H74" i="4"/>
  <c r="G74" i="4"/>
  <c r="F74" i="4"/>
  <c r="E74" i="4"/>
  <c r="D74" i="4"/>
  <c r="C74" i="4"/>
  <c r="B74" i="4"/>
  <c r="A74" i="4"/>
  <c r="J182" i="4"/>
  <c r="H182" i="4"/>
  <c r="G182" i="4"/>
  <c r="F182" i="4"/>
  <c r="E182" i="4"/>
  <c r="D182" i="4"/>
  <c r="C182" i="4"/>
  <c r="B182" i="4"/>
  <c r="A182" i="4"/>
  <c r="J87" i="4"/>
  <c r="H87" i="4"/>
  <c r="G87" i="4"/>
  <c r="F87" i="4"/>
  <c r="E87" i="4"/>
  <c r="D87" i="4"/>
  <c r="C87" i="4"/>
  <c r="B87" i="4"/>
  <c r="A87" i="4"/>
  <c r="J89" i="4"/>
  <c r="H89" i="4"/>
  <c r="G89" i="4"/>
  <c r="F89" i="4"/>
  <c r="E89" i="4"/>
  <c r="D89" i="4"/>
  <c r="C89" i="4"/>
  <c r="B89" i="4"/>
  <c r="A89" i="4"/>
  <c r="J75" i="4"/>
  <c r="H75" i="4"/>
  <c r="G75" i="4"/>
  <c r="F75" i="4"/>
  <c r="E75" i="4"/>
  <c r="D75" i="4"/>
  <c r="C75" i="4"/>
  <c r="B75" i="4"/>
  <c r="A75" i="4"/>
  <c r="J46" i="4"/>
  <c r="H46" i="4"/>
  <c r="G46" i="4"/>
  <c r="F46" i="4"/>
  <c r="E46" i="4"/>
  <c r="D46" i="4"/>
  <c r="C46" i="4"/>
  <c r="B46" i="4"/>
  <c r="A46" i="4"/>
  <c r="J83" i="4"/>
  <c r="H83" i="4"/>
  <c r="G83" i="4"/>
  <c r="F83" i="4"/>
  <c r="E83" i="4"/>
  <c r="D83" i="4"/>
  <c r="C83" i="4"/>
  <c r="B83" i="4"/>
  <c r="A83" i="4"/>
  <c r="J136" i="4"/>
  <c r="H136" i="4"/>
  <c r="G136" i="4"/>
  <c r="F136" i="4"/>
  <c r="E136" i="4"/>
  <c r="D136" i="4"/>
  <c r="C136" i="4"/>
  <c r="B136" i="4"/>
  <c r="A136" i="4"/>
  <c r="J180" i="4"/>
  <c r="H180" i="4"/>
  <c r="G180" i="4"/>
  <c r="F180" i="4"/>
  <c r="E180" i="4"/>
  <c r="D180" i="4"/>
  <c r="C180" i="4"/>
  <c r="B180" i="4"/>
  <c r="A180" i="4"/>
  <c r="J166" i="4"/>
  <c r="H166" i="4"/>
  <c r="G166" i="4"/>
  <c r="F166" i="4"/>
  <c r="E166" i="4"/>
  <c r="D166" i="4"/>
  <c r="C166" i="4"/>
  <c r="B166" i="4"/>
  <c r="A166" i="4"/>
  <c r="J72" i="4"/>
  <c r="H72" i="4"/>
  <c r="G72" i="4"/>
  <c r="F72" i="4"/>
  <c r="E72" i="4"/>
  <c r="D72" i="4"/>
  <c r="C72" i="4"/>
  <c r="B72" i="4"/>
  <c r="A72" i="4"/>
  <c r="J101" i="4"/>
  <c r="H101" i="4"/>
  <c r="G101" i="4"/>
  <c r="F101" i="4"/>
  <c r="E101" i="4"/>
  <c r="D101" i="4"/>
  <c r="C101" i="4"/>
  <c r="B101" i="4"/>
  <c r="A101" i="4"/>
  <c r="J80" i="4"/>
  <c r="H80" i="4"/>
  <c r="G80" i="4"/>
  <c r="F80" i="4"/>
  <c r="E80" i="4"/>
  <c r="D80" i="4"/>
  <c r="C80" i="4"/>
  <c r="B80" i="4"/>
  <c r="A80" i="4"/>
  <c r="J15" i="4"/>
  <c r="H15" i="4"/>
  <c r="G15" i="4"/>
  <c r="F15" i="4"/>
  <c r="E15" i="4"/>
  <c r="D15" i="4"/>
  <c r="C15" i="4"/>
  <c r="B15" i="4"/>
  <c r="A15" i="4"/>
  <c r="J86" i="4"/>
  <c r="H86" i="4"/>
  <c r="G86" i="4"/>
  <c r="F86" i="4"/>
  <c r="E86" i="4"/>
  <c r="D86" i="4"/>
  <c r="C86" i="4"/>
  <c r="B86" i="4"/>
  <c r="A86" i="4"/>
  <c r="J6" i="4"/>
  <c r="H6" i="4"/>
  <c r="G6" i="4"/>
  <c r="F6" i="4"/>
  <c r="E6" i="4"/>
  <c r="D6" i="4"/>
  <c r="C6" i="4"/>
  <c r="B6" i="4"/>
  <c r="A6" i="4"/>
  <c r="J37" i="4"/>
  <c r="H37" i="4"/>
  <c r="G37" i="4"/>
  <c r="F37" i="4"/>
  <c r="E37" i="4"/>
  <c r="D37" i="4"/>
  <c r="C37" i="4"/>
  <c r="B37" i="4"/>
  <c r="A37" i="4"/>
  <c r="J93" i="4"/>
  <c r="H93" i="4"/>
  <c r="G93" i="4"/>
  <c r="F93" i="4"/>
  <c r="E93" i="4"/>
  <c r="D93" i="4"/>
  <c r="C93" i="4"/>
  <c r="B93" i="4"/>
  <c r="A93" i="4"/>
  <c r="J85" i="4"/>
  <c r="H85" i="4"/>
  <c r="G85" i="4"/>
  <c r="F85" i="4"/>
  <c r="E85" i="4"/>
  <c r="D85" i="4"/>
  <c r="C85" i="4"/>
  <c r="B85" i="4"/>
  <c r="A85" i="4"/>
  <c r="J66" i="4"/>
  <c r="H66" i="4"/>
  <c r="G66" i="4"/>
  <c r="F66" i="4"/>
  <c r="E66" i="4"/>
  <c r="D66" i="4"/>
  <c r="C66" i="4"/>
  <c r="B66" i="4"/>
  <c r="A66" i="4"/>
  <c r="J95" i="4"/>
  <c r="H95" i="4"/>
  <c r="G95" i="4"/>
  <c r="F95" i="4"/>
  <c r="E95" i="4"/>
  <c r="D95" i="4"/>
  <c r="C95" i="4"/>
  <c r="B95" i="4"/>
  <c r="A95" i="4"/>
  <c r="J84" i="4"/>
  <c r="H84" i="4"/>
  <c r="G84" i="4"/>
  <c r="F84" i="4"/>
  <c r="E84" i="4"/>
  <c r="D84" i="4"/>
  <c r="C84" i="4"/>
  <c r="B84" i="4"/>
  <c r="A84" i="4"/>
  <c r="J21" i="4"/>
  <c r="H21" i="4"/>
  <c r="G21" i="4"/>
  <c r="F21" i="4"/>
  <c r="E21" i="4"/>
  <c r="D21" i="4"/>
  <c r="C21" i="4"/>
  <c r="B21" i="4"/>
  <c r="A21" i="4"/>
  <c r="J59" i="4"/>
  <c r="H59" i="4"/>
  <c r="G59" i="4"/>
  <c r="F59" i="4"/>
  <c r="E59" i="4"/>
  <c r="D59" i="4"/>
  <c r="C59" i="4"/>
  <c r="B59" i="4"/>
  <c r="A59" i="4"/>
  <c r="J56" i="4"/>
  <c r="H56" i="4"/>
  <c r="G56" i="4"/>
  <c r="F56" i="4"/>
  <c r="E56" i="4"/>
  <c r="D56" i="4"/>
  <c r="C56" i="4"/>
  <c r="B56" i="4"/>
  <c r="A56" i="4"/>
  <c r="J49" i="4"/>
  <c r="H49" i="4"/>
  <c r="G49" i="4"/>
  <c r="F49" i="4"/>
  <c r="E49" i="4"/>
  <c r="D49" i="4"/>
  <c r="C49" i="4"/>
  <c r="B49" i="4"/>
  <c r="A49" i="4"/>
  <c r="J20" i="4"/>
  <c r="H20" i="4"/>
  <c r="G20" i="4"/>
  <c r="F20" i="4"/>
  <c r="E20" i="4"/>
  <c r="D20" i="4"/>
  <c r="C20" i="4"/>
  <c r="B20" i="4"/>
  <c r="A20" i="4"/>
  <c r="J60" i="4"/>
  <c r="H60" i="4"/>
  <c r="G60" i="4"/>
  <c r="F60" i="4"/>
  <c r="E60" i="4"/>
  <c r="D60" i="4"/>
  <c r="C60" i="4"/>
  <c r="B60" i="4"/>
  <c r="A60" i="4"/>
  <c r="J3" i="4"/>
  <c r="H3" i="4"/>
  <c r="G3" i="4"/>
  <c r="F3" i="4"/>
  <c r="E3" i="4"/>
  <c r="D3" i="4"/>
  <c r="C3" i="4"/>
  <c r="B3" i="4"/>
  <c r="A3" i="4"/>
  <c r="J27" i="4"/>
  <c r="H27" i="4"/>
  <c r="G27" i="4"/>
  <c r="F27" i="4"/>
  <c r="E27" i="4"/>
  <c r="D27" i="4"/>
  <c r="C27" i="4"/>
  <c r="B27" i="4"/>
  <c r="A27" i="4"/>
  <c r="J122" i="4"/>
  <c r="H122" i="4"/>
  <c r="G122" i="4"/>
  <c r="F122" i="4"/>
  <c r="E122" i="4"/>
  <c r="D122" i="4"/>
  <c r="C122" i="4"/>
  <c r="B122" i="4"/>
  <c r="A122" i="4"/>
  <c r="J16" i="4"/>
  <c r="H16" i="4"/>
  <c r="G16" i="4"/>
  <c r="F16" i="4"/>
  <c r="E16" i="4"/>
  <c r="D16" i="4"/>
  <c r="C16" i="4"/>
  <c r="B16" i="4"/>
  <c r="A16" i="4"/>
  <c r="J162" i="4"/>
  <c r="H162" i="4"/>
  <c r="G162" i="4"/>
  <c r="F162" i="4"/>
  <c r="E162" i="4"/>
  <c r="D162" i="4"/>
  <c r="C162" i="4"/>
  <c r="B162" i="4"/>
  <c r="A162" i="4"/>
  <c r="J54" i="4"/>
  <c r="H54" i="4"/>
  <c r="G54" i="4"/>
  <c r="F54" i="4"/>
  <c r="E54" i="4"/>
  <c r="D54" i="4"/>
  <c r="C54" i="4"/>
  <c r="B54" i="4"/>
  <c r="A54" i="4"/>
  <c r="J62" i="4"/>
  <c r="H62" i="4"/>
  <c r="G62" i="4"/>
  <c r="F62" i="4"/>
  <c r="E62" i="4"/>
  <c r="D62" i="4"/>
  <c r="C62" i="4"/>
  <c r="B62" i="4"/>
  <c r="A62" i="4"/>
  <c r="J55" i="4"/>
  <c r="H55" i="4"/>
  <c r="G55" i="4"/>
  <c r="F55" i="4"/>
  <c r="E55" i="4"/>
  <c r="D55" i="4"/>
  <c r="C55" i="4"/>
  <c r="B55" i="4"/>
  <c r="A55" i="4"/>
  <c r="J104" i="4"/>
  <c r="H104" i="4"/>
  <c r="G104" i="4"/>
  <c r="F104" i="4"/>
  <c r="E104" i="4"/>
  <c r="D104" i="4"/>
  <c r="C104" i="4"/>
  <c r="B104" i="4"/>
  <c r="A104" i="4"/>
  <c r="J67" i="4"/>
  <c r="H67" i="4"/>
  <c r="G67" i="4"/>
  <c r="F67" i="4"/>
  <c r="E67" i="4"/>
  <c r="D67" i="4"/>
  <c r="C67" i="4"/>
  <c r="B67" i="4"/>
  <c r="A67" i="4"/>
  <c r="J32" i="4"/>
  <c r="H32" i="4"/>
  <c r="G32" i="4"/>
  <c r="F32" i="4"/>
  <c r="E32" i="4"/>
  <c r="D32" i="4"/>
  <c r="C32" i="4"/>
  <c r="B32" i="4"/>
  <c r="A32" i="4"/>
  <c r="J64" i="4"/>
  <c r="H64" i="4"/>
  <c r="G64" i="4"/>
  <c r="F64" i="4"/>
  <c r="E64" i="4"/>
  <c r="D64" i="4"/>
  <c r="C64" i="4"/>
  <c r="B64" i="4"/>
  <c r="A64" i="4"/>
  <c r="J52" i="4"/>
  <c r="H52" i="4"/>
  <c r="G52" i="4"/>
  <c r="F52" i="4"/>
  <c r="E52" i="4"/>
  <c r="D52" i="4"/>
  <c r="C52" i="4"/>
  <c r="B52" i="4"/>
  <c r="A52" i="4"/>
  <c r="J47" i="4"/>
  <c r="H47" i="4"/>
  <c r="G47" i="4"/>
  <c r="F47" i="4"/>
  <c r="E47" i="4"/>
  <c r="D47" i="4"/>
  <c r="C47" i="4"/>
  <c r="B47" i="4"/>
  <c r="A47" i="4"/>
  <c r="J48" i="4"/>
  <c r="H48" i="4"/>
  <c r="G48" i="4"/>
  <c r="F48" i="4"/>
  <c r="E48" i="4"/>
  <c r="D48" i="4"/>
  <c r="C48" i="4"/>
  <c r="B48" i="4"/>
  <c r="A48" i="4"/>
  <c r="J165" i="4"/>
  <c r="H165" i="4"/>
  <c r="G165" i="4"/>
  <c r="F165" i="4"/>
  <c r="E165" i="4"/>
  <c r="D165" i="4"/>
  <c r="C165" i="4"/>
  <c r="B165" i="4"/>
  <c r="A165" i="4"/>
  <c r="J137" i="4"/>
  <c r="H137" i="4"/>
  <c r="G137" i="4"/>
  <c r="F137" i="4"/>
  <c r="E137" i="4"/>
  <c r="D137" i="4"/>
  <c r="C137" i="4"/>
  <c r="B137" i="4"/>
  <c r="A137" i="4"/>
  <c r="J58" i="4"/>
  <c r="H58" i="4"/>
  <c r="G58" i="4"/>
  <c r="F58" i="4"/>
  <c r="E58" i="4"/>
  <c r="D58" i="4"/>
  <c r="C58" i="4"/>
  <c r="B58" i="4"/>
  <c r="A58" i="4"/>
  <c r="J9" i="4"/>
  <c r="H9" i="4"/>
  <c r="G9" i="4"/>
  <c r="F9" i="4"/>
  <c r="E9" i="4"/>
  <c r="D9" i="4"/>
  <c r="C9" i="4"/>
  <c r="B9" i="4"/>
  <c r="A9" i="4"/>
  <c r="J33" i="4"/>
  <c r="H33" i="4"/>
  <c r="G33" i="4"/>
  <c r="F33" i="4"/>
  <c r="E33" i="4"/>
  <c r="D33" i="4"/>
  <c r="C33" i="4"/>
  <c r="B33" i="4"/>
  <c r="A33" i="4"/>
  <c r="J18" i="4"/>
  <c r="H18" i="4"/>
  <c r="G18" i="4"/>
  <c r="F18" i="4"/>
  <c r="E18" i="4"/>
  <c r="D18" i="4"/>
  <c r="C18" i="4"/>
  <c r="B18" i="4"/>
  <c r="A18" i="4"/>
  <c r="J19" i="4"/>
  <c r="H19" i="4"/>
  <c r="G19" i="4"/>
  <c r="F19" i="4"/>
  <c r="E19" i="4"/>
  <c r="D19" i="4"/>
  <c r="C19" i="4"/>
  <c r="B19" i="4"/>
  <c r="A19" i="4"/>
  <c r="J177" i="4"/>
  <c r="H177" i="4"/>
  <c r="G177" i="4"/>
  <c r="F177" i="4"/>
  <c r="E177" i="4"/>
  <c r="D177" i="4"/>
  <c r="C177" i="4"/>
  <c r="B177" i="4"/>
  <c r="A177" i="4"/>
  <c r="J36" i="4"/>
  <c r="H36" i="4"/>
  <c r="G36" i="4"/>
  <c r="F36" i="4"/>
  <c r="E36" i="4"/>
  <c r="D36" i="4"/>
  <c r="C36" i="4"/>
  <c r="B36" i="4"/>
  <c r="A36" i="4"/>
  <c r="J26" i="4"/>
  <c r="H26" i="4"/>
  <c r="G26" i="4"/>
  <c r="F26" i="4"/>
  <c r="E26" i="4"/>
  <c r="D26" i="4"/>
  <c r="C26" i="4"/>
  <c r="B26" i="4"/>
  <c r="A26" i="4"/>
  <c r="J8" i="4"/>
  <c r="H8" i="4"/>
  <c r="G8" i="4"/>
  <c r="F8" i="4"/>
  <c r="E8" i="4"/>
  <c r="D8" i="4"/>
  <c r="C8" i="4"/>
  <c r="B8" i="4"/>
  <c r="A8" i="4"/>
  <c r="J103" i="4"/>
  <c r="H103" i="4"/>
  <c r="G103" i="4"/>
  <c r="F103" i="4"/>
  <c r="E103" i="4"/>
  <c r="D103" i="4"/>
  <c r="C103" i="4"/>
  <c r="B103" i="4"/>
  <c r="A103" i="4"/>
  <c r="J179" i="4"/>
  <c r="H179" i="4"/>
  <c r="G179" i="4"/>
  <c r="F179" i="4"/>
  <c r="E179" i="4"/>
  <c r="D179" i="4"/>
  <c r="C179" i="4"/>
  <c r="B179" i="4"/>
  <c r="A179" i="4"/>
  <c r="J125" i="4"/>
  <c r="H125" i="4"/>
  <c r="G125" i="4"/>
  <c r="F125" i="4"/>
  <c r="E125" i="4"/>
  <c r="D125" i="4"/>
  <c r="C125" i="4"/>
  <c r="B125" i="4"/>
  <c r="A125" i="4"/>
  <c r="J44" i="4"/>
  <c r="H44" i="4"/>
  <c r="G44" i="4"/>
  <c r="F44" i="4"/>
  <c r="E44" i="4"/>
  <c r="D44" i="4"/>
  <c r="C44" i="4"/>
  <c r="B44" i="4"/>
  <c r="A44" i="4"/>
  <c r="J92" i="4"/>
  <c r="H92" i="4"/>
  <c r="G92" i="4"/>
  <c r="F92" i="4"/>
  <c r="E92" i="4"/>
  <c r="D92" i="4"/>
  <c r="C92" i="4"/>
  <c r="B92" i="4"/>
  <c r="A92" i="4"/>
  <c r="J25" i="4"/>
  <c r="H25" i="4"/>
  <c r="G25" i="4"/>
  <c r="F25" i="4"/>
  <c r="E25" i="4"/>
  <c r="D25" i="4"/>
  <c r="C25" i="4"/>
  <c r="B25" i="4"/>
  <c r="A25" i="4"/>
  <c r="J29" i="4"/>
  <c r="H29" i="4"/>
  <c r="G29" i="4"/>
  <c r="F29" i="4"/>
  <c r="E29" i="4"/>
  <c r="D29" i="4"/>
  <c r="C29" i="4"/>
  <c r="B29" i="4"/>
  <c r="A29" i="4"/>
  <c r="J169" i="4"/>
  <c r="H169" i="4"/>
  <c r="G169" i="4"/>
  <c r="F169" i="4"/>
  <c r="E169" i="4"/>
  <c r="D169" i="4"/>
  <c r="C169" i="4"/>
  <c r="B169" i="4"/>
  <c r="A169" i="4"/>
  <c r="J115" i="4"/>
  <c r="H115" i="4"/>
  <c r="G115" i="4"/>
  <c r="F115" i="4"/>
  <c r="E115" i="4"/>
  <c r="D115" i="4"/>
  <c r="C115" i="4"/>
  <c r="B115" i="4"/>
  <c r="A115" i="4"/>
  <c r="J61" i="4"/>
  <c r="H61" i="4"/>
  <c r="G61" i="4"/>
  <c r="F61" i="4"/>
  <c r="E61" i="4"/>
  <c r="D61" i="4"/>
  <c r="C61" i="4"/>
  <c r="B61" i="4"/>
  <c r="A61" i="4"/>
  <c r="J119" i="4"/>
  <c r="H119" i="4"/>
  <c r="G119" i="4"/>
  <c r="F119" i="4"/>
  <c r="E119" i="4"/>
  <c r="D119" i="4"/>
  <c r="C119" i="4"/>
  <c r="B119" i="4"/>
  <c r="A119" i="4"/>
  <c r="J139" i="4"/>
  <c r="H139" i="4"/>
  <c r="G139" i="4"/>
  <c r="F139" i="4"/>
  <c r="E139" i="4"/>
  <c r="D139" i="4"/>
  <c r="C139" i="4"/>
  <c r="B139" i="4"/>
  <c r="A139" i="4"/>
  <c r="J43" i="4"/>
  <c r="H43" i="4"/>
  <c r="G43" i="4"/>
  <c r="F43" i="4"/>
  <c r="E43" i="4"/>
  <c r="D43" i="4"/>
  <c r="C43" i="4"/>
  <c r="B43" i="4"/>
  <c r="A43" i="4"/>
  <c r="J42" i="4"/>
  <c r="H42" i="4"/>
  <c r="G42" i="4"/>
  <c r="F42" i="4"/>
  <c r="E42" i="4"/>
  <c r="D42" i="4"/>
  <c r="C42" i="4"/>
  <c r="B42" i="4"/>
  <c r="A42" i="4"/>
  <c r="J28" i="4"/>
  <c r="H28" i="4"/>
  <c r="G28" i="4"/>
  <c r="F28" i="4"/>
  <c r="E28" i="4"/>
  <c r="D28" i="4"/>
  <c r="C28" i="4"/>
  <c r="B28" i="4"/>
  <c r="A28" i="4"/>
  <c r="J12" i="4"/>
  <c r="H12" i="4"/>
  <c r="G12" i="4"/>
  <c r="F12" i="4"/>
  <c r="E12" i="4"/>
  <c r="D12" i="4"/>
  <c r="C12" i="4"/>
  <c r="B12" i="4"/>
  <c r="A12" i="4"/>
  <c r="J186" i="4"/>
  <c r="H186" i="4"/>
  <c r="G186" i="4"/>
  <c r="F186" i="4"/>
  <c r="E186" i="4"/>
  <c r="D186" i="4"/>
  <c r="C186" i="4"/>
  <c r="B186" i="4"/>
  <c r="A186" i="4"/>
  <c r="J123" i="4"/>
  <c r="H123" i="4"/>
  <c r="G123" i="4"/>
  <c r="F123" i="4"/>
  <c r="E123" i="4"/>
  <c r="D123" i="4"/>
  <c r="C123" i="4"/>
  <c r="B123" i="4"/>
  <c r="A123" i="4"/>
  <c r="J23" i="4"/>
  <c r="H23" i="4"/>
  <c r="G23" i="4"/>
  <c r="F23" i="4"/>
  <c r="E23" i="4"/>
  <c r="D23" i="4"/>
  <c r="C23" i="4"/>
  <c r="B23" i="4"/>
  <c r="A23" i="4"/>
  <c r="J17" i="4"/>
  <c r="H17" i="4"/>
  <c r="G17" i="4"/>
  <c r="F17" i="4"/>
  <c r="E17" i="4"/>
  <c r="D17" i="4"/>
  <c r="C17" i="4"/>
  <c r="B17" i="4"/>
  <c r="A17" i="4"/>
  <c r="J4" i="4"/>
  <c r="H4" i="4"/>
  <c r="G4" i="4"/>
  <c r="F4" i="4"/>
  <c r="E4" i="4"/>
  <c r="D4" i="4"/>
  <c r="C4" i="4"/>
  <c r="B4" i="4"/>
  <c r="A4" i="4"/>
  <c r="J147" i="4"/>
  <c r="H147" i="4"/>
  <c r="G147" i="4"/>
  <c r="F147" i="4"/>
  <c r="E147" i="4"/>
  <c r="D147" i="4"/>
  <c r="C147" i="4"/>
  <c r="B147" i="4"/>
  <c r="A147" i="4"/>
  <c r="J41" i="4"/>
  <c r="H41" i="4"/>
  <c r="G41" i="4"/>
  <c r="F41" i="4"/>
  <c r="E41" i="4"/>
  <c r="D41" i="4"/>
  <c r="C41" i="4"/>
  <c r="B41" i="4"/>
  <c r="A41" i="4"/>
  <c r="J81" i="4"/>
  <c r="H81" i="4"/>
  <c r="G81" i="4"/>
  <c r="F81" i="4"/>
  <c r="E81" i="4"/>
  <c r="D81" i="4"/>
  <c r="C81" i="4"/>
  <c r="B81" i="4"/>
  <c r="A81" i="4"/>
  <c r="J10" i="4"/>
  <c r="H10" i="4"/>
  <c r="G10" i="4"/>
  <c r="F10" i="4"/>
  <c r="E10" i="4"/>
  <c r="D10" i="4"/>
  <c r="C10" i="4"/>
  <c r="B10" i="4"/>
  <c r="A10" i="4"/>
  <c r="J39" i="4"/>
  <c r="H39" i="4"/>
  <c r="G39" i="4"/>
  <c r="F39" i="4"/>
  <c r="E39" i="4"/>
  <c r="D39" i="4"/>
  <c r="C39" i="4"/>
  <c r="B39" i="4"/>
  <c r="A39" i="4"/>
  <c r="J76" i="4"/>
  <c r="H76" i="4"/>
  <c r="G76" i="4"/>
  <c r="F76" i="4"/>
  <c r="E76" i="4"/>
  <c r="D76" i="4"/>
  <c r="C76" i="4"/>
  <c r="B76" i="4"/>
  <c r="A76" i="4"/>
  <c r="J174" i="4"/>
  <c r="H174" i="4"/>
  <c r="G174" i="4"/>
  <c r="F174" i="4"/>
  <c r="E174" i="4"/>
  <c r="D174" i="4"/>
  <c r="C174" i="4"/>
  <c r="B174" i="4"/>
  <c r="A174" i="4"/>
  <c r="J151" i="4"/>
  <c r="H151" i="4"/>
  <c r="G151" i="4"/>
  <c r="F151" i="4"/>
  <c r="E151" i="4"/>
  <c r="D151" i="4"/>
  <c r="C151" i="4"/>
  <c r="B151" i="4"/>
  <c r="A151" i="4"/>
  <c r="J73" i="4"/>
  <c r="H73" i="4"/>
  <c r="G73" i="4"/>
  <c r="F73" i="4"/>
  <c r="E73" i="4"/>
  <c r="D73" i="4"/>
  <c r="C73" i="4"/>
  <c r="B73" i="4"/>
  <c r="A73" i="4"/>
  <c r="J141" i="4"/>
  <c r="H141" i="4"/>
  <c r="G141" i="4"/>
  <c r="F141" i="4"/>
  <c r="E141" i="4"/>
  <c r="D141" i="4"/>
  <c r="C141" i="4"/>
  <c r="B141" i="4"/>
  <c r="A141" i="4"/>
  <c r="J98" i="4"/>
  <c r="H98" i="4"/>
  <c r="G98" i="4"/>
  <c r="F98" i="4"/>
  <c r="E98" i="4"/>
  <c r="D98" i="4"/>
  <c r="C98" i="4"/>
  <c r="B98" i="4"/>
  <c r="A98" i="4"/>
  <c r="J100" i="4"/>
  <c r="H100" i="4"/>
  <c r="G100" i="4"/>
  <c r="F100" i="4"/>
  <c r="E100" i="4"/>
  <c r="D100" i="4"/>
  <c r="C100" i="4"/>
  <c r="B100" i="4"/>
  <c r="A100" i="4"/>
  <c r="J31" i="4"/>
  <c r="H31" i="4"/>
  <c r="G31" i="4"/>
  <c r="F31" i="4"/>
  <c r="E31" i="4"/>
  <c r="D31" i="4"/>
  <c r="C31" i="4"/>
  <c r="B31" i="4"/>
  <c r="A31" i="4"/>
  <c r="J82" i="4"/>
  <c r="H82" i="4"/>
  <c r="G82" i="4"/>
  <c r="F82" i="4"/>
  <c r="E82" i="4"/>
  <c r="D82" i="4"/>
  <c r="C82" i="4"/>
  <c r="B82" i="4"/>
  <c r="A82" i="4"/>
  <c r="J190" i="4"/>
  <c r="H190" i="4"/>
  <c r="G190" i="4"/>
  <c r="F190" i="4"/>
  <c r="E190" i="4"/>
  <c r="D190" i="4"/>
  <c r="C190" i="4"/>
  <c r="B190" i="4"/>
  <c r="A190" i="4"/>
  <c r="J140" i="4"/>
  <c r="H140" i="4"/>
  <c r="G140" i="4"/>
  <c r="F140" i="4"/>
  <c r="E140" i="4"/>
  <c r="D140" i="4"/>
  <c r="C140" i="4"/>
  <c r="B140" i="4"/>
  <c r="A140" i="4"/>
  <c r="J24" i="4"/>
  <c r="H24" i="4"/>
  <c r="G24" i="4"/>
  <c r="F24" i="4"/>
  <c r="E24" i="4"/>
  <c r="D24" i="4"/>
  <c r="C24" i="4"/>
  <c r="B24" i="4"/>
  <c r="A24" i="4"/>
  <c r="J99" i="4"/>
  <c r="H99" i="4"/>
  <c r="G99" i="4"/>
  <c r="F99" i="4"/>
  <c r="E99" i="4"/>
  <c r="D99" i="4"/>
  <c r="C99" i="4"/>
  <c r="B99" i="4"/>
  <c r="A99" i="4"/>
  <c r="J117" i="4"/>
  <c r="H117" i="4"/>
  <c r="G117" i="4"/>
  <c r="F117" i="4"/>
  <c r="E117" i="4"/>
  <c r="D117" i="4"/>
  <c r="C117" i="4"/>
  <c r="B117" i="4"/>
  <c r="A117" i="4"/>
  <c r="J124" i="4"/>
  <c r="H124" i="4"/>
  <c r="G124" i="4"/>
  <c r="F124" i="4"/>
  <c r="E124" i="4"/>
  <c r="D124" i="4"/>
  <c r="C124" i="4"/>
  <c r="B124" i="4"/>
  <c r="A124" i="4"/>
  <c r="J181" i="4"/>
  <c r="H181" i="4"/>
  <c r="G181" i="4"/>
  <c r="F181" i="4"/>
  <c r="E181" i="4"/>
  <c r="D181" i="4"/>
  <c r="C181" i="4"/>
  <c r="B181" i="4"/>
  <c r="A181" i="4"/>
  <c r="J71" i="4"/>
  <c r="H71" i="4"/>
  <c r="G71" i="4"/>
  <c r="F71" i="4"/>
  <c r="E71" i="4"/>
  <c r="D71" i="4"/>
  <c r="C71" i="4"/>
  <c r="B71" i="4"/>
  <c r="A71" i="4"/>
  <c r="J57" i="4"/>
  <c r="H57" i="4"/>
  <c r="G57" i="4"/>
  <c r="F57" i="4"/>
  <c r="E57" i="4"/>
  <c r="D57" i="4"/>
  <c r="C57" i="4"/>
  <c r="B57" i="4"/>
  <c r="A57" i="4"/>
  <c r="J40" i="4"/>
  <c r="H40" i="4"/>
  <c r="G40" i="4"/>
  <c r="F40" i="4"/>
  <c r="E40" i="4"/>
  <c r="D40" i="4"/>
  <c r="C40" i="4"/>
  <c r="B40" i="4"/>
  <c r="A40" i="4"/>
  <c r="J77" i="4"/>
  <c r="H77" i="4"/>
  <c r="G77" i="4"/>
  <c r="F77" i="4"/>
  <c r="E77" i="4"/>
  <c r="D77" i="4"/>
  <c r="C77" i="4"/>
  <c r="B77" i="4"/>
  <c r="A77" i="4"/>
  <c r="J22" i="4"/>
  <c r="H22" i="4"/>
  <c r="G22" i="4"/>
  <c r="F22" i="4"/>
  <c r="E22" i="4"/>
  <c r="D22" i="4"/>
  <c r="C22" i="4"/>
  <c r="B22" i="4"/>
  <c r="A22" i="4"/>
  <c r="J13" i="4"/>
  <c r="H13" i="4"/>
  <c r="G13" i="4"/>
  <c r="F13" i="4"/>
  <c r="E13" i="4"/>
  <c r="D13" i="4"/>
  <c r="C13" i="4"/>
  <c r="B13" i="4"/>
  <c r="A13" i="4"/>
  <c r="J185" i="4"/>
  <c r="H185" i="4"/>
  <c r="G185" i="4"/>
  <c r="F185" i="4"/>
  <c r="E185" i="4"/>
  <c r="D185" i="4"/>
  <c r="C185" i="4"/>
  <c r="B185" i="4"/>
  <c r="A185" i="4"/>
  <c r="J176" i="4"/>
  <c r="H176" i="4"/>
  <c r="G176" i="4"/>
  <c r="F176" i="4"/>
  <c r="E176" i="4"/>
  <c r="D176" i="4"/>
  <c r="C176" i="4"/>
  <c r="B176" i="4"/>
  <c r="A176" i="4"/>
  <c r="J50" i="4"/>
  <c r="H50" i="4"/>
  <c r="G50" i="4"/>
  <c r="F50" i="4"/>
  <c r="E50" i="4"/>
  <c r="D50" i="4"/>
  <c r="C50" i="4"/>
  <c r="B50" i="4"/>
  <c r="A50" i="4"/>
  <c r="J126" i="4"/>
  <c r="H126" i="4"/>
  <c r="G126" i="4"/>
  <c r="F126" i="4"/>
  <c r="E126" i="4"/>
  <c r="D126" i="4"/>
  <c r="C126" i="4"/>
  <c r="B126" i="4"/>
  <c r="A126" i="4"/>
  <c r="J97" i="4"/>
  <c r="H97" i="4"/>
  <c r="G97" i="4"/>
  <c r="F97" i="4"/>
  <c r="E97" i="4"/>
  <c r="D97" i="4"/>
  <c r="C97" i="4"/>
  <c r="B97" i="4"/>
  <c r="A97" i="4"/>
  <c r="J148" i="4"/>
  <c r="H148" i="4"/>
  <c r="G148" i="4"/>
  <c r="F148" i="4"/>
  <c r="E148" i="4"/>
  <c r="D148" i="4"/>
  <c r="C148" i="4"/>
  <c r="B148" i="4"/>
  <c r="A148" i="4"/>
  <c r="J91" i="4"/>
  <c r="H91" i="4"/>
  <c r="G91" i="4"/>
  <c r="F91" i="4"/>
  <c r="E91" i="4"/>
  <c r="D91" i="4"/>
  <c r="C91" i="4"/>
  <c r="B91" i="4"/>
  <c r="A91" i="4"/>
  <c r="J14" i="4"/>
  <c r="H14" i="4"/>
  <c r="G14" i="4"/>
  <c r="F14" i="4"/>
  <c r="E14" i="4"/>
  <c r="D14" i="4"/>
  <c r="C14" i="4"/>
  <c r="B14" i="4"/>
  <c r="A14" i="4"/>
  <c r="J96" i="4"/>
  <c r="H96" i="4"/>
  <c r="G96" i="4"/>
  <c r="F96" i="4"/>
  <c r="E96" i="4"/>
  <c r="D96" i="4"/>
  <c r="C96" i="4"/>
  <c r="B96" i="4"/>
  <c r="A96" i="4"/>
  <c r="J106" i="4"/>
  <c r="H106" i="4"/>
  <c r="G106" i="4"/>
  <c r="F106" i="4"/>
  <c r="E106" i="4"/>
  <c r="D106" i="4"/>
  <c r="C106" i="4"/>
  <c r="B106" i="4"/>
  <c r="A106" i="4"/>
  <c r="J188" i="4"/>
  <c r="H188" i="4"/>
  <c r="G188" i="4"/>
  <c r="F188" i="4"/>
  <c r="E188" i="4"/>
  <c r="D188" i="4"/>
  <c r="C188" i="4"/>
  <c r="B188" i="4"/>
  <c r="A188" i="4"/>
  <c r="J7" i="4"/>
  <c r="H7" i="4"/>
  <c r="G7" i="4"/>
  <c r="F7" i="4"/>
  <c r="E7" i="4"/>
  <c r="D7" i="4"/>
  <c r="C7" i="4"/>
  <c r="B7" i="4"/>
  <c r="A7" i="4"/>
  <c r="J105" i="4"/>
  <c r="H105" i="4"/>
  <c r="G105" i="4"/>
  <c r="F105" i="4"/>
  <c r="E105" i="4"/>
  <c r="D105" i="4"/>
  <c r="C105" i="4"/>
  <c r="B105" i="4"/>
  <c r="A105" i="4"/>
  <c r="J114" i="4"/>
  <c r="H114" i="4"/>
  <c r="G114" i="4"/>
  <c r="F114" i="4"/>
  <c r="E114" i="4"/>
  <c r="D114" i="4"/>
  <c r="C114" i="4"/>
  <c r="B114" i="4"/>
  <c r="A114" i="4"/>
  <c r="J187" i="4"/>
  <c r="H187" i="4"/>
  <c r="G187" i="4"/>
  <c r="F187" i="4"/>
  <c r="E187" i="4"/>
  <c r="C187" i="4"/>
  <c r="B187" i="4"/>
  <c r="A187" i="4"/>
  <c r="L8" i="3" l="1" a="1"/>
  <c r="L8" i="3" s="1"/>
  <c r="L11" i="3" a="1"/>
  <c r="L11" i="3" s="1"/>
  <c r="L21" i="3" a="1"/>
  <c r="L21" i="3" s="1"/>
  <c r="L18" i="3" a="1"/>
  <c r="L18" i="3" s="1"/>
  <c r="L13" i="3" a="1"/>
  <c r="L13" i="3" s="1"/>
  <c r="L10" i="3" a="1"/>
  <c r="L10" i="3" s="1"/>
  <c r="L20" i="3" a="1"/>
  <c r="L20" i="3" s="1"/>
  <c r="L17" i="3" a="1"/>
  <c r="L17" i="3" s="1"/>
  <c r="L12" i="3" a="1"/>
  <c r="L12" i="3" s="1"/>
  <c r="L9" i="3" a="1"/>
  <c r="L9" i="3" s="1"/>
  <c r="L19" i="3" a="1"/>
  <c r="L19" i="3" s="1"/>
  <c r="L16" i="3" a="1"/>
  <c r="L16" i="3" s="1"/>
  <c r="L15" i="3" a="1"/>
  <c r="L15" i="3" s="1"/>
  <c r="L14" i="3" a="1"/>
  <c r="L14" i="3" s="1"/>
  <c r="K68" i="4"/>
  <c r="K130" i="4"/>
  <c r="I125" i="4"/>
  <c r="I115" i="4"/>
  <c r="I177" i="4"/>
  <c r="I181" i="4"/>
  <c r="I4" i="4"/>
  <c r="I169" i="4"/>
  <c r="I21" i="4"/>
  <c r="I182" i="4"/>
  <c r="I29" i="4"/>
  <c r="I43" i="4"/>
  <c r="I91" i="4"/>
  <c r="I55" i="4"/>
  <c r="I19" i="4"/>
  <c r="I66" i="4"/>
  <c r="I103" i="4"/>
  <c r="I114" i="4"/>
  <c r="I118" i="4"/>
  <c r="I25" i="4"/>
  <c r="I48" i="4"/>
  <c r="I128" i="4"/>
  <c r="I185" i="4"/>
  <c r="I26" i="4"/>
  <c r="I165" i="4"/>
  <c r="I84" i="4"/>
  <c r="I190" i="4"/>
  <c r="I174" i="4"/>
  <c r="I36" i="4"/>
  <c r="I158" i="4"/>
  <c r="I44" i="4"/>
  <c r="I122" i="4"/>
  <c r="I20" i="4"/>
  <c r="I13" i="4"/>
  <c r="I92" i="4"/>
  <c r="I105" i="4"/>
  <c r="I119" i="4"/>
  <c r="I58" i="4"/>
  <c r="I15" i="4"/>
  <c r="I17" i="4"/>
  <c r="I28" i="4"/>
  <c r="I111" i="4"/>
  <c r="I179" i="4"/>
  <c r="I166" i="4"/>
  <c r="I109" i="4"/>
  <c r="I11" i="4"/>
  <c r="I139" i="4"/>
  <c r="I33" i="4"/>
  <c r="I27" i="4"/>
  <c r="I67" i="4"/>
  <c r="I93" i="4"/>
  <c r="I5" i="4"/>
  <c r="I178" i="4"/>
  <c r="I42" i="4"/>
  <c r="I72" i="4"/>
  <c r="I65" i="4"/>
  <c r="I110" i="4"/>
  <c r="I46" i="4"/>
  <c r="I73" i="4"/>
  <c r="I14" i="4"/>
  <c r="I49" i="4"/>
  <c r="I68" i="4"/>
  <c r="I138" i="4"/>
  <c r="I142" i="4"/>
  <c r="I156" i="4"/>
  <c r="I149" i="4"/>
  <c r="I184" i="4"/>
  <c r="I164" i="4"/>
  <c r="I160" i="4"/>
  <c r="I18" i="4"/>
  <c r="I145" i="4"/>
  <c r="I61" i="4"/>
  <c r="I16" i="4"/>
  <c r="I59" i="4"/>
  <c r="I136" i="4"/>
  <c r="I82" i="4"/>
  <c r="I47" i="4"/>
  <c r="I101" i="4"/>
  <c r="I88" i="4"/>
  <c r="I183" i="4"/>
  <c r="I159" i="4"/>
  <c r="I157" i="4"/>
  <c r="I76" i="4"/>
  <c r="I39" i="4"/>
  <c r="I120" i="4"/>
  <c r="I31" i="4"/>
  <c r="I9" i="4"/>
  <c r="I106" i="4"/>
  <c r="I77" i="4"/>
  <c r="I98" i="4"/>
  <c r="I186" i="4"/>
  <c r="I126" i="4"/>
  <c r="I24" i="4"/>
  <c r="I141" i="4"/>
  <c r="I81" i="4"/>
  <c r="I137" i="4"/>
  <c r="I64" i="4"/>
  <c r="I54" i="4"/>
  <c r="I60" i="4"/>
  <c r="I12" i="4"/>
  <c r="I8" i="4"/>
  <c r="I155" i="4"/>
  <c r="I56" i="4"/>
  <c r="I80" i="4"/>
  <c r="I112" i="4"/>
  <c r="I134" i="4"/>
  <c r="I94" i="4"/>
  <c r="I146" i="4"/>
  <c r="I168" i="4"/>
  <c r="I154" i="4"/>
  <c r="I37" i="4"/>
  <c r="I89" i="4"/>
  <c r="I34" i="4"/>
  <c r="I144" i="4"/>
  <c r="I135" i="4"/>
  <c r="I189" i="4"/>
  <c r="I108" i="4"/>
  <c r="I78" i="4"/>
  <c r="I171" i="4"/>
  <c r="I130" i="4"/>
  <c r="I104" i="4"/>
  <c r="I133" i="4"/>
  <c r="I45" i="4"/>
  <c r="I143" i="4"/>
  <c r="I30" i="4"/>
  <c r="I131" i="4"/>
  <c r="I124" i="4"/>
  <c r="I7" i="4"/>
  <c r="I148" i="4"/>
  <c r="I117" i="4"/>
  <c r="I23" i="4"/>
  <c r="I188" i="4"/>
  <c r="I97" i="4"/>
  <c r="I22" i="4"/>
  <c r="I99" i="4"/>
  <c r="I100" i="4"/>
  <c r="I10" i="4"/>
  <c r="I123" i="4"/>
  <c r="I52" i="4"/>
  <c r="I6" i="4"/>
  <c r="I83" i="4"/>
  <c r="I87" i="4"/>
  <c r="I127" i="4"/>
  <c r="I107" i="4"/>
  <c r="I102" i="4"/>
  <c r="I90" i="4"/>
  <c r="I129" i="4"/>
  <c r="I173" i="4"/>
  <c r="I132" i="4"/>
  <c r="I62" i="4"/>
  <c r="I3" i="4"/>
  <c r="I161" i="4"/>
  <c r="I113" i="4"/>
  <c r="I121" i="4"/>
  <c r="I79" i="4"/>
  <c r="I40" i="4"/>
  <c r="I95" i="4"/>
  <c r="I86" i="4"/>
  <c r="I35" i="4"/>
  <c r="I153" i="4"/>
  <c r="I152" i="4"/>
  <c r="I167" i="4"/>
  <c r="I170" i="4"/>
  <c r="I116" i="4"/>
  <c r="I53" i="4"/>
  <c r="I63" i="4"/>
  <c r="I70" i="4"/>
  <c r="I96" i="4"/>
  <c r="I50" i="4"/>
  <c r="I57" i="4"/>
  <c r="I41" i="4"/>
  <c r="I187" i="4"/>
  <c r="I176" i="4"/>
  <c r="I71" i="4"/>
  <c r="I140" i="4"/>
  <c r="I151" i="4"/>
  <c r="I147" i="4"/>
  <c r="I32" i="4"/>
  <c r="I162" i="4"/>
  <c r="I85" i="4"/>
  <c r="I180" i="4"/>
  <c r="I75" i="4"/>
  <c r="I74" i="4"/>
  <c r="I38" i="4"/>
  <c r="I163" i="4"/>
  <c r="I150" i="4"/>
  <c r="I175" i="4"/>
  <c r="I51" i="4"/>
  <c r="I172" i="4"/>
  <c r="I69" i="4"/>
  <c r="K114" i="4" l="1"/>
  <c r="J4" i="3"/>
  <c r="K4" i="3"/>
  <c r="G4" i="3"/>
  <c r="H4" i="3"/>
  <c r="I4" i="3"/>
  <c r="L4" i="3"/>
  <c r="K126" i="4"/>
  <c r="K174" i="4"/>
  <c r="K165" i="4"/>
  <c r="K12" i="4"/>
  <c r="K43" i="4"/>
  <c r="K136" i="4"/>
  <c r="K161" i="4"/>
  <c r="K55" i="4"/>
  <c r="K89" i="4"/>
  <c r="K83" i="4"/>
  <c r="K129" i="4"/>
  <c r="K116" i="4"/>
  <c r="K19" i="4"/>
  <c r="K62" i="4"/>
  <c r="K42" i="4"/>
  <c r="K47" i="4"/>
  <c r="K190" i="4"/>
  <c r="K158" i="4"/>
  <c r="K115" i="4"/>
  <c r="K87" i="4"/>
  <c r="K185" i="4"/>
  <c r="K125" i="4"/>
  <c r="K133" i="4"/>
  <c r="K52" i="4"/>
  <c r="K5" i="4"/>
  <c r="K74" i="4"/>
  <c r="K101" i="4"/>
  <c r="K104" i="4"/>
  <c r="K79" i="4"/>
  <c r="K65" i="4"/>
  <c r="K144" i="4"/>
  <c r="K22" i="4"/>
  <c r="K119" i="4"/>
  <c r="K121" i="4"/>
  <c r="K76" i="4"/>
  <c r="K118" i="4"/>
  <c r="K134" i="4"/>
  <c r="K48" i="4"/>
  <c r="K63" i="4"/>
  <c r="K178" i="4"/>
  <c r="K107" i="4"/>
  <c r="K29" i="4"/>
  <c r="K34" i="4"/>
  <c r="K36" i="4"/>
  <c r="K10" i="4"/>
  <c r="K3" i="4"/>
  <c r="K46" i="4"/>
  <c r="K26" i="4"/>
  <c r="K103" i="4"/>
  <c r="K57" i="4"/>
  <c r="K9" i="4"/>
  <c r="K169" i="4"/>
  <c r="K163" i="4"/>
  <c r="K179" i="4"/>
  <c r="K113" i="4"/>
  <c r="K67" i="4"/>
  <c r="K135" i="4"/>
  <c r="K56" i="4"/>
  <c r="K37" i="4"/>
  <c r="K71" i="4"/>
  <c r="K64" i="4"/>
  <c r="K32" i="4"/>
  <c r="K60" i="4"/>
  <c r="K122" i="4"/>
  <c r="K59" i="4"/>
  <c r="K77" i="4"/>
  <c r="K40" i="4"/>
  <c r="K81" i="4"/>
  <c r="K154" i="4"/>
  <c r="K160" i="4"/>
  <c r="K94" i="4"/>
  <c r="K176" i="4"/>
  <c r="K167" i="4"/>
  <c r="K45" i="4"/>
  <c r="K100" i="4"/>
  <c r="K124" i="4"/>
  <c r="K41" i="4"/>
  <c r="K21" i="4"/>
  <c r="K147" i="4"/>
  <c r="K61" i="4"/>
  <c r="K53" i="4"/>
  <c r="K66" i="4"/>
  <c r="K112" i="4"/>
  <c r="K38" i="4"/>
  <c r="K80" i="4"/>
  <c r="K92" i="4"/>
  <c r="K75" i="4"/>
  <c r="K127" i="4"/>
  <c r="K186" i="4"/>
  <c r="K111" i="4"/>
  <c r="K173" i="4"/>
  <c r="K139" i="4"/>
  <c r="K23" i="4"/>
  <c r="K16" i="4"/>
  <c r="K84" i="4"/>
  <c r="K162" i="4"/>
  <c r="K146" i="4"/>
  <c r="K72" i="4"/>
  <c r="K25" i="4"/>
  <c r="K168" i="4"/>
  <c r="K141" i="4"/>
  <c r="K109" i="4"/>
  <c r="K170" i="4"/>
  <c r="K166" i="4"/>
  <c r="K17" i="4"/>
  <c r="K157" i="4"/>
  <c r="K110" i="4"/>
  <c r="K13" i="4"/>
  <c r="K97" i="4"/>
  <c r="K140" i="4"/>
  <c r="K90" i="4"/>
  <c r="K150" i="4"/>
  <c r="K7" i="4"/>
  <c r="K88" i="4"/>
  <c r="K145" i="4"/>
  <c r="K98" i="4"/>
  <c r="K120" i="4"/>
  <c r="K187" i="4"/>
  <c r="K82" i="4"/>
  <c r="K99" i="4"/>
  <c r="K73" i="4"/>
  <c r="K39" i="4"/>
  <c r="K50" i="4"/>
  <c r="K128" i="4"/>
  <c r="K180" i="4"/>
  <c r="K108" i="4"/>
  <c r="K182" i="4"/>
  <c r="K8" i="4"/>
  <c r="K15" i="4"/>
  <c r="K164" i="4"/>
  <c r="K149" i="4"/>
  <c r="K132" i="4"/>
  <c r="K58" i="4"/>
  <c r="K159" i="4"/>
  <c r="K175" i="4"/>
  <c r="K106" i="4"/>
  <c r="K95" i="4"/>
  <c r="K4" i="4"/>
  <c r="K11" i="4"/>
  <c r="K30" i="4"/>
  <c r="K44" i="4"/>
  <c r="K181" i="4"/>
  <c r="K14" i="4"/>
  <c r="K172" i="4"/>
  <c r="K137" i="4"/>
  <c r="K49" i="4"/>
  <c r="K177" i="4"/>
  <c r="K152" i="4"/>
  <c r="K69" i="4"/>
  <c r="K33" i="4"/>
  <c r="K31" i="4"/>
  <c r="K188" i="4"/>
  <c r="K102" i="4"/>
  <c r="K105" i="4"/>
  <c r="K131" i="4" l="1"/>
  <c r="K148" i="4"/>
  <c r="K85" i="4"/>
  <c r="K27" i="4"/>
  <c r="K123" i="4"/>
  <c r="K86" i="4"/>
  <c r="K96" i="4"/>
  <c r="K54" i="4"/>
  <c r="K28" i="4"/>
  <c r="K91" i="4"/>
  <c r="K93" i="4"/>
  <c r="K171" i="4"/>
  <c r="K151" i="4"/>
  <c r="K20" i="4"/>
  <c r="K183" i="4"/>
  <c r="K153" i="4"/>
  <c r="K24" i="4"/>
  <c r="K70" i="4"/>
  <c r="K51" i="4"/>
  <c r="K35" i="4"/>
  <c r="K156" i="4"/>
  <c r="K155" i="4"/>
  <c r="K6" i="4"/>
  <c r="K143" i="4"/>
  <c r="K184" i="4"/>
  <c r="K117" i="4"/>
  <c r="K18" i="4"/>
  <c r="K142" i="4"/>
  <c r="K78" i="4"/>
  <c r="K189" i="4"/>
  <c r="K138" i="4"/>
  <c r="B11" i="3" l="1"/>
  <c r="O20" i="3"/>
  <c r="M20" i="3"/>
  <c r="G12" i="3"/>
  <c r="F17" i="3"/>
  <c r="D18" i="3"/>
  <c r="F19" i="3"/>
  <c r="M12" i="3"/>
  <c r="B10" i="3"/>
  <c r="C15" i="3"/>
  <c r="B16" i="3"/>
  <c r="J21" i="3"/>
  <c r="G15" i="3"/>
  <c r="M10" i="3"/>
  <c r="E12" i="3"/>
  <c r="J16" i="3"/>
  <c r="C13" i="3"/>
  <c r="N11" i="3"/>
  <c r="H9" i="3"/>
  <c r="I9" i="3"/>
  <c r="K11" i="3"/>
  <c r="D16" i="3"/>
  <c r="K16" i="3"/>
  <c r="H11" i="3"/>
  <c r="I20" i="3"/>
  <c r="K13" i="3"/>
  <c r="B15" i="3"/>
  <c r="J13" i="3"/>
  <c r="N18" i="3"/>
  <c r="M15" i="3"/>
  <c r="O10" i="3"/>
  <c r="N20" i="3"/>
  <c r="G13" i="3"/>
  <c r="C21" i="3"/>
  <c r="D11" i="3"/>
  <c r="D19" i="3"/>
  <c r="I16" i="3"/>
  <c r="D15" i="3"/>
  <c r="E19" i="3"/>
  <c r="O17" i="3"/>
  <c r="C12" i="3"/>
  <c r="O13" i="3"/>
  <c r="G11" i="3"/>
  <c r="M21" i="3"/>
  <c r="M18" i="3"/>
  <c r="F11" i="3"/>
  <c r="E9" i="3"/>
  <c r="I15" i="3"/>
  <c r="E15" i="3"/>
  <c r="F16" i="3"/>
  <c r="C16" i="3"/>
  <c r="O19" i="3"/>
  <c r="J18" i="3"/>
  <c r="G18" i="3"/>
  <c r="J12" i="3"/>
  <c r="D9" i="3"/>
  <c r="N15" i="3"/>
  <c r="D187" i="4"/>
  <c r="N12" i="3"/>
  <c r="B21" i="3"/>
  <c r="B18" i="3"/>
  <c r="F12" i="3"/>
  <c r="E16" i="3"/>
  <c r="H10" i="3"/>
  <c r="K21" i="3"/>
  <c r="E11" i="3"/>
  <c r="C11" i="3"/>
  <c r="G9" i="3"/>
  <c r="D10" i="3"/>
  <c r="K9" i="3"/>
  <c r="H21" i="3"/>
  <c r="D14" i="3"/>
  <c r="B12" i="3"/>
  <c r="C19" i="3"/>
  <c r="G16" i="3"/>
  <c r="H17" i="3"/>
  <c r="G19" i="3"/>
  <c r="B19" i="3"/>
  <c r="H12" i="3"/>
  <c r="K10" i="3"/>
  <c r="B9" i="3"/>
  <c r="N21" i="3"/>
  <c r="N19" i="3"/>
  <c r="O12" i="3"/>
  <c r="I11" i="3"/>
  <c r="I18" i="3"/>
  <c r="M13" i="3"/>
  <c r="K14" i="3"/>
  <c r="E14" i="3"/>
  <c r="B13" i="3"/>
  <c r="M17" i="3"/>
  <c r="B20" i="3"/>
  <c r="O15" i="3"/>
  <c r="N10" i="3"/>
  <c r="I19" i="3"/>
  <c r="O18" i="3"/>
  <c r="J20" i="3"/>
  <c r="I10" i="3"/>
  <c r="I13" i="3"/>
  <c r="I17" i="3"/>
  <c r="J10" i="3"/>
  <c r="F18" i="3"/>
  <c r="F13" i="3"/>
  <c r="I14" i="3"/>
  <c r="J11" i="3"/>
  <c r="C17" i="3"/>
  <c r="I21" i="3"/>
  <c r="G20" i="3"/>
  <c r="E13" i="3"/>
  <c r="E20" i="3"/>
  <c r="C18" i="3"/>
  <c r="H15" i="3"/>
  <c r="E18" i="3"/>
  <c r="H18" i="3"/>
  <c r="D12" i="3"/>
  <c r="J19" i="3"/>
  <c r="O14" i="3"/>
  <c r="M16" i="3"/>
  <c r="C9" i="3"/>
  <c r="G17" i="3"/>
  <c r="N9" i="3"/>
  <c r="J15" i="3"/>
  <c r="O21" i="3"/>
  <c r="G21" i="3"/>
  <c r="K15" i="3"/>
  <c r="N14" i="3"/>
  <c r="F20" i="3"/>
  <c r="P11" i="3"/>
  <c r="J14" i="3"/>
  <c r="M11" i="3"/>
  <c r="G10" i="3"/>
  <c r="F14" i="3"/>
  <c r="O16" i="3"/>
  <c r="E10" i="3"/>
  <c r="C20" i="3"/>
  <c r="P18" i="3"/>
  <c r="O9" i="3"/>
  <c r="F15" i="3"/>
  <c r="C14" i="3"/>
  <c r="I12" i="3"/>
  <c r="F9" i="3"/>
  <c r="E21" i="3"/>
  <c r="M19" i="3"/>
  <c r="K18" i="3"/>
  <c r="F10" i="3"/>
  <c r="D20" i="3"/>
  <c r="D21" i="3"/>
  <c r="G14" i="3"/>
  <c r="N16" i="3"/>
  <c r="J9" i="3"/>
  <c r="K20" i="3"/>
  <c r="H13" i="3"/>
  <c r="M14" i="3"/>
  <c r="D13" i="3"/>
  <c r="B14" i="3"/>
  <c r="M9" i="3"/>
  <c r="K19" i="3"/>
  <c r="C10" i="3"/>
  <c r="J17" i="3"/>
  <c r="F21" i="3"/>
  <c r="N13" i="3"/>
  <c r="B17" i="3"/>
  <c r="H16" i="3"/>
  <c r="E17" i="3"/>
  <c r="K12" i="3"/>
  <c r="K17" i="3"/>
  <c r="O11" i="3"/>
  <c r="N17" i="3"/>
  <c r="D17" i="3"/>
  <c r="H19" i="3"/>
  <c r="H14" i="3"/>
  <c r="H20" i="3"/>
  <c r="P13" i="3" l="1"/>
  <c r="P21" i="3"/>
  <c r="P12" i="3"/>
  <c r="P14" i="3"/>
  <c r="P9" i="3"/>
  <c r="P19" i="3"/>
  <c r="P16" i="3"/>
  <c r="P10" i="3"/>
  <c r="P20" i="3"/>
  <c r="P17" i="3"/>
  <c r="P15" i="3"/>
  <c r="J8" i="3"/>
  <c r="P8" i="3"/>
  <c r="G8" i="3"/>
  <c r="M8" i="3"/>
  <c r="M4" i="3" s="1"/>
  <c r="I8" i="3"/>
  <c r="B8" i="3"/>
  <c r="K8" i="3"/>
  <c r="D8" i="3"/>
  <c r="E8" i="3"/>
  <c r="E4" i="3" s="1"/>
  <c r="C8" i="3"/>
  <c r="H8" i="3"/>
  <c r="O8" i="3"/>
  <c r="O4" i="3" s="1"/>
  <c r="F8" i="3"/>
  <c r="N8" i="3"/>
  <c r="N4" i="3" s="1"/>
  <c r="P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tc={387065EA-9F12-4AF2-B878-CF53CBB5ECC3}</author>
    <author>tc={ADE16C6B-7B84-43F6-B026-325FDCC6BEDB}</author>
    <author>tc={F9212F5B-A94F-48B4-AD27-6EE530EC4F3E}</author>
    <author>tc={047F168E-CE91-4742-99ED-C8AB0137BEF1}</author>
    <author>tc={A68AFA55-3A15-48DB-9829-5C876AD9B235}</author>
    <author>tc={039B7FB7-E46E-493F-8975-9F64D092A00E}</author>
    <author>tc={7673B213-CCD3-4CC4-B942-901C87F0BE52}</author>
    <author>tc={2071778C-CE80-4D2B-9D31-DA790D72FF95}</author>
    <author>tc={E397846E-9211-42CB-B842-1F32186080BD}</author>
    <author>tc={9BD9A49E-A333-4F8D-8C7B-FC0345E7D8D3}</author>
    <author>tc={D702F595-30FC-44EE-B417-3FF44BF75601}</author>
    <author>tc={6D1F587B-5AA7-42FA-B649-ABA04B3FABD2}</author>
    <author>tc={64311FE0-A08A-454E-976F-899EE6DE3B40}</author>
  </authors>
  <commentList>
    <comment ref="AT3" authorId="0" shapeId="0" xr:uid="{387065EA-9F12-4AF2-B878-CF53CBB5ECC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All dimension information comes from ITEM_SUPP_COUNTRY_DIM </t>
      </text>
    </comment>
    <comment ref="A4" authorId="1" shapeId="0" xr:uid="{ADE16C6B-7B84-43F6-B026-325FDCC6BEDB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RMS.ITEM_MASTER</t>
      </text>
    </comment>
    <comment ref="B4" authorId="2" shapeId="0" xr:uid="{F9212F5B-A94F-48B4-AD27-6EE530EC4F3E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RMS.ITEM_MASTER</t>
      </text>
    </comment>
    <comment ref="C4" authorId="3" shapeId="0" xr:uid="{047F168E-CE91-4742-99ED-C8AB0137BEF1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RMS.ITEM_SUPPLIER.VPN</t>
      </text>
    </comment>
    <comment ref="D4" authorId="4" shapeId="0" xr:uid="{A68AFA55-3A15-48DB-9829-5C876AD9B23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RMS.ITEM_MASTER</t>
      </text>
    </comment>
    <comment ref="E4" authorId="5" shapeId="0" xr:uid="{039B7FB7-E46E-493F-8975-9F64D092A00E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RMS.ITEM_SUPP_COUNTRY</t>
      </text>
    </comment>
    <comment ref="F4" authorId="6" shapeId="0" xr:uid="{7673B213-CCD3-4CC4-B942-901C87F0BE5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RMS.ITEM_LOC</t>
      </text>
    </comment>
    <comment ref="G4" authorId="7" shapeId="0" xr:uid="{2071778C-CE80-4D2B-9D31-DA790D72FF95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RMS.ITEM_MASTER</t>
      </text>
    </comment>
    <comment ref="L4" authorId="8" shapeId="0" xr:uid="{E397846E-9211-42CB-B842-1F32186080BD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table ITEM_SUPP_COUNTRY</t>
      </text>
    </comment>
    <comment ref="M4" authorId="9" shapeId="0" xr:uid="{9BD9A49E-A333-4F8D-8C7B-FC0345E7D8D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table RMS.CLASS </t>
      </text>
    </comment>
    <comment ref="N4" authorId="10" shapeId="0" xr:uid="{D702F595-30FC-44EE-B417-3FF44BF7560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table RMS.CLASS </t>
      </text>
    </comment>
    <comment ref="O4" authorId="11" shapeId="0" xr:uid="{6D1F587B-5AA7-42FA-B649-ABA04B3FABD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table RMS.CLASS </t>
      </text>
    </comment>
    <comment ref="AA4" authorId="12" shapeId="0" xr:uid="{64311FE0-A08A-454E-976F-899EE6DE3B4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information is pulled from table RMS.REPL_ITEM_LOC. This table is used to review replenishment parameters. It finds the item in the table and then sums the number of locations the item is replenishing to.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2">
    <bk>
      <extLst>
        <ext uri="{bdbb8cdc-fa1e-496e-a857-3c3f30c029c3}">
          <xda:dynamicArrayProperties fDynamic="0" fCollapsed="0"/>
        </ext>
      </extLst>
    </bk>
    <bk>
      <extLst>
        <ext uri="{bdbb8cdc-fa1e-496e-a857-3c3f30c029c3}">
          <xda:dynamicArrayProperties fDynamic="1" fCollapsed="0"/>
        </ext>
      </extLst>
    </bk>
  </futureMetadata>
  <cellMetadata count="2">
    <bk>
      <rc t="1" v="0"/>
    </bk>
    <bk>
      <rc t="1" v="1"/>
    </bk>
  </cellMetadata>
</metadata>
</file>

<file path=xl/sharedStrings.xml><?xml version="1.0" encoding="utf-8"?>
<sst xmlns="http://schemas.openxmlformats.org/spreadsheetml/2006/main" count="779" uniqueCount="177">
  <si>
    <t>🖥  COMPUTERS &amp; ACCESSORIES — MASTER STOCK ASSORTMENT  |  2026</t>
  </si>
  <si>
    <t>HOW TO USE: (1) Click 🔄 Load Weekly Data to refresh green cells  (2) Yellow = buyer editable  (3) Green = auto from weekly data pull — do not type over  (4) Cost &amp; Retail load via Oracle VBA button  (5) Never sort a single column</t>
  </si>
  <si>
    <t>🔒  PRODUCT IDENTITY  (A–L)</t>
  </si>
  <si>
    <t>🟢  LIVE DATA  (auto from weekly data pull)</t>
  </si>
  <si>
    <t>📋  PLANNING  (buyer maintained)</t>
  </si>
  <si>
    <t>Trans
RIN</t>
  </si>
  <si>
    <t>VPN</t>
  </si>
  <si>
    <t>UPC</t>
  </si>
  <si>
    <t>Cost</t>
  </si>
  <si>
    <t>Retail</t>
  </si>
  <si>
    <t>Description</t>
  </si>
  <si>
    <t>Brand</t>
  </si>
  <si>
    <t>Category</t>
  </si>
  <si>
    <t>Status</t>
  </si>
  <si>
    <t>Comp
RIN</t>
  </si>
  <si>
    <t>SOH</t>
  </si>
  <si>
    <t>On
Order</t>
  </si>
  <si>
    <t>LW Sales
Units</t>
  </si>
  <si>
    <t>WOS
(calc)</t>
  </si>
  <si>
    <t>Avg
$/Unit</t>
  </si>
  <si>
    <t>WOS
Status</t>
  </si>
  <si>
    <t>Location List</t>
  </si>
  <si>
    <t>Target
WOS</t>
  </si>
  <si>
    <t>Order
Qty</t>
  </si>
  <si>
    <t>Fact Tags</t>
  </si>
  <si>
    <t>Notes</t>
  </si>
  <si>
    <t>On Promo?</t>
  </si>
  <si>
    <t>Current
Promo</t>
  </si>
  <si>
    <t>Adv
Retail</t>
  </si>
  <si>
    <t>Savings</t>
  </si>
  <si>
    <t>Next Promo
Date</t>
  </si>
  <si>
    <t>Next Promo
Name</t>
  </si>
  <si>
    <t>Promo
Notes</t>
  </si>
  <si>
    <t>Discontinued</t>
  </si>
  <si>
    <t>Active</t>
  </si>
  <si>
    <t>New</t>
  </si>
  <si>
    <t>📊  EXECUTIVE DASHBOARD — Computers &amp; Accessories  |  2026</t>
  </si>
  <si>
    <t>Total SKUs</t>
  </si>
  <si>
    <t>🔴 Critical</t>
  </si>
  <si>
    <t>🟡 Low</t>
  </si>
  <si>
    <t>🟢 Healthy</t>
  </si>
  <si>
    <t>BRAND SUMMARY</t>
  </si>
  <si>
    <t>SKUs</t>
  </si>
  <si>
    <t>Avg WOS</t>
  </si>
  <si>
    <t>👁  BUYER VIEW — Vendor-safe  |  No cost or internal margin data</t>
  </si>
  <si>
    <t>Trans RIN</t>
  </si>
  <si>
    <t>Sell Margin</t>
  </si>
  <si>
    <t>WOS Status</t>
  </si>
  <si>
    <t>⚙️  SETTINGS — Lead Times, Target WOS &amp; Seasonal Weights  |  Edit yellow cells only</t>
  </si>
  <si>
    <t>LEAD TIME &amp; TARGET WOS BY BRAND</t>
  </si>
  <si>
    <t>Seasonal Weight</t>
  </si>
  <si>
    <t>Lead Time (wks)</t>
  </si>
  <si>
    <t>Target WOS</t>
  </si>
  <si>
    <t>SEASONAL WEIGHTS BY BRAND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</si>
  <si>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</si>
  <si>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</si>
  <si>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</si>
  <si>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</si>
  <si>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</si>
  <si>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</si>
  <si>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</si>
  <si>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</si>
  <si>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</si>
  <si>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</si>
  <si>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</si>
  <si>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</si>
  <si>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📅  AD WEEK DATES — Reference calendar  |  Do not edit</t>
  </si>
  <si>
    <t>Week Num</t>
  </si>
  <si>
    <t>Year</t>
  </si>
  <si>
    <t>Week</t>
  </si>
  <si>
    <t>Start Date</t>
  </si>
  <si>
    <t>End Date</t>
  </si>
  <si>
    <t>RMS QUERY</t>
  </si>
  <si>
    <t>📥  WEEKLY DATA — Sales &amp; Inventory Feed  |  Load via 🔄 button  |  DO NOT EDIT MANUALLY</t>
  </si>
  <si>
    <t>SOURCE REPORT: My Groups MSA Weekly Data Pull V3
Headers on ROW 3, data starts ROW 4
Column mapping → A=SKU | B=SOH (Inv OH U) | C=On Order (Curr. OO U) | D=LW Sales (Sales U) | E=4W Sales (Sales U LC4W) | F=13W Sales (Sales U LC13W) | G=26W Sales (Sales U LC26W) | H=Avg $/U (Sales Avg $/U)
Cost and Retail are loaded separately via the Oracle VBA button (UpdateButton)</t>
  </si>
  <si>
    <t>SKU</t>
  </si>
  <si>
    <t>ON_ORDER</t>
  </si>
  <si>
    <t>LW_SALES</t>
  </si>
  <si>
    <t>SALES_4W</t>
  </si>
  <si>
    <t>SALES_13W</t>
  </si>
  <si>
    <t>SALES_26W</t>
  </si>
  <si>
    <t>AVG_PER_UNIT</t>
  </si>
  <si>
    <t>📋  COMPUTERS &amp; ACCESSORIES MSA 2026 — FILE INSTRUCTIONS</t>
  </si>
  <si>
    <t>⚠️  UNIVERSAL RULES — EVERYONE MUST READ</t>
  </si>
  <si>
    <t>❌  Never sort a single column</t>
  </si>
  <si>
    <t>Always select ALL columns before sorting, or use the filter arrows in row 4</t>
  </si>
  <si>
    <t>❌  Never paste over a green cell</t>
  </si>
  <si>
    <t>Green cells auto-calculate from the weekly data pull — typing over them breaks the lookup</t>
  </si>
  <si>
    <t>❌  Never rename or delete a tab</t>
  </si>
  <si>
    <t>All tabs are linked. Any tab rename breaks formulas</t>
  </si>
  <si>
    <t>❌  Never insert or delete rows</t>
  </si>
  <si>
    <t>Add new SKUs at the bottom of Master Assortment only</t>
  </si>
  <si>
    <t>❌  If something breaks — stop</t>
  </si>
  <si>
    <t>Save the file, note the issue, contact the file owner</t>
  </si>
  <si>
    <t>📅  WEEKLY WORKFLOW</t>
  </si>
  <si>
    <t>STEP 1 — Load weekly data</t>
  </si>
  <si>
    <t>Click 🔄 Load Weekly Data button. Select the latest My Groups MSA Weekly Data Pull file. All green cells (SOH, Sales, WOS) update automatically.</t>
  </si>
  <si>
    <t>STEP 2 — Load Cost &amp; Retail</t>
  </si>
  <si>
    <t>Click the Oracle button (UpdateButton) to pull Cost and Retail from RMS for any new or updated items.</t>
  </si>
  <si>
    <t>STEP 3 — Review WOS Status</t>
  </si>
  <si>
    <t>Filter column U (WOS Status) for 🔴 Critical and 🟡 Low. These are your action items.</t>
  </si>
  <si>
    <t>STEP 4 — Enter order quantities</t>
  </si>
  <si>
    <t>Type order quantities in column Y (Order Qty). Yellow cells only.</t>
  </si>
  <si>
    <t>STEP 5 — Add new SKUs</t>
  </si>
  <si>
    <t>Paste Trans RIN in column A at the bottom. Run Oracle button to populate Cost/Retail. Green cells populate on next weekly refresh.</t>
  </si>
  <si>
    <t>✅  WHAT YOU CAN EDIT  vs  ❌  CANNOT</t>
  </si>
  <si>
    <t>🟢  Green cells — do not edit</t>
  </si>
  <si>
    <t>SOH, On Order, LW/4W/13W/26W Sales, WOS, Avg $/Unit — auto from weekly data pull. Cost &amp; Retail — auto from Oracle VBA.</t>
  </si>
  <si>
    <t>✅  Yellow cells — buyer maintained</t>
  </si>
  <si>
    <t># Stores, Location List, Target WOS, Order Qty, Fact Tags, Notes, all Promo columns</t>
  </si>
  <si>
    <t>❌  Margin % — do not edit</t>
  </si>
  <si>
    <t>Calculates automatically from Cost and Retail</t>
  </si>
  <si>
    <t>❌  WOS Status — do not edit</t>
  </si>
  <si>
    <t>Calculates automatically from WOS and Status</t>
  </si>
  <si>
    <t>📋  TAB GUIDE</t>
  </si>
  <si>
    <t>🖥  Master Assortment</t>
  </si>
  <si>
    <t>Main daily working tab. All live data, buyer inputs, and planning fields.</t>
  </si>
  <si>
    <t>📊  Executive Dashboard</t>
  </si>
  <si>
    <t>Auto-calculated summary — SKU counts, WOS flags by brand.</t>
  </si>
  <si>
    <t>👁  Buyer View</t>
  </si>
  <si>
    <t>Vendor-safe — no cost or margin. Safe to share with vendor partners.</t>
  </si>
  <si>
    <t>⚙️  Settings</t>
  </si>
  <si>
    <t>Lead times, target WOS, and seasonal weights by brand.</t>
  </si>
  <si>
    <t>📅  Ad Week Dates</t>
  </si>
  <si>
    <t>Promotional week code reference. Do not edit.</t>
  </si>
  <si>
    <t>🗄️  SQL</t>
  </si>
  <si>
    <t>Oracle RMS query reference. Do not edit.</t>
  </si>
  <si>
    <t>📥  WEEKLY_DATA (hidden)</t>
  </si>
  <si>
    <t>Weekly data feed. Loaded via refresh button. Do not edit.</t>
  </si>
  <si>
    <t>📊  COLUMN GUIDE — Master Assortment</t>
  </si>
  <si>
    <t>A–D  Product Identity</t>
  </si>
  <si>
    <t>Trans RIN, Parent RIN, VPN, UPC — from Oracle VBA</t>
  </si>
  <si>
    <t>E–G  Pricing</t>
  </si>
  <si>
    <t>Cost, Retail (from Oracle VBA), Margin % (calculated)</t>
  </si>
  <si>
    <t>H–L  Product Info</t>
  </si>
  <si>
    <t>Description, Brand, Category, Status, Comparable RIN</t>
  </si>
  <si>
    <t>M–T  Live Data (green)</t>
  </si>
  <si>
    <t>SOH, On Order, LW/4W/13W/26W Sales, WOS, Avg $/Unit — from weekly pull</t>
  </si>
  <si>
    <t>U  WOS Status</t>
  </si>
  <si>
    <t>Auto-calculated flag — EOL, New, Critical, Low, Healthy, Overstock</t>
  </si>
  <si>
    <t>V–AA  Planning (yellow)</t>
  </si>
  <si>
    <t># Stores, Location List, Target WOS, Order Qty, Fact Tags, Notes</t>
  </si>
  <si>
    <t>AB–AH  Promo (yellow)</t>
  </si>
  <si>
    <t>On Promo, Current Promo, Adv Retail, Savings, Next Promo Date/Name, Notes</t>
  </si>
  <si>
    <t>—</t>
  </si>
  <si>
    <t>IMU%</t>
  </si>
  <si>
    <t>Parent RIN</t>
  </si>
  <si>
    <t>4-Wk Sales</t>
  </si>
  <si>
    <t>13-Wk Sales</t>
  </si>
  <si>
    <t>26-Wk Sales</t>
  </si>
  <si>
    <t>⚙️ Expanded Specifications</t>
  </si>
  <si>
    <t>Color</t>
  </si>
  <si>
    <t>Memory</t>
  </si>
  <si>
    <t>Storage</t>
  </si>
  <si>
    <t>Processor</t>
  </si>
  <si>
    <t>Screen Size</t>
  </si>
  <si>
    <t>Graphics</t>
  </si>
  <si>
    <t>Total Locations</t>
  </si>
  <si>
    <t>4-Wk 
Sales</t>
  </si>
  <si>
    <t>13-Wk 
Sales</t>
  </si>
  <si>
    <t>26-Wk
Sales</t>
  </si>
  <si>
    <t>🆕 New</t>
  </si>
  <si>
    <t>🔵 Overstock</t>
  </si>
  <si>
    <t>🔴 EOL</t>
  </si>
  <si>
    <t>13-Week IMU%</t>
  </si>
  <si>
    <t>📢  PROMO  (buyer maintained) - WIP</t>
  </si>
  <si>
    <t>Case Pack</t>
  </si>
  <si>
    <t>Stores</t>
  </si>
  <si>
    <t>SELECT im.item "Trans RIN", im.item_parent "Parent RIN", src."UPC", im.item_desc "Description", 
       src."Supplier Information", src."VPN", src."Cost", src."Retail", 
       To_Char(im.mfg_rec_retail,'FM99,999.00') "MSRP", isc.supp_pack_size "Case Pack", isc.inner_pack_size "Inner Pack" 
FROM ( 
  SELECT * FROM item_master im1 
  WHERE im1.item IN (SELECT im2.item_parent FROM item_master im2 WHERE im2.item_number_type IN ('UCC14','UPC-A','EAN13') AND im2.item IN ('ITEMS')) 
  UNION 
  SELECT * FROM item_master im3 
  WHERE (im3.item IN ('ITEMS') OR im3.item_parent IN ('ITEMS')) 
  AND im3.tran_level = im3.item_level 
) im 
LEFT JOIN ( 
  SELECT isu.item, isu.supplier, isu.primary_supp_ind, isu.vpn, 
  (SELECT im2.item FROM item_master im2 WHERE im2.item_parent=isu.item AND (im2.item_number_type = 'UCC14' OR im2.item_number_type = 'UPC-A' OR im2.item_number_type = 'EAN13') AND primary_ref_item_ind = 'Y') "UPC", 
  isu.supplier||':'||(SELECT sup_name FROM RMS.sups WHERE sups.supplier = isu.supplier) "Supplier Information", 
  (SELECT selling_unit_retail FROM item_loc il WHERE il.item = isu.item AND loc IN ('10','650','781','9840','9850') AND rownum = 1) "Retail", 
  (SELECT unit_cost FROM item_supp_country isc WHERE isc.item=isu.item AND isc.supplier=isu.supplier AND isu.primary_supp_ind='Y' AND rownum = 1) "Cost" 
  FROM RMS.item_supplier isu 
) src ON im.item = src.item AND src.primary_supp_ind = 'Y' 
LEFT JOIN RMS.item_supp_country isc ON im.item = isc.item AND src.supplier = isc.supplier AND isc.primary_supp_ind = 'Y' AND isc.primary_country_ind = 'Y' 
WHERE im.item_number_type='ITEM' AND im.item IN ('ITEMS')</t>
  </si>
  <si>
    <t>Dimension</t>
  </si>
  <si>
    <t>Width</t>
  </si>
  <si>
    <t>Height</t>
  </si>
  <si>
    <t>Length</t>
  </si>
  <si>
    <t>Net Weight</t>
  </si>
  <si>
    <t>Dept</t>
  </si>
  <si>
    <t>Class</t>
  </si>
  <si>
    <t>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</si>
</sst>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\$#,##0.00"/>
    <numFmt numFmtId="165" formatCode="0.0%"/>
    <numFmt numFmtId="166" formatCode="0.0"/>
    <numFmt numFmtId="167" formatCode="mm/dd/yyyy"/>
    <numFmt numFmtId="168" formatCode="General&quot;MM&quot;"/>
    <numFmt numFmtId="169" formatCode="General&quot;GB&quot;"/>
    <numFmt numFmtId="170" formatCode="General\&quot;"/>
  </numFmts>
  <fonts count="42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i/>
      <sz val="8"/>
      <color rgb="FF555555"/>
      <name val="Segoe UI"/>
      <family val="2"/>
    </font>
    <font>
      <b/>
      <sz val="9"/>
      <color rgb="FFFFFFFF"/>
      <name val="Segoe UI"/>
      <family val="2"/>
    </font>
    <font>
      <b/>
      <sz val="8"/>
      <color rgb="FFFFFFFF"/>
      <name val="Segoe UI"/>
      <family val="2"/>
    </font>
    <font>
      <b/>
      <sz val="9"/>
      <color rgb="FF1A3A5C"/>
      <name val="Segoe UI"/>
      <family val="2"/>
    </font>
    <font>
      <sz val="9"/>
      <color rgb="FF000000"/>
      <name val="Segoe UI"/>
      <family val="2"/>
    </font>
    <font>
      <b/>
      <sz val="9"/>
      <color rgb="FF1A5A1A"/>
      <name val="Segoe UI"/>
      <family val="2"/>
    </font>
    <font>
      <sz val="9"/>
      <color rgb="FF1A5A1A"/>
      <name val="Segoe UI"/>
      <family val="2"/>
    </font>
    <font>
      <b/>
      <sz val="9"/>
      <color rgb="FF000000"/>
      <name val="Segoe UI"/>
      <family val="2"/>
    </font>
    <font>
      <sz val="9"/>
      <color rgb="FF00008B"/>
      <name val="Segoe UI"/>
      <family val="2"/>
    </font>
    <font>
      <sz val="9"/>
      <color rgb="FF4A0A6A"/>
      <name val="Segoe UI"/>
      <family val="2"/>
    </font>
    <font>
      <b/>
      <sz val="24"/>
      <color rgb="FF0A2D6E"/>
      <name val="Segoe UI"/>
      <family val="2"/>
    </font>
    <font>
      <b/>
      <sz val="24"/>
      <color rgb="FF1A7A4A"/>
      <name val="Segoe UI"/>
      <family val="2"/>
    </font>
    <font>
      <b/>
      <sz val="24"/>
      <color rgb="FF888888"/>
      <name val="Segoe UI"/>
      <family val="2"/>
    </font>
    <font>
      <b/>
      <sz val="24"/>
      <color rgb="FFC4900A"/>
      <name val="Segoe UI"/>
      <family val="2"/>
    </font>
    <font>
      <b/>
      <sz val="24"/>
      <color rgb="FFC0392B"/>
      <name val="Segoe UI"/>
      <family val="2"/>
    </font>
    <font>
      <b/>
      <sz val="24"/>
      <color rgb="FF856404"/>
      <name val="Segoe UI"/>
      <family val="2"/>
    </font>
    <font>
      <b/>
      <sz val="24"/>
      <color rgb="FF155724"/>
      <name val="Segoe UI"/>
      <family val="2"/>
    </font>
    <font>
      <b/>
      <sz val="10"/>
      <color rgb="FFFFFFFF"/>
      <name val="Segoe UI"/>
      <family val="2"/>
    </font>
    <font>
      <b/>
      <sz val="12"/>
      <color rgb="FFFFFFFF"/>
      <name val="Segoe UI"/>
      <family val="2"/>
    </font>
    <font>
      <b/>
      <sz val="9"/>
      <color rgb="FF00008B"/>
      <name val="Segoe UI"/>
      <family val="2"/>
    </font>
    <font>
      <b/>
      <sz val="11"/>
      <color rgb="FFFFFFFF"/>
      <name val="Segoe UI"/>
      <family val="2"/>
    </font>
    <font>
      <sz val="8"/>
      <color rgb="FF1A5A1A"/>
      <name val="Segoe UI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9"/>
      <color rgb="FF1A3A5C"/>
      <name val="Segoe UI"/>
      <family val="2"/>
    </font>
    <font>
      <b/>
      <sz val="9"/>
      <color rgb="FF1A3A5C"/>
      <name val="Segoe UI"/>
      <family val="2"/>
    </font>
    <font>
      <sz val="11"/>
      <color theme="1"/>
      <name val="Calibri"/>
      <family val="2"/>
      <charset val="1"/>
    </font>
    <font>
      <sz val="11"/>
      <color theme="0"/>
      <name val="Calibri"/>
      <family val="2"/>
      <charset val="1"/>
    </font>
    <font>
      <b/>
      <sz val="24"/>
      <color theme="6" tint="-0.249977111117893"/>
      <name val="Segoe UI"/>
      <family val="2"/>
    </font>
    <font>
      <b/>
      <sz val="24"/>
      <color theme="3" tint="0.39997558519241921"/>
      <name val="Segoe UI"/>
      <family val="2"/>
    </font>
    <font>
      <b/>
      <sz val="24"/>
      <color rgb="FFFF0000"/>
      <name val="Segoe UI"/>
      <family val="2"/>
    </font>
    <font>
      <b/>
      <sz val="24"/>
      <color rgb="FF0066FF"/>
      <name val="Segoe UI"/>
      <family val="2"/>
    </font>
    <font>
      <b/>
      <sz val="24"/>
      <color rgb="FF7030A0"/>
      <name val="Segoe UI"/>
      <family val="2"/>
    </font>
    <font>
      <b/>
      <sz val="9"/>
      <color rgb="FFFF0000"/>
      <name val="Segoe UI"/>
      <family val="2"/>
    </font>
    <font>
      <sz val="9"/>
      <color rgb="FF00008B"/>
      <name val="Segoe UI"/>
      <family val="2"/>
      <charset val="1"/>
    </font>
    <font>
      <b/>
      <sz val="8"/>
      <name val="Segoe UI"/>
      <family val="2"/>
    </font>
  </fonts>
  <fills count="36">
    <fill>
      <patternFill patternType="none"/>
    </fill>
    <fill>
      <patternFill patternType="gray125"/>
    </fill>
    <fill>
      <patternFill patternType="solid">
        <fgColor rgb="FF0A2D6E"/>
        <bgColor rgb="FF1A3A5C"/>
      </patternFill>
    </fill>
    <fill>
      <patternFill patternType="solid">
        <fgColor rgb="FFF5F5F5"/>
        <bgColor rgb="FFF8F8F8"/>
      </patternFill>
    </fill>
    <fill>
      <patternFill patternType="solid">
        <fgColor rgb="FF1A3A5C"/>
        <bgColor rgb="FF1A4A4A"/>
      </patternFill>
    </fill>
    <fill>
      <patternFill patternType="solid">
        <fgColor rgb="FF1A5A1A"/>
        <bgColor rgb="FF155724"/>
      </patternFill>
    </fill>
    <fill>
      <patternFill patternType="solid">
        <fgColor rgb="FF5A3000"/>
        <bgColor rgb="FF8A4A00"/>
      </patternFill>
    </fill>
    <fill>
      <patternFill patternType="solid">
        <fgColor rgb="FF4A0A6A"/>
        <bgColor rgb="FF4A2A6A"/>
      </patternFill>
    </fill>
    <fill>
      <patternFill patternType="solid">
        <fgColor rgb="FF1A5A2A"/>
        <bgColor rgb="FF155724"/>
      </patternFill>
    </fill>
    <fill>
      <patternFill patternType="solid">
        <fgColor rgb="FFE8F5E8"/>
        <bgColor rgb="FFE8F0F8"/>
      </patternFill>
    </fill>
    <fill>
      <patternFill patternType="solid">
        <fgColor rgb="FFFFFFFF"/>
        <bgColor rgb="FFF8FAFA"/>
      </patternFill>
    </fill>
    <fill>
      <patternFill patternType="solid">
        <fgColor rgb="FFFFF8E8"/>
        <bgColor rgb="FFF8F8F8"/>
      </patternFill>
    </fill>
    <fill>
      <patternFill patternType="solid">
        <fgColor rgb="FFF3E8FF"/>
        <bgColor rgb="FFE8F0F8"/>
      </patternFill>
    </fill>
    <fill>
      <patternFill patternType="solid">
        <fgColor rgb="FFF0F5FA"/>
        <bgColor rgb="FFF5F5F5"/>
      </patternFill>
    </fill>
    <fill>
      <patternFill patternType="solid">
        <fgColor rgb="FF1A7A4A"/>
        <bgColor rgb="FF1A5A2A"/>
      </patternFill>
    </fill>
    <fill>
      <patternFill patternType="solid">
        <fgColor rgb="FF888888"/>
        <bgColor rgb="FF969696"/>
      </patternFill>
    </fill>
    <fill>
      <patternFill patternType="solid">
        <fgColor rgb="FFC4900A"/>
        <bgColor rgb="FFFF6600"/>
      </patternFill>
    </fill>
    <fill>
      <patternFill patternType="solid">
        <fgColor rgb="FFC0392B"/>
        <bgColor rgb="FF993366"/>
      </patternFill>
    </fill>
    <fill>
      <patternFill patternType="solid">
        <fgColor rgb="FF856404"/>
        <bgColor rgb="FF8A4A00"/>
      </patternFill>
    </fill>
    <fill>
      <patternFill patternType="solid">
        <fgColor rgb="FF155724"/>
        <bgColor rgb="FF1A5A2A"/>
      </patternFill>
    </fill>
    <fill>
      <patternFill patternType="solid">
        <fgColor rgb="FFF8FAFA"/>
        <bgColor rgb="FFF8F8F8"/>
      </patternFill>
    </fill>
    <fill>
      <patternFill patternType="solid">
        <fgColor rgb="FF1A4A4A"/>
        <bgColor rgb="FF1A3A5C"/>
      </patternFill>
    </fill>
    <fill>
      <patternFill patternType="solid">
        <fgColor rgb="FF2A4A6A"/>
        <bgColor rgb="FF1A4A4A"/>
      </patternFill>
    </fill>
    <fill>
      <patternFill patternType="solid">
        <fgColor rgb="FFF5F8FF"/>
        <bgColor rgb="FFF8FAFA"/>
      </patternFill>
    </fill>
    <fill>
      <patternFill patternType="solid">
        <fgColor rgb="FFF8F8F8"/>
        <bgColor rgb="FFF8FAFA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rgb="FFFF66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7030A0"/>
        <bgColor rgb="FF1A3A5C"/>
      </patternFill>
    </fill>
    <fill>
      <patternFill patternType="solid">
        <fgColor theme="9"/>
        <bgColor rgb="FF15572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8F0F8"/>
      </patternFill>
    </fill>
  </fills>
  <borders count="9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 style="thin">
        <color rgb="FFBBBBBB"/>
      </top>
      <bottom/>
      <diagonal/>
    </border>
    <border>
      <left style="thin">
        <color rgb="FFBBBBBB"/>
      </left>
      <right/>
      <top style="thin">
        <color rgb="FFBBBBBB"/>
      </top>
      <bottom style="thin">
        <color rgb="FFBBBBBB"/>
      </bottom>
      <diagonal/>
    </border>
    <border>
      <left/>
      <right/>
      <top/>
      <bottom style="thin">
        <color rgb="FFBBBBB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BBBBB"/>
      </left>
      <right style="thin">
        <color rgb="FFBBBBBB"/>
      </right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/>
      <diagonal/>
    </border>
  </borders>
  <cellStyleXfs count="5">
    <xf numFmtId="0" fontId="0" fillId="0" borderId="0"/>
    <xf numFmtId="0" fontId="2" fillId="0" borderId="0"/>
    <xf numFmtId="0" fontId="27" fillId="0" borderId="0"/>
    <xf numFmtId="0" fontId="28" fillId="0" borderId="0"/>
    <xf numFmtId="9" fontId="32" fillId="0" borderId="0" applyFont="0" applyFill="0" applyBorder="0" applyAlignment="0" applyProtection="0"/>
  </cellStyleXfs>
  <cellXfs count="110">
    <xf numFmtId="0" fontId="0" fillId="0" borderId="0" xfId="0"/>
    <xf numFmtId="0" fontId="6" fillId="4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164" fontId="9" fillId="9" borderId="1" xfId="0" applyNumberFormat="1" applyFont="1" applyFill="1" applyBorder="1" applyAlignment="1">
      <alignment horizontal="center" vertical="center"/>
    </xf>
    <xf numFmtId="165" fontId="8" fillId="9" borderId="1" xfId="0" applyNumberFormat="1" applyFont="1" applyFill="1" applyBorder="1" applyAlignment="1">
      <alignment horizontal="center" vertical="center"/>
    </xf>
    <xf numFmtId="3" fontId="10" fillId="9" borderId="1" xfId="0" applyNumberFormat="1" applyFont="1" applyFill="1" applyBorder="1" applyAlignment="1">
      <alignment horizontal="center" vertical="center"/>
    </xf>
    <xf numFmtId="166" fontId="10" fillId="9" borderId="1" xfId="0" applyNumberFormat="1" applyFont="1" applyFill="1" applyBorder="1" applyAlignment="1">
      <alignment horizontal="center" vertical="center"/>
    </xf>
    <xf numFmtId="164" fontId="10" fillId="9" borderId="1" xfId="0" applyNumberFormat="1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0" fontId="14" fillId="20" borderId="1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19" fillId="20" borderId="1" xfId="0" applyFont="1" applyFill="1" applyBorder="1" applyAlignment="1">
      <alignment horizontal="center" vertical="center"/>
    </xf>
    <xf numFmtId="0" fontId="20" fillId="20" borderId="1" xfId="0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0" fontId="11" fillId="10" borderId="1" xfId="0" applyFont="1" applyFill="1" applyBorder="1"/>
    <xf numFmtId="0" fontId="8" fillId="10" borderId="1" xfId="0" applyFont="1" applyFill="1" applyBorder="1" applyAlignment="1">
      <alignment horizontal="center" vertical="center"/>
    </xf>
    <xf numFmtId="166" fontId="8" fillId="10" borderId="1" xfId="0" applyNumberFormat="1" applyFont="1" applyFill="1" applyBorder="1" applyAlignment="1">
      <alignment horizontal="center" vertical="center"/>
    </xf>
    <xf numFmtId="0" fontId="11" fillId="20" borderId="1" xfId="0" applyFont="1" applyFill="1" applyBorder="1"/>
    <xf numFmtId="0" fontId="5" fillId="22" borderId="1" xfId="0" applyFont="1" applyFill="1" applyBorder="1" applyAlignment="1">
      <alignment horizontal="center" vertical="center"/>
    </xf>
    <xf numFmtId="0" fontId="8" fillId="10" borderId="1" xfId="0" applyFont="1" applyFill="1" applyBorder="1"/>
    <xf numFmtId="164" fontId="8" fillId="10" borderId="1" xfId="0" applyNumberFormat="1" applyFont="1" applyFill="1" applyBorder="1"/>
    <xf numFmtId="165" fontId="8" fillId="10" borderId="1" xfId="0" applyNumberFormat="1" applyFont="1" applyFill="1" applyBorder="1"/>
    <xf numFmtId="0" fontId="8" fillId="23" borderId="1" xfId="0" applyFont="1" applyFill="1" applyBorder="1"/>
    <xf numFmtId="164" fontId="8" fillId="23" borderId="1" xfId="0" applyNumberFormat="1" applyFont="1" applyFill="1" applyBorder="1"/>
    <xf numFmtId="165" fontId="8" fillId="23" borderId="1" xfId="0" applyNumberFormat="1" applyFont="1" applyFill="1" applyBorder="1"/>
    <xf numFmtId="0" fontId="23" fillId="11" borderId="1" xfId="0" applyFont="1" applyFill="1" applyBorder="1" applyAlignment="1">
      <alignment horizontal="center" vertical="center"/>
    </xf>
    <xf numFmtId="167" fontId="8" fillId="10" borderId="1" xfId="0" applyNumberFormat="1" applyFont="1" applyFill="1" applyBorder="1"/>
    <xf numFmtId="0" fontId="8" fillId="3" borderId="1" xfId="0" applyFont="1" applyFill="1" applyBorder="1"/>
    <xf numFmtId="167" fontId="8" fillId="3" borderId="1" xfId="0" applyNumberFormat="1" applyFont="1" applyFill="1" applyBorder="1"/>
    <xf numFmtId="0" fontId="5" fillId="5" borderId="1" xfId="0" applyFont="1" applyFill="1" applyBorder="1" applyAlignment="1">
      <alignment horizontal="center" vertical="center"/>
    </xf>
    <xf numFmtId="0" fontId="11" fillId="24" borderId="1" xfId="0" applyFont="1" applyFill="1" applyBorder="1"/>
    <xf numFmtId="0" fontId="8" fillId="10" borderId="1" xfId="0" applyFont="1" applyFill="1" applyBorder="1" applyAlignment="1">
      <alignment horizontal="left" vertical="center" wrapText="1"/>
    </xf>
    <xf numFmtId="0" fontId="8" fillId="24" borderId="1" xfId="0" applyFont="1" applyFill="1" applyBorder="1" applyAlignment="1">
      <alignment horizontal="left" vertical="center" wrapText="1"/>
    </xf>
    <xf numFmtId="0" fontId="26" fillId="25" borderId="5" xfId="1" applyFont="1" applyFill="1" applyBorder="1" applyAlignment="1">
      <alignment horizontal="center" vertical="center" textRotation="90"/>
    </xf>
    <xf numFmtId="0" fontId="2" fillId="0" borderId="0" xfId="1"/>
    <xf numFmtId="0" fontId="0" fillId="0" borderId="0" xfId="0" applyAlignment="1">
      <alignment horizontal="center"/>
    </xf>
    <xf numFmtId="1" fontId="10" fillId="9" borderId="1" xfId="0" applyNumberFormat="1" applyFont="1" applyFill="1" applyBorder="1" applyAlignment="1">
      <alignment horizontal="center" vertical="center"/>
    </xf>
    <xf numFmtId="168" fontId="0" fillId="26" borderId="0" xfId="0" applyNumberFormat="1" applyFill="1" applyAlignment="1">
      <alignment horizontal="center"/>
    </xf>
    <xf numFmtId="169" fontId="0" fillId="26" borderId="0" xfId="0" applyNumberFormat="1" applyFill="1" applyAlignment="1">
      <alignment horizontal="center"/>
    </xf>
    <xf numFmtId="0" fontId="0" fillId="26" borderId="0" xfId="0" applyFill="1" applyAlignment="1">
      <alignment horizontal="center"/>
    </xf>
    <xf numFmtId="168" fontId="6" fillId="8" borderId="6" xfId="0" applyNumberFormat="1" applyFont="1" applyFill="1" applyBorder="1" applyAlignment="1">
      <alignment horizontal="center" vertical="center" wrapText="1"/>
    </xf>
    <xf numFmtId="169" fontId="6" fillId="8" borderId="1" xfId="0" applyNumberFormat="1" applyFont="1" applyFill="1" applyBorder="1" applyAlignment="1">
      <alignment horizontal="center" vertical="center" wrapText="1"/>
    </xf>
    <xf numFmtId="170" fontId="6" fillId="8" borderId="1" xfId="0" applyNumberFormat="1" applyFont="1" applyFill="1" applyBorder="1" applyAlignment="1">
      <alignment horizontal="center" vertical="center" wrapText="1"/>
    </xf>
    <xf numFmtId="168" fontId="9" fillId="9" borderId="1" xfId="0" applyNumberFormat="1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/>
    </xf>
    <xf numFmtId="49" fontId="8" fillId="13" borderId="1" xfId="0" applyNumberFormat="1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164" fontId="13" fillId="12" borderId="1" xfId="0" applyNumberFormat="1" applyFont="1" applyFill="1" applyBorder="1" applyAlignment="1">
      <alignment horizontal="center" vertical="center"/>
    </xf>
    <xf numFmtId="0" fontId="31" fillId="13" borderId="1" xfId="0" applyFont="1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3" fontId="12" fillId="11" borderId="1" xfId="0" applyNumberFormat="1" applyFont="1" applyFill="1" applyBorder="1" applyAlignment="1">
      <alignment horizontal="center" vertical="center"/>
    </xf>
    <xf numFmtId="0" fontId="5" fillId="27" borderId="1" xfId="0" applyFont="1" applyFill="1" applyBorder="1" applyAlignment="1">
      <alignment horizontal="center" vertical="center"/>
    </xf>
    <xf numFmtId="0" fontId="33" fillId="28" borderId="0" xfId="0" applyFont="1" applyFill="1" applyAlignment="1">
      <alignment horizontal="center" vertical="center"/>
    </xf>
    <xf numFmtId="0" fontId="33" fillId="29" borderId="0" xfId="0" applyFont="1" applyFill="1" applyAlignment="1">
      <alignment horizontal="center" vertical="center"/>
    </xf>
    <xf numFmtId="0" fontId="33" fillId="30" borderId="0" xfId="0" applyFont="1" applyFill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0" fontId="35" fillId="20" borderId="1" xfId="0" applyFont="1" applyFill="1" applyBorder="1" applyAlignment="1">
      <alignment horizontal="center" vertical="center"/>
    </xf>
    <xf numFmtId="0" fontId="36" fillId="20" borderId="1" xfId="0" applyFont="1" applyFill="1" applyBorder="1" applyAlignment="1">
      <alignment horizontal="center" vertical="center"/>
    </xf>
    <xf numFmtId="10" fontId="37" fillId="20" borderId="1" xfId="4" applyNumberFormat="1" applyFont="1" applyFill="1" applyBorder="1" applyAlignment="1">
      <alignment horizontal="center" vertical="center"/>
    </xf>
    <xf numFmtId="1" fontId="38" fillId="20" borderId="1" xfId="0" applyNumberFormat="1" applyFont="1" applyFill="1" applyBorder="1" applyAlignment="1">
      <alignment horizontal="center" vertical="center"/>
    </xf>
    <xf numFmtId="0" fontId="8" fillId="10" borderId="1" xfId="4" applyNumberFormat="1" applyFont="1" applyFill="1" applyBorder="1" applyAlignment="1">
      <alignment horizontal="center" vertical="center"/>
    </xf>
    <xf numFmtId="165" fontId="8" fillId="10" borderId="1" xfId="4" applyNumberFormat="1" applyFont="1" applyFill="1" applyBorder="1" applyAlignment="1">
      <alignment horizontal="center" vertical="center"/>
    </xf>
    <xf numFmtId="166" fontId="34" fillId="20" borderId="1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center" vertical="center"/>
    </xf>
    <xf numFmtId="0" fontId="40" fillId="11" borderId="1" xfId="0" applyFont="1" applyFill="1" applyBorder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/>
    </xf>
    <xf numFmtId="49" fontId="5" fillId="4" borderId="0" xfId="0" applyNumberFormat="1" applyFont="1" applyFill="1" applyAlignment="1">
      <alignment horizontal="left" vertical="center"/>
    </xf>
    <xf numFmtId="49" fontId="6" fillId="4" borderId="1" xfId="0" applyNumberFormat="1" applyFont="1" applyFill="1" applyBorder="1" applyAlignment="1">
      <alignment horizontal="center" vertical="center" wrapText="1"/>
    </xf>
    <xf numFmtId="49" fontId="7" fillId="13" borderId="1" xfId="0" applyNumberFormat="1" applyFont="1" applyFill="1" applyBorder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0" fontId="7" fillId="13" borderId="1" xfId="0" applyFont="1" applyFill="1" applyBorder="1" applyAlignment="1">
      <alignment horizontal="left" vertical="center"/>
    </xf>
    <xf numFmtId="0" fontId="1" fillId="0" borderId="0" xfId="1" applyFont="1" applyAlignment="1">
      <alignment wrapText="1"/>
    </xf>
    <xf numFmtId="168" fontId="9" fillId="9" borderId="3" xfId="0" applyNumberFormat="1" applyFont="1" applyFill="1" applyBorder="1" applyAlignment="1">
      <alignment horizontal="center" vertical="center"/>
    </xf>
    <xf numFmtId="0" fontId="41" fillId="32" borderId="8" xfId="0" applyFont="1" applyFill="1" applyBorder="1" applyAlignment="1">
      <alignment horizontal="center" vertical="center" wrapText="1"/>
    </xf>
    <xf numFmtId="0" fontId="0" fillId="34" borderId="5" xfId="0" applyFill="1" applyBorder="1" applyAlignment="1">
      <alignment horizontal="center"/>
    </xf>
    <xf numFmtId="168" fontId="9" fillId="35" borderId="5" xfId="0" applyNumberFormat="1" applyFont="1" applyFill="1" applyBorder="1" applyAlignment="1">
      <alignment horizontal="center" vertical="center"/>
    </xf>
    <xf numFmtId="0" fontId="21" fillId="21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33" borderId="4" xfId="0" applyFill="1" applyBorder="1" applyAlignment="1">
      <alignment horizontal="center"/>
    </xf>
    <xf numFmtId="0" fontId="5" fillId="4" borderId="0" xfId="0" applyFont="1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1" fillId="21" borderId="4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left" vertical="center"/>
    </xf>
    <xf numFmtId="0" fontId="22" fillId="21" borderId="0" xfId="0" applyFont="1" applyFill="1" applyAlignment="1">
      <alignment horizontal="left" vertical="center"/>
    </xf>
    <xf numFmtId="0" fontId="5" fillId="21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left" vertical="center"/>
    </xf>
    <xf numFmtId="0" fontId="21" fillId="5" borderId="0" xfId="0" applyFont="1" applyFill="1" applyAlignment="1">
      <alignment horizontal="left" vertical="center"/>
    </xf>
    <xf numFmtId="0" fontId="25" fillId="9" borderId="2" xfId="0" applyFont="1" applyFill="1" applyBorder="1" applyAlignment="1">
      <alignment horizontal="left" vertical="top" wrapText="1"/>
    </xf>
  </cellXfs>
  <cellStyles count="5">
    <cellStyle name="Normal" xfId="0" builtinId="0"/>
    <cellStyle name="Normal 2" xfId="2" xr:uid="{B4A3ED3A-21D2-4C46-B401-7A86BAD2C071}"/>
    <cellStyle name="Normal 3" xfId="3" xr:uid="{8767A2EF-C862-499D-9463-8068814FA35A}"/>
    <cellStyle name="Normal 41" xfId="1" xr:uid="{B1C9208D-DE54-4F86-9CC0-4BDBD4AE4B23}"/>
    <cellStyle name="Percent" xfId="4" builtinId="5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z val="9"/>
        <color rgb="FF155724"/>
        <name val="Segoe UI"/>
        <charset val="1"/>
      </font>
      <fill>
        <patternFill>
          <bgColor rgb="FFD4EDDA"/>
        </patternFill>
      </fill>
    </dxf>
    <dxf>
      <font>
        <b/>
        <sz val="9"/>
        <color rgb="FF0A2D6E"/>
        <name val="Segoe UI"/>
        <charset val="1"/>
      </font>
      <fill>
        <patternFill>
          <bgColor rgb="FFE8F0F8"/>
        </patternFill>
      </fill>
    </dxf>
    <dxf>
      <font>
        <b/>
        <sz val="9"/>
        <color rgb="FF155724"/>
        <name val="Segoe UI"/>
        <charset val="1"/>
      </font>
      <fill>
        <patternFill>
          <bgColor rgb="FFD4EDDA"/>
        </patternFill>
      </fill>
    </dxf>
    <dxf>
      <font>
        <b/>
        <sz val="9"/>
        <color rgb="FF856404"/>
        <name val="Segoe UI"/>
        <charset val="1"/>
      </font>
      <fill>
        <patternFill>
          <bgColor rgb="FFFFF3CD"/>
        </patternFill>
      </fill>
    </dxf>
    <dxf>
      <font>
        <b/>
        <sz val="9"/>
        <color rgb="FFC0392B"/>
        <name val="Segoe UI"/>
        <charset val="1"/>
      </font>
      <fill>
        <patternFill>
          <bgColor rgb="FFFFD0D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8F8F8"/>
      <rgbColor rgb="FFFF00FF"/>
      <rgbColor rgb="FF00FFFF"/>
      <rgbColor rgb="FF800000"/>
      <rgbColor rgb="FF006600"/>
      <rgbColor rgb="FF00008B"/>
      <rgbColor rgb="FF856404"/>
      <rgbColor rgb="FF800080"/>
      <rgbColor rgb="FF1A7A4A"/>
      <rgbColor rgb="FFBBBBBB"/>
      <rgbColor rgb="FF888888"/>
      <rgbColor rgb="FF9999FF"/>
      <rgbColor rgb="FFC0392B"/>
      <rgbColor rgb="FFFFF3CD"/>
      <rgbColor rgb="FFE8F5E8"/>
      <rgbColor rgb="FF4A0A6A"/>
      <rgbColor rgb="FFFF8080"/>
      <rgbColor rgb="FF2A4A6A"/>
      <rgbColor rgb="FFF3E8FF"/>
      <rgbColor rgb="FF1A4A4A"/>
      <rgbColor rgb="FFFF00FF"/>
      <rgbColor rgb="FFF8FAFA"/>
      <rgbColor rgb="FF00FFFF"/>
      <rgbColor rgb="FF800080"/>
      <rgbColor rgb="FF800000"/>
      <rgbColor rgb="FF1A5A2A"/>
      <rgbColor rgb="FF0000FF"/>
      <rgbColor rgb="FF00CCFF"/>
      <rgbColor rgb="FFE8F0F8"/>
      <rgbColor rgb="FFD4EDDA"/>
      <rgbColor rgb="FFFFF8E8"/>
      <rgbColor rgb="FFF0F5FA"/>
      <rgbColor rgb="FFF5F5F5"/>
      <rgbColor rgb="FFF5F8FF"/>
      <rgbColor rgb="FFFFD0D0"/>
      <rgbColor rgb="FF3366FF"/>
      <rgbColor rgb="FF33CCCC"/>
      <rgbColor rgb="FF99CC00"/>
      <rgbColor rgb="FFFFCC00"/>
      <rgbColor rgb="FFC4900A"/>
      <rgbColor rgb="FFFF6600"/>
      <rgbColor rgb="FF555555"/>
      <rgbColor rgb="FF969696"/>
      <rgbColor rgb="FF0A2D6E"/>
      <rgbColor rgb="FF1A5A1A"/>
      <rgbColor rgb="FF155724"/>
      <rgbColor rgb="FF5A3000"/>
      <rgbColor rgb="FF8A4A00"/>
      <rgbColor rgb="FF993366"/>
      <rgbColor rgb="FF4A2A6A"/>
      <rgbColor rgb="FF1A3A5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1028700</xdr:colOff>
          <xdr:row>0</xdr:row>
          <xdr:rowOff>66675</xdr:rowOff>
        </xdr:from>
        <xdr:to>
          <xdr:col>6</xdr:col>
          <xdr:colOff>2552700</xdr:colOff>
          <xdr:row>0</xdr:row>
          <xdr:rowOff>333375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2914650</xdr:colOff>
          <xdr:row>0</xdr:row>
          <xdr:rowOff>47625</xdr:rowOff>
        </xdr:from>
        <xdr:to>
          <xdr:col>6</xdr:col>
          <xdr:colOff>4448175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Weekly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ray, Ryan" id="{77153010-C14B-44D8-8CDF-DADCF2635F46}" userId="S::Ryan.Gray@NEXWEB.ORG::2d36363b-60f2-4c85-a0a3-4fbe9eae628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T3" dT="2026-06-03T13:25:16.26" personId="{77153010-C14B-44D8-8CDF-DADCF2635F46}" id="{387065EA-9F12-4AF2-B878-CF53CBB5ECC3}">
    <text xml:space="preserve">All dimension information comes from ITEM_SUPP_COUNTRY_DIM </text>
  </threadedComment>
  <threadedComment ref="A4" dT="2026-06-03T12:59:32.87" personId="{77153010-C14B-44D8-8CDF-DADCF2635F46}" id="{ADE16C6B-7B84-43F6-B026-325FDCC6BEDB}">
    <text>From table RMS.ITEM_MASTER</text>
  </threadedComment>
  <threadedComment ref="B4" dT="2026-06-03T12:59:28.63" personId="{77153010-C14B-44D8-8CDF-DADCF2635F46}" id="{F9212F5B-A94F-48B4-AD27-6EE530EC4F3E}">
    <text>From table RMS.ITEM_MASTER</text>
  </threadedComment>
  <threadedComment ref="C4" dT="2026-06-03T13:01:18.00" personId="{77153010-C14B-44D8-8CDF-DADCF2635F46}" id="{047F168E-CE91-4742-99ED-C8AB0137BEF1}">
    <text>From table RMS.ITEM_SUPPLIER.VPN</text>
  </threadedComment>
  <threadedComment ref="D4" dT="2026-06-03T12:58:32.13" personId="{77153010-C14B-44D8-8CDF-DADCF2635F46}" id="{A68AFA55-3A15-48DB-9829-5C876AD9B235}">
    <text>From table RMS.ITEM_MASTER</text>
  </threadedComment>
  <threadedComment ref="E4" dT="2026-06-03T13:00:44.44" personId="{77153010-C14B-44D8-8CDF-DADCF2635F46}" id="{039B7FB7-E46E-493F-8975-9F64D092A00E}">
    <text>From table RMS.ITEM_SUPP_COUNTRY</text>
  </threadedComment>
  <threadedComment ref="F4" dT="2026-06-03T13:00:09.12" personId="{77153010-C14B-44D8-8CDF-DADCF2635F46}" id="{7673B213-CCD3-4CC4-B942-901C87F0BE52}">
    <text>From table RMS.ITEM_LOC</text>
  </threadedComment>
  <threadedComment ref="G4" dT="2026-06-03T12:59:36.11" personId="{77153010-C14B-44D8-8CDF-DADCF2635F46}" id="{2071778C-CE80-4D2B-9D31-DA790D72FF95}">
    <text>From table RMS.ITEM_MASTER</text>
  </threadedComment>
  <threadedComment ref="L4" dT="2026-06-03T12:54:00.73" personId="{77153010-C14B-44D8-8CDF-DADCF2635F46}" id="{E397846E-9211-42CB-B842-1F32186080BD}">
    <text>From table ITEM_SUPP_COUNTRY</text>
  </threadedComment>
  <threadedComment ref="M4" dT="2026-06-04T14:18:45.82" personId="{77153010-C14B-44D8-8CDF-DADCF2635F46}" id="{9BD9A49E-A333-4F8D-8C7B-FC0345E7D8D3}">
    <text xml:space="preserve">From table RMS.CLASS </text>
  </threadedComment>
  <threadedComment ref="N4" dT="2026-06-04T14:17:59.68" personId="{77153010-C14B-44D8-8CDF-DADCF2635F46}" id="{D702F595-30FC-44EE-B417-3FF44BF75601}">
    <text xml:space="preserve">From table RMS.CLASS </text>
  </threadedComment>
  <threadedComment ref="O4" dT="2026-06-04T14:18:03.63" personId="{77153010-C14B-44D8-8CDF-DADCF2635F46}" id="{6D1F587B-5AA7-42FA-B649-ABA04B3FABD2}">
    <text xml:space="preserve">From table RMS.CLASS </text>
  </threadedComment>
  <threadedComment ref="AA4" dT="2026-06-03T12:50:16.91" personId="{77153010-C14B-44D8-8CDF-DADCF2635F46}" id="{64311FE0-A08A-454E-976F-899EE6DE3B40}">
    <text>This information is pulled from table RMS.REPL_ITEM_LOC. This table is used to review replenishment parameters. It finds the item in the table and then sums the number of locations the item is replenishing to.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8FE7-2DFB-4C56-918F-5A80873C2CD5}">
  <sheetPr codeName="Sheet31"/>
  <dimension ref="A1:B1"/>
  <sheetViews>
    <sheetView workbookViewId="0">
      <selection activeCell="B5" sqref="B5"/>
    </sheetView>
  </sheetViews>
  <sheetFormatPr defaultColWidth="9.42578125" defaultRowHeight="15" x14ac:dyDescent="0.25"/>
  <cols>
    <col min="1" max="1" width="5.42578125" style="49" customWidth="1"/>
    <col min="2" max="2" width="127.42578125" style="49" customWidth="1"/>
    <col min="3" max="16384" width="9.42578125" style="49"/>
  </cols>
  <sheetData>
    <row r="1" spans="1:2" ht="302.25" customHeight="1" x14ac:dyDescent="0.25">
      <c r="A1" s="48" t="s">
        <v>72</v>
      </c>
      <c r="B1" s="90" t="s">
        <v>168</v>
      </c>
    </row>
  </sheetData>
  <customSheetViews>
    <customSheetView guid="{FE60293F-D66D-444E-A1CD-0D97CF17EBD5}" state="hidden">
      <selection activeCell="B17" sqref="B17"/>
      <pageMargins left="0.7" right="0.7" top="0.75" bottom="0.75" header="0.3" footer="0.3"/>
    </customSheetView>
    <customSheetView guid="{3301D7ED-6574-40EB-BC76-168E5F04FB0F}">
      <selection activeCell="B1" sqref="B1"/>
      <pageMargins left="0.7" right="0.7" top="0.75" bottom="0.75" header="0.3" footer="0.3"/>
    </customSheetView>
    <customSheetView guid="{747C58B5-1285-44D2-9D58-49973DC73188}">
      <selection activeCell="B1" sqref="B1"/>
      <pageMargins left="0.7" right="0.7" top="0.75" bottom="0.75" header="0.3" footer="0.3"/>
    </customSheetView>
    <customSheetView guid="{BFC23A99-8068-4F7A-A3EF-B0436B22DBB2}">
      <selection activeCell="B1" sqref="B1"/>
      <pageMargins left="0.7" right="0.7" top="0.75" bottom="0.75" header="0.3" footer="0.3"/>
    </customSheetView>
    <customSheetView guid="{051F7B8E-8887-4F7C-BE84-39381F59BBAB}">
      <selection activeCell="B1" sqref="B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A4A00"/>
  </sheetPr>
  <dimension ref="A1:C38"/>
  <sheetViews>
    <sheetView showGridLines="0" workbookViewId="0">
      <selection sqref="A1:C1"/>
    </sheetView>
  </sheetViews>
  <sheetFormatPr defaultColWidth="8.7109375" defaultRowHeight="15" x14ac:dyDescent="0.25"/>
  <cols>
    <col min="1" max="1" width="4" customWidth="1"/>
    <col min="2" max="2" width="34" customWidth="1"/>
    <col min="3" max="3" width="82" customWidth="1"/>
  </cols>
  <sheetData>
    <row r="1" spans="1:3" ht="30" customHeight="1" x14ac:dyDescent="0.25">
      <c r="A1" s="96" t="s">
        <v>82</v>
      </c>
      <c r="B1" s="96"/>
      <c r="C1" s="96"/>
    </row>
    <row r="2" spans="1:3" ht="21.75" customHeight="1" x14ac:dyDescent="0.25">
      <c r="B2" s="95" t="s">
        <v>83</v>
      </c>
      <c r="C2" s="95"/>
    </row>
    <row r="3" spans="1:3" ht="18" customHeight="1" x14ac:dyDescent="0.25">
      <c r="B3" s="45" t="s">
        <v>84</v>
      </c>
      <c r="C3" s="46" t="s">
        <v>85</v>
      </c>
    </row>
    <row r="4" spans="1:3" ht="18" customHeight="1" x14ac:dyDescent="0.25">
      <c r="B4" s="29" t="s">
        <v>86</v>
      </c>
      <c r="C4" s="47" t="s">
        <v>87</v>
      </c>
    </row>
    <row r="5" spans="1:3" ht="18" customHeight="1" x14ac:dyDescent="0.25">
      <c r="B5" s="45" t="s">
        <v>88</v>
      </c>
      <c r="C5" s="46" t="s">
        <v>89</v>
      </c>
    </row>
    <row r="6" spans="1:3" ht="18" customHeight="1" x14ac:dyDescent="0.25">
      <c r="B6" s="29" t="s">
        <v>90</v>
      </c>
      <c r="C6" s="47" t="s">
        <v>91</v>
      </c>
    </row>
    <row r="7" spans="1:3" ht="18" customHeight="1" x14ac:dyDescent="0.25">
      <c r="B7" s="45" t="s">
        <v>92</v>
      </c>
      <c r="C7" s="46" t="s">
        <v>93</v>
      </c>
    </row>
    <row r="8" spans="1:3" ht="7.5" customHeight="1" x14ac:dyDescent="0.25"/>
    <row r="9" spans="1:3" ht="21.75" customHeight="1" x14ac:dyDescent="0.25">
      <c r="B9" s="95" t="s">
        <v>94</v>
      </c>
      <c r="C9" s="95"/>
    </row>
    <row r="10" spans="1:3" ht="18" customHeight="1" x14ac:dyDescent="0.25">
      <c r="B10" s="29" t="s">
        <v>95</v>
      </c>
      <c r="C10" s="47" t="s">
        <v>96</v>
      </c>
    </row>
    <row r="11" spans="1:3" ht="18" customHeight="1" x14ac:dyDescent="0.25">
      <c r="B11" s="45" t="s">
        <v>97</v>
      </c>
      <c r="C11" s="46" t="s">
        <v>98</v>
      </c>
    </row>
    <row r="12" spans="1:3" ht="18" customHeight="1" x14ac:dyDescent="0.25">
      <c r="B12" s="29" t="s">
        <v>99</v>
      </c>
      <c r="C12" s="47" t="s">
        <v>100</v>
      </c>
    </row>
    <row r="13" spans="1:3" ht="18" customHeight="1" x14ac:dyDescent="0.25">
      <c r="B13" s="45" t="s">
        <v>101</v>
      </c>
      <c r="C13" s="46" t="s">
        <v>102</v>
      </c>
    </row>
    <row r="14" spans="1:3" ht="18" customHeight="1" x14ac:dyDescent="0.25">
      <c r="B14" s="29" t="s">
        <v>103</v>
      </c>
      <c r="C14" s="47" t="s">
        <v>104</v>
      </c>
    </row>
    <row r="15" spans="1:3" ht="7.5" customHeight="1" x14ac:dyDescent="0.25"/>
    <row r="16" spans="1:3" ht="21.75" customHeight="1" x14ac:dyDescent="0.25">
      <c r="B16" s="95" t="s">
        <v>105</v>
      </c>
      <c r="C16" s="95"/>
    </row>
    <row r="17" spans="2:3" ht="18" customHeight="1" x14ac:dyDescent="0.25">
      <c r="B17" s="45" t="s">
        <v>106</v>
      </c>
      <c r="C17" s="46" t="s">
        <v>107</v>
      </c>
    </row>
    <row r="18" spans="2:3" ht="18" customHeight="1" x14ac:dyDescent="0.25">
      <c r="B18" s="29" t="s">
        <v>108</v>
      </c>
      <c r="C18" s="47" t="s">
        <v>109</v>
      </c>
    </row>
    <row r="19" spans="2:3" ht="18" customHeight="1" x14ac:dyDescent="0.25">
      <c r="B19" s="45" t="s">
        <v>110</v>
      </c>
      <c r="C19" s="46" t="s">
        <v>111</v>
      </c>
    </row>
    <row r="20" spans="2:3" ht="18" customHeight="1" x14ac:dyDescent="0.25">
      <c r="B20" s="29" t="s">
        <v>112</v>
      </c>
      <c r="C20" s="47" t="s">
        <v>113</v>
      </c>
    </row>
    <row r="21" spans="2:3" ht="7.5" customHeight="1" x14ac:dyDescent="0.25"/>
    <row r="22" spans="2:3" ht="21.75" customHeight="1" x14ac:dyDescent="0.25">
      <c r="B22" s="95" t="s">
        <v>114</v>
      </c>
      <c r="C22" s="95"/>
    </row>
    <row r="23" spans="2:3" ht="18" customHeight="1" x14ac:dyDescent="0.25">
      <c r="B23" s="45" t="s">
        <v>115</v>
      </c>
      <c r="C23" s="46" t="s">
        <v>116</v>
      </c>
    </row>
    <row r="24" spans="2:3" ht="18" customHeight="1" x14ac:dyDescent="0.25">
      <c r="B24" s="29" t="s">
        <v>117</v>
      </c>
      <c r="C24" s="47" t="s">
        <v>118</v>
      </c>
    </row>
    <row r="25" spans="2:3" ht="18" customHeight="1" x14ac:dyDescent="0.25">
      <c r="B25" s="45" t="s">
        <v>119</v>
      </c>
      <c r="C25" s="46" t="s">
        <v>120</v>
      </c>
    </row>
    <row r="26" spans="2:3" ht="18" customHeight="1" x14ac:dyDescent="0.25">
      <c r="B26" s="29" t="s">
        <v>121</v>
      </c>
      <c r="C26" s="47" t="s">
        <v>122</v>
      </c>
    </row>
    <row r="27" spans="2:3" ht="18" customHeight="1" x14ac:dyDescent="0.25">
      <c r="B27" s="45" t="s">
        <v>123</v>
      </c>
      <c r="C27" s="46" t="s">
        <v>124</v>
      </c>
    </row>
    <row r="28" spans="2:3" ht="18" customHeight="1" x14ac:dyDescent="0.25">
      <c r="B28" s="29" t="s">
        <v>125</v>
      </c>
      <c r="C28" s="47" t="s">
        <v>126</v>
      </c>
    </row>
    <row r="29" spans="2:3" ht="18" customHeight="1" x14ac:dyDescent="0.25">
      <c r="B29" s="45" t="s">
        <v>127</v>
      </c>
      <c r="C29" s="46" t="s">
        <v>128</v>
      </c>
    </row>
    <row r="30" spans="2:3" ht="7.5" customHeight="1" x14ac:dyDescent="0.25"/>
    <row r="31" spans="2:3" ht="21.75" customHeight="1" x14ac:dyDescent="0.25">
      <c r="B31" s="95" t="s">
        <v>129</v>
      </c>
      <c r="C31" s="95"/>
    </row>
    <row r="32" spans="2:3" ht="18" customHeight="1" x14ac:dyDescent="0.25">
      <c r="B32" s="29" t="s">
        <v>130</v>
      </c>
      <c r="C32" s="47" t="s">
        <v>131</v>
      </c>
    </row>
    <row r="33" spans="2:3" ht="18" customHeight="1" x14ac:dyDescent="0.25">
      <c r="B33" s="45" t="s">
        <v>132</v>
      </c>
      <c r="C33" s="46" t="s">
        <v>133</v>
      </c>
    </row>
    <row r="34" spans="2:3" ht="18" customHeight="1" x14ac:dyDescent="0.25">
      <c r="B34" s="29" t="s">
        <v>134</v>
      </c>
      <c r="C34" s="47" t="s">
        <v>135</v>
      </c>
    </row>
    <row r="35" spans="2:3" ht="18" customHeight="1" x14ac:dyDescent="0.25">
      <c r="B35" s="45" t="s">
        <v>136</v>
      </c>
      <c r="C35" s="46" t="s">
        <v>137</v>
      </c>
    </row>
    <row r="36" spans="2:3" ht="18" customHeight="1" x14ac:dyDescent="0.25">
      <c r="B36" s="29" t="s">
        <v>138</v>
      </c>
      <c r="C36" s="47" t="s">
        <v>139</v>
      </c>
    </row>
    <row r="37" spans="2:3" ht="18" customHeight="1" x14ac:dyDescent="0.25">
      <c r="B37" s="45" t="s">
        <v>140</v>
      </c>
      <c r="C37" s="46" t="s">
        <v>141</v>
      </c>
    </row>
    <row r="38" spans="2:3" ht="18" customHeight="1" x14ac:dyDescent="0.25">
      <c r="B38" s="29" t="s">
        <v>142</v>
      </c>
      <c r="C38" s="47" t="s">
        <v>143</v>
      </c>
    </row>
  </sheetData>
  <customSheetViews>
    <customSheetView guid="{FE60293F-D66D-444E-A1CD-0D97CF17EBD5}" showGridLines="0">
      <selection sqref="A1:C1"/>
      <pageMargins left="0.75" right="0.75" top="1" bottom="1" header="0.511811023622047" footer="0.511811023622047"/>
      <pageSetup paperSize="9" orientation="portrait" horizontalDpi="300" verticalDpi="300"/>
    </customSheetView>
    <customSheetView guid="{3301D7ED-6574-40EB-BC76-168E5F04FB0F}" showGridLines="0">
      <selection sqref="A1:C1"/>
      <pageMargins left="0.75" right="0.75" top="1" bottom="1" header="0.511811023622047" footer="0.511811023622047"/>
      <pageSetup paperSize="9" orientation="portrait" horizontalDpi="300" verticalDpi="300"/>
    </customSheetView>
    <customSheetView guid="{747C58B5-1285-44D2-9D58-49973DC73188}" showGridLines="0">
      <selection sqref="A1:C1"/>
      <pageMargins left="0.75" right="0.75" top="1" bottom="1" header="0.511811023622047" footer="0.511811023622047"/>
      <pageSetup paperSize="9" orientation="portrait" horizontalDpi="300" verticalDpi="300"/>
    </customSheetView>
    <customSheetView guid="{BFC23A99-8068-4F7A-A3EF-B0436B22DBB2}" showGridLines="0">
      <selection sqref="A1:C1"/>
      <pageMargins left="0.75" right="0.75" top="1" bottom="1" header="0.511811023622047" footer="0.511811023622047"/>
      <pageSetup paperSize="9" orientation="portrait" horizontalDpi="300" verticalDpi="300"/>
    </customSheetView>
    <customSheetView guid="{051F7B8E-8887-4F7C-BE84-39381F59BBAB}" showGridLines="0">
      <selection sqref="A1:C1"/>
      <pageMargins left="0.75" right="0.75" top="1" bottom="1" header="0.511811023622047" footer="0.511811023622047"/>
      <pageSetup paperSize="9" orientation="portrait" horizontalDpi="300" verticalDpi="300"/>
    </customSheetView>
  </customSheetViews>
  <mergeCells count="6">
    <mergeCell ref="B31:C31"/>
    <mergeCell ref="A1:C1"/>
    <mergeCell ref="B2:C2"/>
    <mergeCell ref="B9:C9"/>
    <mergeCell ref="B16:C16"/>
    <mergeCell ref="B22:C22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A2D6E"/>
  </sheetPr>
  <dimension ref="A1:AW635"/>
  <sheetViews>
    <sheetView showGridLines="0" tabSelected="1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I6" sqref="I6"/>
    </sheetView>
  </sheetViews>
  <sheetFormatPr defaultColWidth="8.7109375" defaultRowHeight="15" x14ac:dyDescent="0.25"/>
  <cols>
    <col min="1" max="1" width="10.85546875" style="50" bestFit="1" customWidth="1"/>
    <col min="2" max="2" width="12.85546875" style="50" bestFit="1" customWidth="1"/>
    <col min="3" max="3" width="16.140625" style="50" customWidth="1"/>
    <col min="4" max="4" width="14.7109375" style="50" customWidth="1"/>
    <col min="5" max="5" width="10.7109375" style="50" bestFit="1" customWidth="1"/>
    <col min="6" max="6" width="11" style="50" bestFit="1" customWidth="1"/>
    <col min="7" max="7" width="86.140625" style="50" bestFit="1" customWidth="1"/>
    <col min="8" max="8" width="11.7109375" style="50" bestFit="1" customWidth="1"/>
    <col min="9" max="9" width="15.5703125" style="50" customWidth="1"/>
    <col min="10" max="10" width="10.85546875" style="50" customWidth="1"/>
    <col min="11" max="11" width="9.42578125" style="50" customWidth="1"/>
    <col min="12" max="13" width="9.42578125" style="88" customWidth="1"/>
    <col min="14" max="14" width="16.5703125" style="88" bestFit="1" customWidth="1"/>
    <col min="15" max="15" width="11.42578125" style="88" bestFit="1" customWidth="1"/>
    <col min="16" max="16" width="9.5703125" style="50" customWidth="1"/>
    <col min="17" max="17" width="8.42578125" style="50" customWidth="1"/>
    <col min="18" max="18" width="9.28515625" style="50" customWidth="1"/>
    <col min="19" max="19" width="11.42578125" style="50" customWidth="1"/>
    <col min="20" max="20" width="12.85546875" style="50" customWidth="1"/>
    <col min="21" max="22" width="13.7109375" style="50" customWidth="1"/>
    <col min="23" max="23" width="9.140625" style="50" customWidth="1"/>
    <col min="24" max="24" width="9.85546875" style="50" customWidth="1"/>
    <col min="25" max="26" width="11.42578125" style="50" customWidth="1"/>
    <col min="27" max="27" width="12.5703125" style="50" customWidth="1"/>
    <col min="28" max="28" width="9.85546875" style="50" customWidth="1"/>
    <col min="29" max="29" width="9.28515625" style="50" customWidth="1"/>
    <col min="30" max="30" width="11.7109375" style="50" customWidth="1"/>
    <col min="31" max="31" width="10" style="50" bestFit="1" customWidth="1"/>
    <col min="32" max="32" width="13" style="50" customWidth="1"/>
    <col min="33" max="33" width="10.5703125" style="50" customWidth="1"/>
    <col min="34" max="34" width="9.42578125" style="50" customWidth="1"/>
    <col min="35" max="35" width="10.7109375" style="50" customWidth="1"/>
    <col min="36" max="37" width="13.7109375" style="50" customWidth="1"/>
    <col min="38" max="38" width="10" style="50" customWidth="1"/>
    <col min="39" max="39" width="9.140625" style="50" customWidth="1"/>
    <col min="40" max="40" width="11.140625" style="50" customWidth="1"/>
    <col min="41" max="41" width="10.7109375" style="50" customWidth="1"/>
    <col min="42" max="42" width="24.28515625" style="50" bestFit="1" customWidth="1"/>
    <col min="43" max="43" width="13.140625" style="50" bestFit="1" customWidth="1"/>
    <col min="44" max="44" width="11.42578125" style="50" bestFit="1" customWidth="1"/>
    <col min="45" max="48" width="8.7109375" style="50"/>
    <col min="49" max="49" width="11.140625" style="50" customWidth="1"/>
    <col min="50" max="16384" width="8.7109375" style="50"/>
  </cols>
  <sheetData>
    <row r="1" spans="1:49" ht="30" customHeight="1" x14ac:dyDescent="0.25">
      <c r="A1" s="96" t="s">
        <v>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</row>
    <row r="2" spans="1:49" ht="15.75" customHeight="1" x14ac:dyDescent="0.25">
      <c r="A2" s="102" t="s">
        <v>1</v>
      </c>
      <c r="B2" s="102"/>
      <c r="C2" s="102"/>
      <c r="D2" s="102"/>
      <c r="E2" s="102"/>
      <c r="F2" s="102"/>
      <c r="G2" s="102"/>
      <c r="H2" s="66"/>
      <c r="I2" s="66"/>
      <c r="J2" s="66"/>
      <c r="K2" s="66"/>
      <c r="L2" s="83"/>
      <c r="M2" s="83"/>
      <c r="N2" s="83"/>
      <c r="O2" s="83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</row>
    <row r="3" spans="1:49" ht="18" customHeight="1" x14ac:dyDescent="0.25">
      <c r="A3" s="98" t="s">
        <v>2</v>
      </c>
      <c r="B3" s="98"/>
      <c r="C3" s="98"/>
      <c r="D3" s="98"/>
      <c r="E3" s="98"/>
      <c r="F3" s="98"/>
      <c r="G3" s="98"/>
      <c r="H3" s="98"/>
      <c r="I3" s="98"/>
      <c r="J3" s="98"/>
      <c r="K3" s="98"/>
      <c r="L3" s="84"/>
      <c r="M3" s="84"/>
      <c r="N3" s="84"/>
      <c r="O3" s="84"/>
      <c r="P3" s="101" t="s">
        <v>3</v>
      </c>
      <c r="Q3" s="101"/>
      <c r="R3" s="101"/>
      <c r="S3" s="101"/>
      <c r="T3" s="101"/>
      <c r="U3" s="101"/>
      <c r="V3" s="101"/>
      <c r="W3" s="101"/>
      <c r="X3" s="101"/>
      <c r="Y3" s="99" t="s">
        <v>4</v>
      </c>
      <c r="Z3" s="99"/>
      <c r="AA3" s="99"/>
      <c r="AB3" s="99"/>
      <c r="AC3" s="99"/>
      <c r="AD3" s="99"/>
      <c r="AE3" s="99"/>
      <c r="AF3" s="100" t="s">
        <v>165</v>
      </c>
      <c r="AG3" s="100"/>
      <c r="AH3" s="100"/>
      <c r="AI3" s="100"/>
      <c r="AJ3" s="100"/>
      <c r="AK3" s="100"/>
      <c r="AL3" s="100"/>
      <c r="AM3" s="52"/>
      <c r="AN3" s="53"/>
      <c r="AO3" s="54"/>
      <c r="AP3" s="54" t="s">
        <v>150</v>
      </c>
      <c r="AQ3" s="54"/>
      <c r="AR3" s="54"/>
      <c r="AS3" s="52"/>
      <c r="AT3" s="97" t="s">
        <v>169</v>
      </c>
      <c r="AU3" s="97"/>
      <c r="AV3" s="97"/>
      <c r="AW3" s="97"/>
    </row>
    <row r="4" spans="1:49" ht="37.5" customHeight="1" x14ac:dyDescent="0.25">
      <c r="A4" s="1" t="s">
        <v>5</v>
      </c>
      <c r="B4" s="1" t="s">
        <v>146</v>
      </c>
      <c r="C4" s="1" t="s">
        <v>6</v>
      </c>
      <c r="D4" s="1" t="s">
        <v>7</v>
      </c>
      <c r="E4" s="2" t="s">
        <v>8</v>
      </c>
      <c r="F4" s="2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85" t="s">
        <v>166</v>
      </c>
      <c r="M4" s="85" t="s">
        <v>174</v>
      </c>
      <c r="N4" s="85" t="s">
        <v>175</v>
      </c>
      <c r="O4" s="85" t="s">
        <v>176</v>
      </c>
      <c r="P4" s="3" t="s">
        <v>145</v>
      </c>
      <c r="Q4" s="3" t="s">
        <v>15</v>
      </c>
      <c r="R4" s="3" t="s">
        <v>16</v>
      </c>
      <c r="S4" s="3" t="s">
        <v>17</v>
      </c>
      <c r="T4" s="3" t="s">
        <v>147</v>
      </c>
      <c r="U4" s="3" t="s">
        <v>148</v>
      </c>
      <c r="V4" s="3" t="s">
        <v>149</v>
      </c>
      <c r="W4" s="3" t="s">
        <v>18</v>
      </c>
      <c r="X4" s="3" t="s">
        <v>19</v>
      </c>
      <c r="Y4" s="4" t="s">
        <v>20</v>
      </c>
      <c r="Z4" s="4" t="s">
        <v>21</v>
      </c>
      <c r="AA4" s="4" t="s">
        <v>167</v>
      </c>
      <c r="AB4" s="4" t="s">
        <v>22</v>
      </c>
      <c r="AC4" s="4" t="s">
        <v>23</v>
      </c>
      <c r="AD4" s="4" t="s">
        <v>24</v>
      </c>
      <c r="AE4" s="4" t="s">
        <v>25</v>
      </c>
      <c r="AF4" s="5" t="s">
        <v>26</v>
      </c>
      <c r="AG4" s="5" t="s">
        <v>27</v>
      </c>
      <c r="AH4" s="5" t="s">
        <v>28</v>
      </c>
      <c r="AI4" s="5" t="s">
        <v>29</v>
      </c>
      <c r="AJ4" s="5" t="s">
        <v>30</v>
      </c>
      <c r="AK4" s="5" t="s">
        <v>31</v>
      </c>
      <c r="AL4" s="5" t="s">
        <v>32</v>
      </c>
      <c r="AM4" s="55" t="s">
        <v>151</v>
      </c>
      <c r="AN4" s="56" t="s">
        <v>152</v>
      </c>
      <c r="AO4" s="56" t="s">
        <v>153</v>
      </c>
      <c r="AP4" s="2" t="s">
        <v>154</v>
      </c>
      <c r="AQ4" s="57" t="s">
        <v>155</v>
      </c>
      <c r="AR4" s="2" t="s">
        <v>156</v>
      </c>
      <c r="AS4" s="2" t="s">
        <v>156</v>
      </c>
      <c r="AT4" s="92" t="s">
        <v>170</v>
      </c>
      <c r="AU4" s="92" t="s">
        <v>171</v>
      </c>
      <c r="AV4" s="92" t="s">
        <v>172</v>
      </c>
      <c r="AW4" s="92" t="s">
        <v>173</v>
      </c>
    </row>
    <row r="5" spans="1:49" ht="15" customHeight="1" x14ac:dyDescent="0.25">
      <c r="A5" s="89"/>
      <c r="B5" s="12"/>
      <c r="C5" s="12"/>
      <c r="D5" s="60"/>
      <c r="E5" s="6"/>
      <c r="F5" s="6"/>
      <c r="G5" s="12"/>
      <c r="H5" s="12" t="str" cm="2">
        <f t="array" ref="H5">IFERROR(INDEX(BrandList!$A$2:$A$50,MATCH(TRUE,ISNUMBER(SEARCH(BrandList!$A$2:$A$50,G5)),0)),"")</f>
        <v/>
      </c>
      <c r="I5" s="12" t="str" cm="2">
        <f t="array" ref="I5">IFERROR(INDEX(BrandList!$B$2:$B$200,MATCH(TRUE,ISNUMBER(SEARCH(BrandList!$B$2:$B$200,G5)),0)),"")</f>
        <v/>
      </c>
      <c r="J5" s="12"/>
      <c r="K5" s="12"/>
      <c r="L5" s="60"/>
      <c r="M5" s="60"/>
      <c r="N5" s="60"/>
      <c r="O5" s="60"/>
      <c r="P5" s="7" t="str">
        <f>IFERROR(IF(OR(E5="",F5="",F5=0),"",(F5-E5)/F5),"")</f>
        <v/>
      </c>
      <c r="Q5" s="8">
        <f>IFERROR(VLOOKUP(VALUE(A5),WEEKLY_DATA!$A:$H,2,0),0)</f>
        <v>0</v>
      </c>
      <c r="R5" s="8">
        <f>IFERROR(VLOOKUP(VALUE(A5),WEEKLY_DATA!$A:$H,3,0),0)</f>
        <v>0</v>
      </c>
      <c r="S5" s="8">
        <f>IFERROR(VLOOKUP(VALUE(A5),WEEKLY_DATA!$A:$H,4,0),0)</f>
        <v>0</v>
      </c>
      <c r="T5" s="51">
        <f>IFERROR(VLOOKUP(VALUE(A5),WEEKLY_DATA!$A:$H,5,0),0)</f>
        <v>0</v>
      </c>
      <c r="U5" s="51">
        <f>IFERROR(VLOOKUP(VALUE(A5),WEEKLY_DATA!$A:$H,6,0),0)</f>
        <v>0</v>
      </c>
      <c r="V5" s="51">
        <f>IFERROR(VLOOKUP(VALUE(A5),WEEKLY_DATA!$A:$H,7,0),0)</f>
        <v>0</v>
      </c>
      <c r="W5" s="9" t="str">
        <f>IFERROR(IF(OR(Q5="",Q5=0),"",IF(VLOOKUP(VALUE($A5),WEEKLY_DATA!$A:$H,6,0)=0,"No Sales",Q5/(VLOOKUP(VALUE($A5),WEEKLY_DATA!$A:$H,6,0)/13))),"")</f>
        <v/>
      </c>
      <c r="X5" s="10">
        <f>IFERROR(VLOOKUP(VALUE(A5),WEEKLY_DATA!$A:$H,8,0),0)</f>
        <v>0</v>
      </c>
      <c r="Y5" s="13" t="str">
        <f>IFERROR(
IF(J5="Discontinued","🔴 EOL",
IF(J5="Drop Ship","📦 Drop Ship",
IF(J5="New","🆕 New",
IF(W5="","—",
IF(W5&lt;2,"🔴 Critical",
IF(W5&lt;4,"🟡 Low",
IF(W5&gt;26,"🔵 Overstock","🟢 Healthy")
)))))),"")</f>
        <v>—</v>
      </c>
      <c r="Z5" s="11"/>
      <c r="AA5" s="11"/>
      <c r="AB5" s="11"/>
      <c r="AC5" s="11"/>
      <c r="AD5" s="11"/>
      <c r="AE5" s="11"/>
      <c r="AF5" s="61"/>
      <c r="AG5" s="61"/>
      <c r="AH5" s="62"/>
      <c r="AI5" s="62"/>
      <c r="AJ5" s="61"/>
      <c r="AK5" s="61"/>
      <c r="AL5" s="61"/>
      <c r="AM5" s="58" t="str" cm="2">
        <f t="array" ref="AM5">IFERROR(LOOKUP(2, 1/SEARCH({"Black","White","Grey","Blue","Silver","Brown","Green","Blue","Purple","Red","Pink","Yellow","Gold"}, G5), {"Black","White","Grey","Blue","Silver","Brown","Green","Blue","Purple","Red","Pink","Yellow","Gold"}), "")</f>
        <v/>
      </c>
      <c r="AN5" s="58"/>
      <c r="AO5" s="58"/>
      <c r="AP5" s="58"/>
      <c r="AQ5" s="58"/>
      <c r="AR5" s="58"/>
      <c r="AS5" s="91"/>
      <c r="AT5" s="93"/>
      <c r="AU5" s="93"/>
      <c r="AV5" s="93"/>
      <c r="AW5" s="93"/>
    </row>
    <row r="6" spans="1:49" ht="15" customHeight="1" x14ac:dyDescent="0.25">
      <c r="A6" s="89"/>
      <c r="B6" s="12"/>
      <c r="C6" s="12"/>
      <c r="D6" s="60"/>
      <c r="E6" s="6"/>
      <c r="F6" s="6"/>
      <c r="G6" s="12"/>
      <c r="H6" s="12" t="str" cm="2">
        <f t="array" ref="H6">IFERROR(INDEX(BrandList!$A$2:$A$50,MATCH(TRUE,ISNUMBER(SEARCH(BrandList!$A$2:$A$50,G6)),0)),"")</f>
        <v/>
      </c>
      <c r="I6" s="12" t="str" cm="2">
        <f t="array" ref="I6">IFERROR(INDEX(BrandList!$B$2:$B$200,MATCH(TRUE,ISNUMBER(SEARCH(BrandList!$B$2:$B$200,G6)),0)),"")</f>
        <v/>
      </c>
      <c r="J6" s="12"/>
      <c r="K6" s="12"/>
      <c r="L6" s="60"/>
      <c r="M6" s="60"/>
      <c r="N6" s="60"/>
      <c r="O6" s="60"/>
      <c r="P6" s="7" t="str">
        <f>IFERROR(IF(OR(E6="",F6="",F6=0),"",(F6-E6)/F6),"")</f>
        <v/>
      </c>
      <c r="Q6" s="8">
        <f>IFERROR(VLOOKUP(VALUE(A6),WEEKLY_DATA!$A:$H,2,0),0)</f>
        <v>0</v>
      </c>
      <c r="R6" s="8">
        <f>IFERROR(VLOOKUP(VALUE(A6),WEEKLY_DATA!$A:$H,3,0),0)</f>
        <v>0</v>
      </c>
      <c r="S6" s="8">
        <f>IFERROR(VLOOKUP(VALUE(A6),WEEKLY_DATA!$A:$H,4,0),0)</f>
        <v>0</v>
      </c>
      <c r="T6" s="51">
        <f>IFERROR(VLOOKUP(VALUE(A6),WEEKLY_DATA!$A:$H,5,0),0)</f>
        <v>0</v>
      </c>
      <c r="U6" s="51">
        <f>IFERROR(VLOOKUP(VALUE(A6),WEEKLY_DATA!$A:$H,6,0),0)</f>
        <v>0</v>
      </c>
      <c r="V6" s="51">
        <f>IFERROR(VLOOKUP(VALUE(A6),WEEKLY_DATA!$A:$H,7,0),0)</f>
        <v>0</v>
      </c>
      <c r="W6" s="9" t="str">
        <f>IFERROR(IF(OR(Q6="",Q6=0),"",IF(VLOOKUP(VALUE($A6),WEEKLY_DATA!$A:$H,6,0)=0,"No Sales",Q6/(VLOOKUP(VALUE($A6),WEEKLY_DATA!$A:$H,6,0)/13))),"")</f>
        <v/>
      </c>
      <c r="X6" s="10">
        <f>IFERROR(VLOOKUP(VALUE(A6),WEEKLY_DATA!$A:$H,8,0),0)</f>
        <v>0</v>
      </c>
      <c r="Y6" s="13" t="str">
        <f t="shared" ref="Y6:Y69" si="0">IFERROR(
IF(J6="Discontinued","🔴 EOL",
IF(J6="Drop Ship","📦 Drop Ship",
IF(J6="New","🆕 New",
IF(W6="","—",
IF(W6&lt;2,"🔴 Critical",
IF(W6&lt;4,"🟡 Low",
IF(W6&gt;26,"🔵 Overstock","🟢 Healthy")
)))))),"")</f>
        <v>—</v>
      </c>
      <c r="Z6" s="11"/>
      <c r="AA6" s="11"/>
      <c r="AB6" s="11"/>
      <c r="AC6" s="11"/>
      <c r="AD6" s="11"/>
      <c r="AE6" s="11"/>
      <c r="AF6" s="61"/>
      <c r="AG6" s="61"/>
      <c r="AH6" s="62"/>
      <c r="AI6" s="62"/>
      <c r="AJ6" s="61"/>
      <c r="AK6" s="61"/>
      <c r="AL6" s="61"/>
      <c r="AM6" s="58" t="str" cm="2">
        <f t="array" ref="AM6">IFERROR(LOOKUP(2, 1/SEARCH({"Black","White","Grey","Blue","Silver","Brown","Green","Blue","Purple","Red","Pink","Yellow","Gold"}, G6), {"Black","White","Grey","Blue","Silver","Brown","Green","Blue","Purple","Red","Pink","Yellow","Gold"}), "")</f>
        <v/>
      </c>
      <c r="AN6" s="58"/>
      <c r="AO6" s="58"/>
      <c r="AP6" s="58"/>
      <c r="AQ6" s="58"/>
      <c r="AR6" s="58"/>
      <c r="AS6" s="91"/>
      <c r="AT6" s="93"/>
      <c r="AU6" s="93"/>
      <c r="AV6" s="93"/>
      <c r="AW6" s="93"/>
    </row>
    <row r="7" spans="1:49" ht="15" customHeight="1" x14ac:dyDescent="0.25">
      <c r="A7" s="89"/>
      <c r="B7" s="12"/>
      <c r="C7" s="12"/>
      <c r="D7" s="60"/>
      <c r="E7" s="6"/>
      <c r="F7" s="6"/>
      <c r="G7" s="12"/>
      <c r="H7" s="12" t="str" cm="2">
        <f t="array" ref="H7">IFERROR(INDEX(BrandList!$A$2:$A$50,MATCH(TRUE,ISNUMBER(SEARCH(BrandList!$A$2:$A$50,G7)),0)),"")</f>
        <v/>
      </c>
      <c r="I7" s="12" t="str" cm="2">
        <f t="array" ref="I7">IFERROR(INDEX(BrandList!$B$2:$B$200,MATCH(TRUE,ISNUMBER(SEARCH(BrandList!$B$2:$B$200,G7)),0)),"")</f>
        <v/>
      </c>
      <c r="J7" s="12"/>
      <c r="K7" s="59"/>
      <c r="L7" s="86"/>
      <c r="M7" s="86"/>
      <c r="N7" s="86"/>
      <c r="O7" s="86"/>
      <c r="P7" s="7" t="str">
        <f t="shared" ref="P7:P70" si="1">IFERROR(IF(OR(E7="",F7="",F7=0),"",(F7-E7)/F7),"")</f>
        <v/>
      </c>
      <c r="Q7" s="8">
        <f>IFERROR(VLOOKUP(VALUE(A7),WEEKLY_DATA!$A:$H,2,0),0)</f>
        <v>0</v>
      </c>
      <c r="R7" s="8">
        <f>IFERROR(VLOOKUP(VALUE(A7),WEEKLY_DATA!$A:$H,3,0),0)</f>
        <v>0</v>
      </c>
      <c r="S7" s="8">
        <f>IFERROR(VLOOKUP(VALUE(A7),WEEKLY_DATA!$A:$H,4,0),0)</f>
        <v>0</v>
      </c>
      <c r="T7" s="51">
        <f>IFERROR(VLOOKUP(VALUE(A7),WEEKLY_DATA!$A:$H,5,0),0)</f>
        <v>0</v>
      </c>
      <c r="U7" s="51">
        <f>IFERROR(VLOOKUP(VALUE(A7),WEEKLY_DATA!$A:$H,6,0),0)</f>
        <v>0</v>
      </c>
      <c r="V7" s="51">
        <f>IFERROR(VLOOKUP(VALUE(A7),WEEKLY_DATA!$A:$H,7,0),0)</f>
        <v>0</v>
      </c>
      <c r="W7" s="9" t="str">
        <f>IFERROR(IF(OR(Q7="",Q7=0),"",IF(VLOOKUP(VALUE($A7),WEEKLY_DATA!$A:$H,6,0)=0,"No Sales",Q7/(VLOOKUP(VALUE($A7),WEEKLY_DATA!$A:$H,6,0)/13))),"")</f>
        <v/>
      </c>
      <c r="X7" s="10">
        <f>IFERROR(VLOOKUP(VALUE(A7),WEEKLY_DATA!$A:$H,8,0),0)</f>
        <v>0</v>
      </c>
      <c r="Y7" s="13" t="str">
        <f t="shared" si="0"/>
        <v>—</v>
      </c>
      <c r="Z7" s="11"/>
      <c r="AA7" s="11"/>
      <c r="AB7" s="11"/>
      <c r="AC7" s="11"/>
      <c r="AD7" s="11"/>
      <c r="AE7" s="11"/>
      <c r="AF7" s="61" t="s">
        <v>144</v>
      </c>
      <c r="AG7" s="61"/>
      <c r="AH7" s="62"/>
      <c r="AI7" s="62"/>
      <c r="AJ7" s="61" t="s">
        <v>144</v>
      </c>
      <c r="AK7" s="61" t="s">
        <v>144</v>
      </c>
      <c r="AL7" s="61"/>
      <c r="AM7" s="58" t="str" cm="2">
        <f t="array" ref="AM7">IFERROR(LOOKUP(2, 1/SEARCH({"Black","White","Grey","Blue","Silver","Brown","Green","Blue","Purple","Red","Pink","Yellow","Gold"}, G7), {"Black","White","Grey","Blue","Silver","Brown","Green","Blue","Purple","Red","Pink","Yellow","Gold"}), "")</f>
        <v/>
      </c>
      <c r="AN7" s="58" t="str">
        <f>IFERROR(LOOKUP(2, 1/SEARCH({"8GB","16GB","32GB","64GB"}, G7), {"8GB","16GB","32GB","64GB"}), "")</f>
        <v/>
      </c>
      <c r="AO7" s="58" t="str">
        <f>IFERROR(LOOKUP(2, 1/SEARCH({"1TB","2TB","128GB","512GB","256GB"}, G7), {"1TB","2TB","128GB","512GB","256GB"}), "")</f>
        <v/>
      </c>
      <c r="AP7" s="58"/>
      <c r="AQ7" s="58" t="str">
        <f>IFERROR(LOOKUP(2, 1/SEARCH({"16-Inch","15-Inch","15.6-Inch","18-Inch","15.3-Inch","13-Inch","13.4-Inch","13.8-Inch","14-Inch","17-Inch","45-Inch","27-Inch","34-Inch","32-Inch","21.5-Inch"}, G7), {"16-Inch","15-Inch","15.6-Inch","18-Inch","15.3-Inch","13-Inch","13.4-Inch","13.8-Inch","14-Inch","17-Inch","45-Inch","27-Inch","34-Inch","32-Inch","21.5-Inch"}), "")</f>
        <v/>
      </c>
      <c r="AR7" s="58"/>
      <c r="AS7" s="91"/>
      <c r="AT7" s="93"/>
      <c r="AU7" s="93"/>
      <c r="AV7" s="93"/>
      <c r="AW7" s="93"/>
    </row>
    <row r="8" spans="1:49" ht="15" customHeight="1" x14ac:dyDescent="0.25">
      <c r="A8" s="89"/>
      <c r="B8" s="12"/>
      <c r="C8" s="12"/>
      <c r="D8" s="60"/>
      <c r="E8" s="6"/>
      <c r="F8" s="6"/>
      <c r="G8" s="12"/>
      <c r="H8" s="12" t="str" cm="2">
        <f t="array" ref="H8">IFERROR(INDEX(BrandList!$A$2:$A$50,MATCH(TRUE,ISNUMBER(SEARCH(BrandList!$A$2:$A$50,G8)),0)),"")</f>
        <v/>
      </c>
      <c r="I8" s="12" t="str" cm="2">
        <f t="array" ref="I8">IFERROR(INDEX(BrandList!$B$2:$B$200,MATCH(TRUE,ISNUMBER(SEARCH(BrandList!$B$2:$B$200,G8)),0)),"")</f>
        <v/>
      </c>
      <c r="J8" s="12"/>
      <c r="K8" s="80"/>
      <c r="L8" s="87"/>
      <c r="M8" s="87"/>
      <c r="N8" s="87"/>
      <c r="O8" s="87"/>
      <c r="P8" s="7" t="str">
        <f t="shared" si="1"/>
        <v/>
      </c>
      <c r="Q8" s="8">
        <f>IFERROR(VLOOKUP(VALUE(A8),WEEKLY_DATA!$A:$H,2,0),0)</f>
        <v>0</v>
      </c>
      <c r="R8" s="8">
        <f>IFERROR(VLOOKUP(VALUE(A8),WEEKLY_DATA!$A:$H,3,0),0)</f>
        <v>0</v>
      </c>
      <c r="S8" s="8">
        <f>IFERROR(VLOOKUP(VALUE(A8),WEEKLY_DATA!$A:$H,4,0),0)</f>
        <v>0</v>
      </c>
      <c r="T8" s="51">
        <f>IFERROR(VLOOKUP(VALUE(A8),WEEKLY_DATA!$A:$H,5,0),0)</f>
        <v>0</v>
      </c>
      <c r="U8" s="51">
        <f>IFERROR(VLOOKUP(VALUE(A8),WEEKLY_DATA!$A:$H,6,0),0)</f>
        <v>0</v>
      </c>
      <c r="V8" s="51">
        <f>IFERROR(VLOOKUP(VALUE(A8),WEEKLY_DATA!$A:$H,7,0),0)</f>
        <v>0</v>
      </c>
      <c r="W8" s="9" t="str">
        <f>IFERROR(IF(OR(Q8="",Q8=0),"",IF(VLOOKUP(VALUE($A8),WEEKLY_DATA!$A:$H,6,0)=0,"No Sales",Q8/(VLOOKUP(VALUE($A8),WEEKLY_DATA!$A:$H,6,0)/13))),"")</f>
        <v/>
      </c>
      <c r="X8" s="10">
        <f>IFERROR(VLOOKUP(VALUE(A8),WEEKLY_DATA!$A:$H,8,0),0)</f>
        <v>0</v>
      </c>
      <c r="Y8" s="13" t="str">
        <f t="shared" si="0"/>
        <v>—</v>
      </c>
      <c r="Z8" s="11"/>
      <c r="AA8" s="11"/>
      <c r="AB8" s="11"/>
      <c r="AC8" s="11"/>
      <c r="AD8" s="11"/>
      <c r="AE8" s="11"/>
      <c r="AF8" s="61" t="s">
        <v>144</v>
      </c>
      <c r="AG8" s="61"/>
      <c r="AH8" s="62"/>
      <c r="AI8" s="62"/>
      <c r="AJ8" s="61" t="s">
        <v>144</v>
      </c>
      <c r="AK8" s="61" t="s">
        <v>144</v>
      </c>
      <c r="AL8" s="61"/>
      <c r="AM8" s="58" t="str" cm="2">
        <f t="array" ref="AM8">IFERROR(LOOKUP(2, 1/SEARCH({"Black","White","Grey","Blue","Silver","Brown","Green","Blue","Purple","Red","Pink","Yellow","Gold"}, G8), {"Black","White","Grey","Blue","Silver","Brown","Green","Blue","Purple","Red","Pink","Yellow","Gold"}), "")</f>
        <v/>
      </c>
      <c r="AN8" s="58" t="str">
        <f>IFERROR(LOOKUP(2, 1/SEARCH({"8GB","16GB","32GB","64GB"}, G8), {"8GB","16GB","32GB","64GB"}), "")</f>
        <v/>
      </c>
      <c r="AO8" s="58" t="str">
        <f>IFERROR(LOOKUP(2, 1/SEARCH({"1TB","2TB","128GB","512GB","256GB"}, G8), {"1TB","2TB","128GB","512GB","256GB"}), "")</f>
        <v/>
      </c>
      <c r="AP8" s="58"/>
      <c r="AQ8" s="58" t="str">
        <f>IFERROR(LOOKUP(2, 1/SEARCH({"16-Inch","15-Inch","15.6-Inch","18-Inch","15.3-Inch","13-Inch","13.4-Inch","13.8-Inch","14-Inch","17-Inch","45-Inch","27-Inch","34-Inch","32-Inch","21.5-Inch"}, G8), {"16-Inch","15-Inch","15.6-Inch","18-Inch","15.3-Inch","13-Inch","13.4-Inch","13.8-Inch","14-Inch","17-Inch","45-Inch","27-Inch","34-Inch","32-Inch","21.5-Inch"}), "")</f>
        <v/>
      </c>
      <c r="AR8" s="58"/>
      <c r="AS8" s="91"/>
      <c r="AT8" s="93"/>
      <c r="AU8" s="93"/>
      <c r="AV8" s="93"/>
      <c r="AW8" s="93"/>
    </row>
    <row r="9" spans="1:49" ht="15" customHeight="1" x14ac:dyDescent="0.25">
      <c r="A9" s="89"/>
      <c r="B9" s="12"/>
      <c r="C9" s="12"/>
      <c r="D9" s="60"/>
      <c r="E9" s="6"/>
      <c r="F9" s="6"/>
      <c r="G9" s="12"/>
      <c r="H9" s="12" t="str" cm="2">
        <f t="array" ref="H9">IFERROR(INDEX(BrandList!$A$2:$A$50,MATCH(TRUE,ISNUMBER(SEARCH(BrandList!$A$2:$A$50,G9)),0)),"")</f>
        <v/>
      </c>
      <c r="I9" s="12" t="str" cm="2">
        <f t="array" ref="I9">IFERROR(INDEX(BrandList!$B$2:$B$200,MATCH(TRUE,ISNUMBER(SEARCH(BrandList!$B$2:$B$200,G9)),0)),"")</f>
        <v/>
      </c>
      <c r="J9" s="12"/>
      <c r="K9" s="12"/>
      <c r="L9" s="60"/>
      <c r="M9" s="60"/>
      <c r="N9" s="60"/>
      <c r="O9" s="60"/>
      <c r="P9" s="7" t="str">
        <f t="shared" si="1"/>
        <v/>
      </c>
      <c r="Q9" s="8">
        <f>IFERROR(VLOOKUP(VALUE(A9),WEEKLY_DATA!$A:$H,2,0),0)</f>
        <v>0</v>
      </c>
      <c r="R9" s="8">
        <f>IFERROR(VLOOKUP(VALUE(A9),WEEKLY_DATA!$A:$H,3,0),0)</f>
        <v>0</v>
      </c>
      <c r="S9" s="8">
        <f>IFERROR(VLOOKUP(VALUE(A9),WEEKLY_DATA!$A:$H,4,0),0)</f>
        <v>0</v>
      </c>
      <c r="T9" s="51">
        <f>IFERROR(VLOOKUP(VALUE(A9),WEEKLY_DATA!$A:$H,5,0),0)</f>
        <v>0</v>
      </c>
      <c r="U9" s="51">
        <f>IFERROR(VLOOKUP(VALUE(A9),WEEKLY_DATA!$A:$H,6,0),0)</f>
        <v>0</v>
      </c>
      <c r="V9" s="51">
        <f>IFERROR(VLOOKUP(VALUE(A9),WEEKLY_DATA!$A:$H,7,0),0)</f>
        <v>0</v>
      </c>
      <c r="W9" s="9" t="str">
        <f>IFERROR(IF(OR(Q9="",Q9=0),"",IF(VLOOKUP(VALUE($A9),WEEKLY_DATA!$A:$H,6,0)=0,"No Sales",Q9/(VLOOKUP(VALUE($A9),WEEKLY_DATA!$A:$H,6,0)/13))),"")</f>
        <v/>
      </c>
      <c r="X9" s="10">
        <f>IFERROR(VLOOKUP(VALUE(A9),WEEKLY_DATA!$A:$H,8,0),0)</f>
        <v>0</v>
      </c>
      <c r="Y9" s="13" t="str">
        <f t="shared" si="0"/>
        <v>—</v>
      </c>
      <c r="Z9" s="11"/>
      <c r="AA9" s="11"/>
      <c r="AB9" s="11"/>
      <c r="AC9" s="11"/>
      <c r="AD9" s="11"/>
      <c r="AE9" s="11"/>
      <c r="AF9" s="61" t="s">
        <v>144</v>
      </c>
      <c r="AG9" s="61"/>
      <c r="AH9" s="62"/>
      <c r="AI9" s="62"/>
      <c r="AJ9" s="61" t="s">
        <v>144</v>
      </c>
      <c r="AK9" s="61" t="s">
        <v>144</v>
      </c>
      <c r="AL9" s="61"/>
      <c r="AM9" s="58" t="str" cm="2">
        <f t="array" ref="AM9">IFERROR(LOOKUP(2, 1/SEARCH({"Black","White","Grey","Blue","Silver","Brown","Green","Blue","Purple","Red","Pink","Yellow","Gold"}, G9), {"Black","White","Grey","Blue","Silver","Brown","Green","Blue","Purple","Red","Pink","Yellow","Gold"}), "")</f>
        <v/>
      </c>
      <c r="AN9" s="58" t="str">
        <f>IFERROR(LOOKUP(2, 1/SEARCH({"8GB","16GB","32GB","64GB"}, G9), {"8GB","16GB","32GB","64GB"}), "")</f>
        <v/>
      </c>
      <c r="AO9" s="58" t="str">
        <f>IFERROR(LOOKUP(2, 1/SEARCH({"1TB","2TB","128GB","512GB","256GB"}, G9), {"1TB","2TB","128GB","512GB","256GB"}), "")</f>
        <v/>
      </c>
      <c r="AP9" s="58"/>
      <c r="AQ9" s="58" t="str">
        <f>IFERROR(LOOKUP(2, 1/SEARCH({"16-Inch","15-Inch","15.6-Inch","18-Inch","15.3-Inch","13-Inch","13.4-Inch","13.8-Inch","14-Inch","17-Inch","45-Inch","27-Inch","34-Inch","32-Inch","21.5-Inch"}, G9), {"16-Inch","15-Inch","15.6-Inch","18-Inch","15.3-Inch","13-Inch","13.4-Inch","13.8-Inch","14-Inch","17-Inch","45-Inch","27-Inch","34-Inch","32-Inch","21.5-Inch"}), "")</f>
        <v/>
      </c>
      <c r="AR9" s="58"/>
      <c r="AS9" s="91"/>
      <c r="AT9" s="93"/>
      <c r="AU9" s="93"/>
      <c r="AV9" s="93"/>
      <c r="AW9" s="93"/>
    </row>
    <row r="10" spans="1:49" ht="15" customHeight="1" x14ac:dyDescent="0.25">
      <c r="A10" s="89"/>
      <c r="B10" s="12"/>
      <c r="C10" s="12"/>
      <c r="D10" s="60"/>
      <c r="E10" s="6"/>
      <c r="F10" s="6"/>
      <c r="G10" s="12"/>
      <c r="H10" s="12" t="str" cm="2">
        <f t="array" ref="H10">IFERROR(INDEX(BrandList!$A$2:$A$50,MATCH(TRUE,ISNUMBER(SEARCH(BrandList!$A$2:$A$50,G10)),0)),"")</f>
        <v/>
      </c>
      <c r="I10" s="12" t="str" cm="2">
        <f t="array" ref="I10">IFERROR(INDEX(BrandList!$B$2:$B$200,MATCH(TRUE,ISNUMBER(SEARCH(BrandList!$B$2:$B$200,G10)),0)),"")</f>
        <v/>
      </c>
      <c r="J10" s="12"/>
      <c r="K10" s="12"/>
      <c r="L10" s="60"/>
      <c r="M10" s="60"/>
      <c r="N10" s="60"/>
      <c r="O10" s="60"/>
      <c r="P10" s="7" t="str">
        <f t="shared" si="1"/>
        <v/>
      </c>
      <c r="Q10" s="8">
        <f>IFERROR(VLOOKUP(VALUE(A10),WEEKLY_DATA!$A:$H,2,0),0)</f>
        <v>0</v>
      </c>
      <c r="R10" s="8">
        <f>IFERROR(VLOOKUP(VALUE(A10),WEEKLY_DATA!$A:$H,3,0),0)</f>
        <v>0</v>
      </c>
      <c r="S10" s="8">
        <f>IFERROR(VLOOKUP(VALUE(A10),WEEKLY_DATA!$A:$H,4,0),0)</f>
        <v>0</v>
      </c>
      <c r="T10" s="51">
        <f>IFERROR(VLOOKUP(VALUE(A10),WEEKLY_DATA!$A:$H,5,0),0)</f>
        <v>0</v>
      </c>
      <c r="U10" s="51">
        <f>IFERROR(VLOOKUP(VALUE(A10),WEEKLY_DATA!$A:$H,6,0),0)</f>
        <v>0</v>
      </c>
      <c r="V10" s="51">
        <f>IFERROR(VLOOKUP(VALUE(A10),WEEKLY_DATA!$A:$H,7,0),0)</f>
        <v>0</v>
      </c>
      <c r="W10" s="9" t="str">
        <f>IFERROR(IF(OR(Q10="",Q10=0),"",IF(VLOOKUP(VALUE($A10),WEEKLY_DATA!$A:$H,6,0)=0,"No Sales",Q10/(VLOOKUP(VALUE($A10),WEEKLY_DATA!$A:$H,6,0)/13))),"")</f>
        <v/>
      </c>
      <c r="X10" s="10">
        <f>IFERROR(VLOOKUP(VALUE(A10),WEEKLY_DATA!$A:$H,8,0),0)</f>
        <v>0</v>
      </c>
      <c r="Y10" s="13" t="str">
        <f t="shared" si="0"/>
        <v>—</v>
      </c>
      <c r="Z10" s="11"/>
      <c r="AA10" s="11"/>
      <c r="AB10" s="11"/>
      <c r="AC10" s="11"/>
      <c r="AD10" s="11"/>
      <c r="AE10" s="11"/>
      <c r="AF10" s="61" t="s">
        <v>144</v>
      </c>
      <c r="AG10" s="61"/>
      <c r="AH10" s="62"/>
      <c r="AI10" s="62"/>
      <c r="AJ10" s="61" t="s">
        <v>144</v>
      </c>
      <c r="AK10" s="61" t="s">
        <v>144</v>
      </c>
      <c r="AL10" s="61"/>
      <c r="AM10" s="58" t="str" cm="2">
        <f t="array" ref="AM10">IFERROR(LOOKUP(2, 1/SEARCH({"Black","White","Grey","Blue","Silver","Brown","Green","Blue","Purple","Red","Pink","Yellow","Gold"}, G10), {"Black","White","Grey","Blue","Silver","Brown","Green","Blue","Purple","Red","Pink","Yellow","Gold"}), "")</f>
        <v/>
      </c>
      <c r="AN10" s="58" t="str">
        <f>IFERROR(LOOKUP(2, 1/SEARCH({"8GB","16GB","32GB","64GB"}, G10), {"8GB","16GB","32GB","64GB"}), "")</f>
        <v/>
      </c>
      <c r="AO10" s="58" t="str">
        <f>IFERROR(LOOKUP(2, 1/SEARCH({"1TB","2TB","128GB","512GB","256GB"}, G10), {"1TB","2TB","128GB","512GB","256GB"}), "")</f>
        <v/>
      </c>
      <c r="AP10" s="58"/>
      <c r="AQ10" s="58" t="str">
        <f>IFERROR(LOOKUP(2, 1/SEARCH({"16-Inch","15-Inch","15.6-Inch","18-Inch","15.3-Inch","13-Inch","13.4-Inch","13.8-Inch","14-Inch","17-Inch","45-Inch","27-Inch","34-Inch","32-Inch","21.5-Inch"}, G10), {"16-Inch","15-Inch","15.6-Inch","18-Inch","15.3-Inch","13-Inch","13.4-Inch","13.8-Inch","14-Inch","17-Inch","45-Inch","27-Inch","34-Inch","32-Inch","21.5-Inch"}), "")</f>
        <v/>
      </c>
      <c r="AR10" s="58"/>
      <c r="AS10" s="91"/>
      <c r="AT10" s="93"/>
      <c r="AU10" s="93"/>
      <c r="AV10" s="93"/>
      <c r="AW10" s="93"/>
    </row>
    <row r="11" spans="1:49" ht="15" customHeight="1" x14ac:dyDescent="0.25">
      <c r="A11" s="89"/>
      <c r="B11" s="12"/>
      <c r="C11" s="12"/>
      <c r="D11" s="60"/>
      <c r="E11" s="6"/>
      <c r="F11" s="6"/>
      <c r="G11" s="12"/>
      <c r="H11" s="12" t="str" cm="2">
        <f t="array" ref="H11">IFERROR(INDEX(BrandList!$A$2:$A$50,MATCH(TRUE,ISNUMBER(SEARCH(BrandList!$A$2:$A$50,G11)),0)),"")</f>
        <v/>
      </c>
      <c r="I11" s="12" t="str" cm="2">
        <f t="array" ref="I11">IFERROR(INDEX(BrandList!$B$2:$B$200,MATCH(TRUE,ISNUMBER(SEARCH(BrandList!$B$2:$B$200,G11)),0)),"")</f>
        <v/>
      </c>
      <c r="J11" s="12"/>
      <c r="K11" s="12"/>
      <c r="L11" s="60"/>
      <c r="M11" s="60"/>
      <c r="N11" s="60"/>
      <c r="O11" s="60"/>
      <c r="P11" s="7" t="str">
        <f t="shared" si="1"/>
        <v/>
      </c>
      <c r="Q11" s="8">
        <f>IFERROR(VLOOKUP(VALUE(A11),WEEKLY_DATA!$A:$H,2,0),0)</f>
        <v>0</v>
      </c>
      <c r="R11" s="8">
        <f>IFERROR(VLOOKUP(VALUE(A11),WEEKLY_DATA!$A:$H,3,0),0)</f>
        <v>0</v>
      </c>
      <c r="S11" s="8">
        <f>IFERROR(VLOOKUP(VALUE(A11),WEEKLY_DATA!$A:$H,4,0),0)</f>
        <v>0</v>
      </c>
      <c r="T11" s="51">
        <f>IFERROR(VLOOKUP(VALUE(A11),WEEKLY_DATA!$A:$H,5,0),0)</f>
        <v>0</v>
      </c>
      <c r="U11" s="51">
        <f>IFERROR(VLOOKUP(VALUE(A11),WEEKLY_DATA!$A:$H,6,0),0)</f>
        <v>0</v>
      </c>
      <c r="V11" s="51">
        <f>IFERROR(VLOOKUP(VALUE(A11),WEEKLY_DATA!$A:$H,7,0),0)</f>
        <v>0</v>
      </c>
      <c r="W11" s="9" t="str">
        <f>IFERROR(IF(OR(Q11="",Q11=0),"",IF(VLOOKUP(VALUE($A11),WEEKLY_DATA!$A:$H,6,0)=0,"No Sales",Q11/(VLOOKUP(VALUE($A11),WEEKLY_DATA!$A:$H,6,0)/13))),"")</f>
        <v/>
      </c>
      <c r="X11" s="10">
        <f>IFERROR(VLOOKUP(VALUE(A11),WEEKLY_DATA!$A:$H,8,0),0)</f>
        <v>0</v>
      </c>
      <c r="Y11" s="13" t="str">
        <f t="shared" si="0"/>
        <v>—</v>
      </c>
      <c r="Z11" s="11"/>
      <c r="AA11" s="11"/>
      <c r="AB11" s="11"/>
      <c r="AC11" s="11"/>
      <c r="AD11" s="11"/>
      <c r="AE11" s="11"/>
      <c r="AF11" s="61" t="s">
        <v>144</v>
      </c>
      <c r="AG11" s="61"/>
      <c r="AH11" s="62"/>
      <c r="AI11" s="62"/>
      <c r="AJ11" s="61" t="s">
        <v>144</v>
      </c>
      <c r="AK11" s="61" t="s">
        <v>144</v>
      </c>
      <c r="AL11" s="61"/>
      <c r="AM11" s="58" t="str" cm="2">
        <f t="array" ref="AM11">IFERROR(LOOKUP(2, 1/SEARCH({"Black","White","Grey","Blue","Silver","Brown","Green","Blue","Purple","Red","Pink","Yellow","Gold"}, G11), {"Black","White","Grey","Blue","Silver","Brown","Green","Blue","Purple","Red","Pink","Yellow","Gold"}), "")</f>
        <v/>
      </c>
      <c r="AN11" s="58" t="str">
        <f>IFERROR(LOOKUP(2, 1/SEARCH({"8GB","16GB","32GB","64GB"}, G11), {"8GB","16GB","32GB","64GB"}), "")</f>
        <v/>
      </c>
      <c r="AO11" s="58" t="str">
        <f>IFERROR(LOOKUP(2, 1/SEARCH({"1TB","2TB","128GB","512GB","256GB"}, G11), {"1TB","2TB","128GB","512GB","256GB"}), "")</f>
        <v/>
      </c>
      <c r="AP11" s="58"/>
      <c r="AQ11" s="58" t="str">
        <f>IFERROR(LOOKUP(2, 1/SEARCH({"16-Inch","15-Inch","15.6-Inch","18-Inch","15.3-Inch","13-Inch","13.4-Inch","13.8-Inch","14-Inch","17-Inch","45-Inch","27-Inch","34-Inch","32-Inch","21.5-Inch"}, G11), {"16-Inch","15-Inch","15.6-Inch","18-Inch","15.3-Inch","13-Inch","13.4-Inch","13.8-Inch","14-Inch","17-Inch","45-Inch","27-Inch","34-Inch","32-Inch","21.5-Inch"}), "")</f>
        <v/>
      </c>
      <c r="AR11" s="58"/>
      <c r="AS11" s="91"/>
      <c r="AT11" s="93"/>
      <c r="AU11" s="93"/>
      <c r="AV11" s="93"/>
      <c r="AW11" s="93"/>
    </row>
    <row r="12" spans="1:49" ht="15" customHeight="1" x14ac:dyDescent="0.25">
      <c r="A12" s="89"/>
      <c r="B12" s="12"/>
      <c r="C12" s="12"/>
      <c r="D12" s="60"/>
      <c r="E12" s="6"/>
      <c r="F12" s="6"/>
      <c r="G12" s="12"/>
      <c r="H12" s="12" t="str" cm="2">
        <f t="array" ref="H12">IFERROR(INDEX(BrandList!$A$2:$A$50,MATCH(TRUE,ISNUMBER(SEARCH(BrandList!$A$2:$A$50,G12)),0)),"")</f>
        <v/>
      </c>
      <c r="I12" s="12" t="str" cm="2">
        <f t="array" ref="I12">IFERROR(INDEX(BrandList!$B$2:$B$200,MATCH(TRUE,ISNUMBER(SEARCH(BrandList!$B$2:$B$200,G12)),0)),"")</f>
        <v/>
      </c>
      <c r="J12" s="12"/>
      <c r="K12" s="12"/>
      <c r="L12" s="60"/>
      <c r="M12" s="60"/>
      <c r="N12" s="60"/>
      <c r="O12" s="60"/>
      <c r="P12" s="7" t="str">
        <f t="shared" si="1"/>
        <v/>
      </c>
      <c r="Q12" s="8">
        <f>IFERROR(VLOOKUP(VALUE(A12),WEEKLY_DATA!$A:$H,2,0),0)</f>
        <v>0</v>
      </c>
      <c r="R12" s="8">
        <f>IFERROR(VLOOKUP(VALUE(A12),WEEKLY_DATA!$A:$H,3,0),0)</f>
        <v>0</v>
      </c>
      <c r="S12" s="8">
        <f>IFERROR(VLOOKUP(VALUE(A12),WEEKLY_DATA!$A:$H,4,0),0)</f>
        <v>0</v>
      </c>
      <c r="T12" s="51">
        <f>IFERROR(VLOOKUP(VALUE(A12),WEEKLY_DATA!$A:$H,5,0),0)</f>
        <v>0</v>
      </c>
      <c r="U12" s="51">
        <f>IFERROR(VLOOKUP(VALUE(A12),WEEKLY_DATA!$A:$H,6,0),0)</f>
        <v>0</v>
      </c>
      <c r="V12" s="51">
        <f>IFERROR(VLOOKUP(VALUE(A12),WEEKLY_DATA!$A:$H,7,0),0)</f>
        <v>0</v>
      </c>
      <c r="W12" s="9" t="str">
        <f>IFERROR(IF(OR(Q12="",Q12=0),"",IF(VLOOKUP(VALUE($A12),WEEKLY_DATA!$A:$H,6,0)=0,"No Sales",Q12/(VLOOKUP(VALUE($A12),WEEKLY_DATA!$A:$H,6,0)/13))),"")</f>
        <v/>
      </c>
      <c r="X12" s="10">
        <f>IFERROR(VLOOKUP(VALUE(A12),WEEKLY_DATA!$A:$H,8,0),0)</f>
        <v>0</v>
      </c>
      <c r="Y12" s="13" t="str">
        <f t="shared" si="0"/>
        <v>—</v>
      </c>
      <c r="Z12" s="11"/>
      <c r="AA12" s="11"/>
      <c r="AB12" s="11"/>
      <c r="AC12" s="11"/>
      <c r="AD12" s="11"/>
      <c r="AE12" s="11"/>
      <c r="AF12" s="61" t="s">
        <v>144</v>
      </c>
      <c r="AG12" s="61"/>
      <c r="AH12" s="62"/>
      <c r="AI12" s="62"/>
      <c r="AJ12" s="61" t="s">
        <v>144</v>
      </c>
      <c r="AK12" s="61" t="s">
        <v>144</v>
      </c>
      <c r="AL12" s="61"/>
      <c r="AM12" s="58" t="str" cm="2">
        <f t="array" ref="AM12">IFERROR(LOOKUP(2, 1/SEARCH({"Black","White","Grey","Blue","Silver","Brown","Green","Blue","Purple","Red","Pink","Yellow","Gold"}, G12), {"Black","White","Grey","Blue","Silver","Brown","Green","Blue","Purple","Red","Pink","Yellow","Gold"}), "")</f>
        <v/>
      </c>
      <c r="AN12" s="58" t="str">
        <f>IFERROR(LOOKUP(2, 1/SEARCH({"8GB","16GB","32GB","64GB"}, G12), {"8GB","16GB","32GB","64GB"}), "")</f>
        <v/>
      </c>
      <c r="AO12" s="58" t="str">
        <f>IFERROR(LOOKUP(2, 1/SEARCH({"1TB","2TB","128GB","512GB","256GB"}, G12), {"1TB","2TB","128GB","512GB","256GB"}), "")</f>
        <v/>
      </c>
      <c r="AP12" s="58"/>
      <c r="AQ12" s="58" t="str">
        <f>IFERROR(LOOKUP(2, 1/SEARCH({"16-Inch","15-Inch","15.6-Inch","18-Inch","15.3-Inch","13-Inch","13.4-Inch","13.8-Inch","14-Inch","17-Inch","45-Inch","27-Inch","34-Inch","32-Inch","21.5-Inch"}, G12), {"16-Inch","15-Inch","15.6-Inch","18-Inch","15.3-Inch","13-Inch","13.4-Inch","13.8-Inch","14-Inch","17-Inch","45-Inch","27-Inch","34-Inch","32-Inch","21.5-Inch"}), "")</f>
        <v/>
      </c>
      <c r="AR12" s="58"/>
      <c r="AS12" s="91"/>
      <c r="AT12" s="93"/>
      <c r="AU12" s="93"/>
      <c r="AV12" s="93"/>
      <c r="AW12" s="93"/>
    </row>
    <row r="13" spans="1:49" ht="15" customHeight="1" x14ac:dyDescent="0.25">
      <c r="A13" s="89"/>
      <c r="B13" s="12"/>
      <c r="C13" s="12"/>
      <c r="D13" s="60"/>
      <c r="E13" s="6"/>
      <c r="F13" s="6"/>
      <c r="G13" s="12"/>
      <c r="H13" s="12" t="str" cm="2">
        <f t="array" ref="H13">IFERROR(INDEX(BrandList!$A$2:$A$50,MATCH(TRUE,ISNUMBER(SEARCH(BrandList!$A$2:$A$50,G13)),0)),"")</f>
        <v/>
      </c>
      <c r="I13" s="12" t="str" cm="2">
        <f t="array" ref="I13">IFERROR(INDEX(BrandList!$B$2:$B$200,MATCH(TRUE,ISNUMBER(SEARCH(BrandList!$B$2:$B$200,G13)),0)),"")</f>
        <v/>
      </c>
      <c r="J13" s="12"/>
      <c r="K13" s="12"/>
      <c r="L13" s="60"/>
      <c r="M13" s="60"/>
      <c r="N13" s="60"/>
      <c r="O13" s="60"/>
      <c r="P13" s="7" t="str">
        <f t="shared" si="1"/>
        <v/>
      </c>
      <c r="Q13" s="8">
        <f>IFERROR(VLOOKUP(VALUE(A13),WEEKLY_DATA!$A:$H,2,0),0)</f>
        <v>0</v>
      </c>
      <c r="R13" s="8">
        <f>IFERROR(VLOOKUP(VALUE(A13),WEEKLY_DATA!$A:$H,3,0),0)</f>
        <v>0</v>
      </c>
      <c r="S13" s="8">
        <f>IFERROR(VLOOKUP(VALUE(A13),WEEKLY_DATA!$A:$H,4,0),0)</f>
        <v>0</v>
      </c>
      <c r="T13" s="51">
        <f>IFERROR(VLOOKUP(VALUE(A13),WEEKLY_DATA!$A:$H,5,0),0)</f>
        <v>0</v>
      </c>
      <c r="U13" s="51">
        <f>IFERROR(VLOOKUP(VALUE(A13),WEEKLY_DATA!$A:$H,6,0),0)</f>
        <v>0</v>
      </c>
      <c r="V13" s="51">
        <f>IFERROR(VLOOKUP(VALUE(A13),WEEKLY_DATA!$A:$H,7,0),0)</f>
        <v>0</v>
      </c>
      <c r="W13" s="9" t="str">
        <f>IFERROR(IF(OR(Q13="",Q13=0),"",IF(VLOOKUP(VALUE($A13),WEEKLY_DATA!$A:$H,6,0)=0,"No Sales",Q13/(VLOOKUP(VALUE($A13),WEEKLY_DATA!$A:$H,6,0)/13))),"")</f>
        <v/>
      </c>
      <c r="X13" s="10">
        <f>IFERROR(VLOOKUP(VALUE(A13),WEEKLY_DATA!$A:$H,8,0),0)</f>
        <v>0</v>
      </c>
      <c r="Y13" s="13" t="str">
        <f t="shared" si="0"/>
        <v>—</v>
      </c>
      <c r="Z13" s="11"/>
      <c r="AA13" s="11"/>
      <c r="AB13" s="11"/>
      <c r="AC13" s="11"/>
      <c r="AD13" s="11"/>
      <c r="AE13" s="11"/>
      <c r="AF13" s="61" t="s">
        <v>144</v>
      </c>
      <c r="AG13" s="61"/>
      <c r="AH13" s="62"/>
      <c r="AI13" s="62"/>
      <c r="AJ13" s="61" t="s">
        <v>144</v>
      </c>
      <c r="AK13" s="61" t="s">
        <v>144</v>
      </c>
      <c r="AL13" s="61"/>
      <c r="AM13" s="58" t="str" cm="2">
        <f t="array" ref="AM13">IFERROR(LOOKUP(2, 1/SEARCH({"Black","White","Grey","Blue","Silver","Brown","Green","Blue","Purple","Red","Pink","Yellow","Gold"}, G13), {"Black","White","Grey","Blue","Silver","Brown","Green","Blue","Purple","Red","Pink","Yellow","Gold"}), "")</f>
        <v/>
      </c>
      <c r="AN13" s="58" t="str">
        <f>IFERROR(LOOKUP(2, 1/SEARCH({"8GB","16GB","32GB","64GB"}, G13), {"8GB","16GB","32GB","64GB"}), "")</f>
        <v/>
      </c>
      <c r="AO13" s="58" t="str">
        <f>IFERROR(LOOKUP(2, 1/SEARCH({"1TB","2TB","128GB","512GB","256GB"}, G13), {"1TB","2TB","128GB","512GB","256GB"}), "")</f>
        <v/>
      </c>
      <c r="AP13" s="58"/>
      <c r="AQ13" s="58" t="str">
        <f>IFERROR(LOOKUP(2, 1/SEARCH({"16-Inch","15-Inch","15.6-Inch","18-Inch","15.3-Inch","13-Inch","13.4-Inch","13.8-Inch","14-Inch","17-Inch","45-Inch","27-Inch","34-Inch","32-Inch","21.5-Inch"}, G13), {"16-Inch","15-Inch","15.6-Inch","18-Inch","15.3-Inch","13-Inch","13.4-Inch","13.8-Inch","14-Inch","17-Inch","45-Inch","27-Inch","34-Inch","32-Inch","21.5-Inch"}), "")</f>
        <v/>
      </c>
      <c r="AR13" s="58"/>
      <c r="AS13" s="91"/>
      <c r="AT13" s="93"/>
      <c r="AU13" s="93"/>
      <c r="AV13" s="93"/>
      <c r="AW13" s="93"/>
    </row>
    <row r="14" spans="1:49" ht="15" customHeight="1" x14ac:dyDescent="0.25">
      <c r="A14" s="89"/>
      <c r="B14" s="12"/>
      <c r="C14" s="12"/>
      <c r="D14" s="60"/>
      <c r="E14" s="6"/>
      <c r="F14" s="6"/>
      <c r="G14" s="12"/>
      <c r="H14" s="12" t="str" cm="2">
        <f t="array" ref="H14">IFERROR(INDEX(BrandList!$A$2:$A$50,MATCH(TRUE,ISNUMBER(SEARCH(BrandList!$A$2:$A$50,G14)),0)),"")</f>
        <v/>
      </c>
      <c r="I14" s="12" t="str" cm="2">
        <f t="array" ref="I14">IFERROR(INDEX(BrandList!$B$2:$B$200,MATCH(TRUE,ISNUMBER(SEARCH(BrandList!$B$2:$B$200,G14)),0)),"")</f>
        <v/>
      </c>
      <c r="J14" s="12"/>
      <c r="K14" s="12"/>
      <c r="L14" s="60"/>
      <c r="M14" s="60"/>
      <c r="N14" s="60"/>
      <c r="O14" s="60"/>
      <c r="P14" s="7" t="str">
        <f t="shared" si="1"/>
        <v/>
      </c>
      <c r="Q14" s="8">
        <f>IFERROR(VLOOKUP(VALUE(A14),WEEKLY_DATA!$A:$H,2,0),0)</f>
        <v>0</v>
      </c>
      <c r="R14" s="8">
        <f>IFERROR(VLOOKUP(VALUE(A14),WEEKLY_DATA!$A:$H,3,0),0)</f>
        <v>0</v>
      </c>
      <c r="S14" s="8">
        <f>IFERROR(VLOOKUP(VALUE(A14),WEEKLY_DATA!$A:$H,4,0),0)</f>
        <v>0</v>
      </c>
      <c r="T14" s="51">
        <f>IFERROR(VLOOKUP(VALUE(A14),WEEKLY_DATA!$A:$H,5,0),0)</f>
        <v>0</v>
      </c>
      <c r="U14" s="51">
        <f>IFERROR(VLOOKUP(VALUE(A14),WEEKLY_DATA!$A:$H,6,0),0)</f>
        <v>0</v>
      </c>
      <c r="V14" s="51">
        <f>IFERROR(VLOOKUP(VALUE(A14),WEEKLY_DATA!$A:$H,7,0),0)</f>
        <v>0</v>
      </c>
      <c r="W14" s="9" t="str">
        <f>IFERROR(IF(OR(Q14="",Q14=0),"",IF(VLOOKUP(VALUE($A14),WEEKLY_DATA!$A:$H,6,0)=0,"No Sales",Q14/(VLOOKUP(VALUE($A14),WEEKLY_DATA!$A:$H,6,0)/13))),"")</f>
        <v/>
      </c>
      <c r="X14" s="10">
        <f>IFERROR(VLOOKUP(VALUE(A14),WEEKLY_DATA!$A:$H,8,0),0)</f>
        <v>0</v>
      </c>
      <c r="Y14" s="13" t="str">
        <f t="shared" si="0"/>
        <v>—</v>
      </c>
      <c r="Z14" s="11"/>
      <c r="AA14" s="11"/>
      <c r="AB14" s="11"/>
      <c r="AC14" s="11"/>
      <c r="AD14" s="11"/>
      <c r="AE14" s="11"/>
      <c r="AF14" s="61" t="s">
        <v>144</v>
      </c>
      <c r="AG14" s="61"/>
      <c r="AH14" s="62"/>
      <c r="AI14" s="62"/>
      <c r="AJ14" s="61" t="s">
        <v>144</v>
      </c>
      <c r="AK14" s="61" t="s">
        <v>144</v>
      </c>
      <c r="AL14" s="61"/>
      <c r="AM14" s="58" t="str" cm="2">
        <f t="array" ref="AM14">IFERROR(LOOKUP(2, 1/SEARCH({"Black","White","Grey","Blue","Silver","Brown","Green","Blue","Purple","Red","Pink","Yellow","Gold"}, G14), {"Black","White","Grey","Blue","Silver","Brown","Green","Blue","Purple","Red","Pink","Yellow","Gold"}), "")</f>
        <v/>
      </c>
      <c r="AN14" s="58" t="str">
        <f>IFERROR(LOOKUP(2, 1/SEARCH({"8GB","16GB","32GB","64GB"}, G14), {"8GB","16GB","32GB","64GB"}), "")</f>
        <v/>
      </c>
      <c r="AO14" s="58" t="str">
        <f>IFERROR(LOOKUP(2, 1/SEARCH({"1TB","2TB","128GB","512GB","256GB"}, G14), {"1TB","2TB","128GB","512GB","256GB"}), "")</f>
        <v/>
      </c>
      <c r="AP14" s="58"/>
      <c r="AQ14" s="58" t="str">
        <f>IFERROR(LOOKUP(2, 1/SEARCH({"16-Inch","15-Inch","15.6-Inch","18-Inch","15.3-Inch","13-Inch","13.4-Inch","13.8-Inch","14-Inch","17-Inch","45-Inch","27-Inch","34-Inch","32-Inch","21.5-Inch"}, G14), {"16-Inch","15-Inch","15.6-Inch","18-Inch","15.3-Inch","13-Inch","13.4-Inch","13.8-Inch","14-Inch","17-Inch","45-Inch","27-Inch","34-Inch","32-Inch","21.5-Inch"}), "")</f>
        <v/>
      </c>
      <c r="AR14" s="58"/>
      <c r="AS14" s="91"/>
      <c r="AT14" s="93"/>
      <c r="AU14" s="93"/>
      <c r="AV14" s="93"/>
      <c r="AW14" s="93"/>
    </row>
    <row r="15" spans="1:49" ht="15" customHeight="1" x14ac:dyDescent="0.25">
      <c r="A15" s="89"/>
      <c r="B15" s="12"/>
      <c r="C15" s="12"/>
      <c r="D15" s="60"/>
      <c r="E15" s="6"/>
      <c r="F15" s="6"/>
      <c r="G15" s="12"/>
      <c r="H15" s="12" t="str" cm="2">
        <f t="array" ref="H15">IFERROR(INDEX(BrandList!$A$2:$A$50,MATCH(TRUE,ISNUMBER(SEARCH(BrandList!$A$2:$A$50,G15)),0)),"")</f>
        <v/>
      </c>
      <c r="I15" s="12" t="str" cm="2">
        <f t="array" ref="I15">IFERROR(INDEX(BrandList!$B$2:$B$200,MATCH(TRUE,ISNUMBER(SEARCH(BrandList!$B$2:$B$200,G15)),0)),"")</f>
        <v/>
      </c>
      <c r="J15" s="12"/>
      <c r="K15" s="12"/>
      <c r="L15" s="60"/>
      <c r="M15" s="60"/>
      <c r="N15" s="60"/>
      <c r="O15" s="60"/>
      <c r="P15" s="7" t="str">
        <f t="shared" si="1"/>
        <v/>
      </c>
      <c r="Q15" s="8">
        <f>IFERROR(VLOOKUP(VALUE(A15),WEEKLY_DATA!$A:$H,2,0),0)</f>
        <v>0</v>
      </c>
      <c r="R15" s="8">
        <f>IFERROR(VLOOKUP(VALUE(A15),WEEKLY_DATA!$A:$H,3,0),0)</f>
        <v>0</v>
      </c>
      <c r="S15" s="8">
        <f>IFERROR(VLOOKUP(VALUE(A15),WEEKLY_DATA!$A:$H,4,0),0)</f>
        <v>0</v>
      </c>
      <c r="T15" s="51">
        <f>IFERROR(VLOOKUP(VALUE(A15),WEEKLY_DATA!$A:$H,5,0),0)</f>
        <v>0</v>
      </c>
      <c r="U15" s="51">
        <f>IFERROR(VLOOKUP(VALUE(A15),WEEKLY_DATA!$A:$H,6,0),0)</f>
        <v>0</v>
      </c>
      <c r="V15" s="51">
        <f>IFERROR(VLOOKUP(VALUE(A15),WEEKLY_DATA!$A:$H,7,0),0)</f>
        <v>0</v>
      </c>
      <c r="W15" s="9" t="str">
        <f>IFERROR(IF(OR(Q15="",Q15=0),"",IF(VLOOKUP(VALUE($A15),WEEKLY_DATA!$A:$H,6,0)=0,"No Sales",Q15/(VLOOKUP(VALUE($A15),WEEKLY_DATA!$A:$H,6,0)/13))),"")</f>
        <v/>
      </c>
      <c r="X15" s="10">
        <f>IFERROR(VLOOKUP(VALUE(A15),WEEKLY_DATA!$A:$H,8,0),0)</f>
        <v>0</v>
      </c>
      <c r="Y15" s="13" t="str">
        <f t="shared" si="0"/>
        <v>—</v>
      </c>
      <c r="Z15" s="11"/>
      <c r="AA15" s="11"/>
      <c r="AB15" s="11"/>
      <c r="AC15" s="11"/>
      <c r="AD15" s="11"/>
      <c r="AE15" s="11"/>
      <c r="AF15" s="61" t="s">
        <v>144</v>
      </c>
      <c r="AG15" s="61"/>
      <c r="AH15" s="62"/>
      <c r="AI15" s="62"/>
      <c r="AJ15" s="61" t="s">
        <v>144</v>
      </c>
      <c r="AK15" s="61" t="s">
        <v>144</v>
      </c>
      <c r="AL15" s="61"/>
      <c r="AM15" s="58" t="str" cm="2">
        <f t="array" ref="AM15">IFERROR(LOOKUP(2, 1/SEARCH({"Black","White","Grey","Blue","Silver","Brown","Green","Blue","Purple","Red","Pink","Yellow","Gold"}, G15), {"Black","White","Grey","Blue","Silver","Brown","Green","Blue","Purple","Red","Pink","Yellow","Gold"}), "")</f>
        <v/>
      </c>
      <c r="AN15" s="58" t="str">
        <f>IFERROR(LOOKUP(2, 1/SEARCH({"8GB","16GB","32GB","64GB"}, G15), {"8GB","16GB","32GB","64GB"}), "")</f>
        <v/>
      </c>
      <c r="AO15" s="58" t="str">
        <f>IFERROR(LOOKUP(2, 1/SEARCH({"1TB","2TB","128GB","512GB","256GB"}, G15), {"1TB","2TB","128GB","512GB","256GB"}), "")</f>
        <v/>
      </c>
      <c r="AP15" s="58"/>
      <c r="AQ15" s="58" t="str">
        <f>IFERROR(LOOKUP(2, 1/SEARCH({"16-Inch","15-Inch","15.6-Inch","18-Inch","15.3-Inch","13-Inch","13.4-Inch","13.8-Inch","14-Inch","17-Inch","45-Inch","27-Inch","34-Inch","32-Inch","21.5-Inch"}, G15), {"16-Inch","15-Inch","15.6-Inch","18-Inch","15.3-Inch","13-Inch","13.4-Inch","13.8-Inch","14-Inch","17-Inch","45-Inch","27-Inch","34-Inch","32-Inch","21.5-Inch"}), "")</f>
        <v/>
      </c>
      <c r="AR15" s="58"/>
      <c r="AS15" s="91"/>
      <c r="AT15" s="93"/>
      <c r="AU15" s="93"/>
      <c r="AV15" s="93"/>
      <c r="AW15" s="93"/>
    </row>
    <row r="16" spans="1:49" ht="15" customHeight="1" x14ac:dyDescent="0.25">
      <c r="A16" s="59"/>
      <c r="B16" s="12"/>
      <c r="C16" s="12"/>
      <c r="D16" s="60"/>
      <c r="E16" s="6"/>
      <c r="F16" s="6"/>
      <c r="G16" s="12"/>
      <c r="H16" s="12" t="str" cm="2">
        <f t="array" ref="H16">IFERROR(INDEX(BrandList!$A$2:$A$50,MATCH(TRUE,ISNUMBER(SEARCH(BrandList!$A$2:$A$50,G16)),0)),"")</f>
        <v/>
      </c>
      <c r="I16" s="12" t="str" cm="2">
        <f t="array" ref="I16">IFERROR(INDEX(BrandList!$B$2:$B$200,MATCH(TRUE,ISNUMBER(SEARCH(BrandList!$B$2:$B$200,G16)),0)),"")</f>
        <v/>
      </c>
      <c r="J16" s="12"/>
      <c r="K16" s="12"/>
      <c r="L16" s="60"/>
      <c r="M16" s="60"/>
      <c r="N16" s="60"/>
      <c r="O16" s="60"/>
      <c r="P16" s="7" t="str">
        <f t="shared" si="1"/>
        <v/>
      </c>
      <c r="Q16" s="8">
        <f>IFERROR(VLOOKUP(VALUE(A16),WEEKLY_DATA!$A:$H,2,0),0)</f>
        <v>0</v>
      </c>
      <c r="R16" s="8">
        <f>IFERROR(VLOOKUP(VALUE(A16),WEEKLY_DATA!$A:$H,3,0),0)</f>
        <v>0</v>
      </c>
      <c r="S16" s="8">
        <f>IFERROR(VLOOKUP(VALUE(A16),WEEKLY_DATA!$A:$H,4,0),0)</f>
        <v>0</v>
      </c>
      <c r="T16" s="51">
        <f>IFERROR(VLOOKUP(VALUE(A16),WEEKLY_DATA!$A:$H,5,0),0)</f>
        <v>0</v>
      </c>
      <c r="U16" s="51">
        <f>IFERROR(VLOOKUP(VALUE(A16),WEEKLY_DATA!$A:$H,6,0),0)</f>
        <v>0</v>
      </c>
      <c r="V16" s="51">
        <f>IFERROR(VLOOKUP(VALUE(A16),WEEKLY_DATA!$A:$H,7,0),0)</f>
        <v>0</v>
      </c>
      <c r="W16" s="9" t="str">
        <f>IFERROR(IF(OR(Q16="",Q16=0),"",IF(VLOOKUP(VALUE($A16),WEEKLY_DATA!$A:$H,6,0)=0,"No Sales",Q16/(VLOOKUP(VALUE($A16),WEEKLY_DATA!$A:$H,6,0)/13))),"")</f>
        <v/>
      </c>
      <c r="X16" s="10">
        <f>IFERROR(VLOOKUP(VALUE(A16),WEEKLY_DATA!$A:$H,8,0),0)</f>
        <v>0</v>
      </c>
      <c r="Y16" s="13" t="str">
        <f t="shared" si="0"/>
        <v>—</v>
      </c>
      <c r="Z16" s="11"/>
      <c r="AA16" s="11"/>
      <c r="AB16" s="11"/>
      <c r="AC16" s="11"/>
      <c r="AD16" s="11"/>
      <c r="AE16" s="11"/>
      <c r="AF16" s="61" t="s">
        <v>144</v>
      </c>
      <c r="AG16" s="61"/>
      <c r="AH16" s="62"/>
      <c r="AI16" s="62"/>
      <c r="AJ16" s="61" t="s">
        <v>144</v>
      </c>
      <c r="AK16" s="61" t="s">
        <v>144</v>
      </c>
      <c r="AL16" s="61"/>
      <c r="AM16" s="58" t="str" cm="2">
        <f t="array" ref="AM16">IFERROR(LOOKUP(2, 1/SEARCH({"Black","White","Grey","Blue","Silver","Brown","Green","Blue","Purple","Red","Pink","Yellow","Gold"}, G16), {"Black","White","Grey","Blue","Silver","Brown","Green","Blue","Purple","Red","Pink","Yellow","Gold"}), "")</f>
        <v/>
      </c>
      <c r="AN16" s="58" t="str">
        <f>IFERROR(LOOKUP(2, 1/SEARCH({"8GB","16GB","32GB","64GB"}, G16), {"8GB","16GB","32GB","64GB"}), "")</f>
        <v/>
      </c>
      <c r="AO16" s="58" t="str">
        <f>IFERROR(LOOKUP(2, 1/SEARCH({"1TB","2TB","128GB","512GB","256GB"}, G16), {"1TB","2TB","128GB","512GB","256GB"}), "")</f>
        <v/>
      </c>
      <c r="AP16" s="58"/>
      <c r="AQ16" s="58" t="str">
        <f>IFERROR(LOOKUP(2, 1/SEARCH({"16-Inch","15-Inch","15.6-Inch","18-Inch","15.3-Inch","13-Inch","13.4-Inch","13.8-Inch","14-Inch","17-Inch","45-Inch","27-Inch","34-Inch","32-Inch","21.5-Inch"}, G16), {"16-Inch","15-Inch","15.6-Inch","18-Inch","15.3-Inch","13-Inch","13.4-Inch","13.8-Inch","14-Inch","17-Inch","45-Inch","27-Inch","34-Inch","32-Inch","21.5-Inch"}), "")</f>
        <v/>
      </c>
      <c r="AR16" s="58"/>
      <c r="AS16" s="91"/>
      <c r="AT16" s="93"/>
      <c r="AU16" s="93"/>
      <c r="AV16" s="93"/>
      <c r="AW16" s="93"/>
    </row>
    <row r="17" spans="1:49" ht="15" customHeight="1" x14ac:dyDescent="0.25">
      <c r="A17" s="59"/>
      <c r="B17" s="12"/>
      <c r="C17" s="12"/>
      <c r="D17" s="60"/>
      <c r="E17" s="6"/>
      <c r="F17" s="6"/>
      <c r="G17" s="12"/>
      <c r="H17" s="12" t="str" cm="2">
        <f t="array" ref="H17">IFERROR(INDEX(BrandList!$A$2:$A$50,MATCH(TRUE,ISNUMBER(SEARCH(BrandList!$A$2:$A$50,G17)),0)),"")</f>
        <v/>
      </c>
      <c r="I17" s="12" t="str" cm="2">
        <f t="array" ref="I17">IFERROR(INDEX(BrandList!$B$2:$B$200,MATCH(TRUE,ISNUMBER(SEARCH(BrandList!$B$2:$B$200,G17)),0)),"")</f>
        <v/>
      </c>
      <c r="J17" s="12"/>
      <c r="K17" s="12"/>
      <c r="L17" s="60"/>
      <c r="M17" s="60"/>
      <c r="N17" s="60"/>
      <c r="O17" s="60"/>
      <c r="P17" s="7" t="str">
        <f t="shared" si="1"/>
        <v/>
      </c>
      <c r="Q17" s="8">
        <f>IFERROR(VLOOKUP(VALUE(A17),WEEKLY_DATA!$A:$H,2,0),0)</f>
        <v>0</v>
      </c>
      <c r="R17" s="8">
        <f>IFERROR(VLOOKUP(VALUE(A17),WEEKLY_DATA!$A:$H,3,0),0)</f>
        <v>0</v>
      </c>
      <c r="S17" s="8">
        <f>IFERROR(VLOOKUP(VALUE(A17),WEEKLY_DATA!$A:$H,4,0),0)</f>
        <v>0</v>
      </c>
      <c r="T17" s="51">
        <f>IFERROR(VLOOKUP(VALUE(A17),WEEKLY_DATA!$A:$H,5,0),0)</f>
        <v>0</v>
      </c>
      <c r="U17" s="51">
        <f>IFERROR(VLOOKUP(VALUE(A17),WEEKLY_DATA!$A:$H,6,0),0)</f>
        <v>0</v>
      </c>
      <c r="V17" s="51">
        <f>IFERROR(VLOOKUP(VALUE(A17),WEEKLY_DATA!$A:$H,7,0),0)</f>
        <v>0</v>
      </c>
      <c r="W17" s="9" t="str">
        <f>IFERROR(IF(OR(Q17="",Q17=0),"",IF(VLOOKUP(VALUE($A17),WEEKLY_DATA!$A:$H,6,0)=0,"No Sales",Q17/(VLOOKUP(VALUE($A17),WEEKLY_DATA!$A:$H,6,0)/13))),"")</f>
        <v/>
      </c>
      <c r="X17" s="10">
        <f>IFERROR(VLOOKUP(VALUE(A17),WEEKLY_DATA!$A:$H,8,0),0)</f>
        <v>0</v>
      </c>
      <c r="Y17" s="13" t="str">
        <f t="shared" si="0"/>
        <v>—</v>
      </c>
      <c r="Z17" s="11"/>
      <c r="AA17" s="11"/>
      <c r="AB17" s="11"/>
      <c r="AC17" s="11"/>
      <c r="AD17" s="11"/>
      <c r="AE17" s="11"/>
      <c r="AF17" s="61" t="s">
        <v>144</v>
      </c>
      <c r="AG17" s="61"/>
      <c r="AH17" s="62"/>
      <c r="AI17" s="62"/>
      <c r="AJ17" s="61" t="s">
        <v>144</v>
      </c>
      <c r="AK17" s="61" t="s">
        <v>144</v>
      </c>
      <c r="AL17" s="61"/>
      <c r="AM17" s="58" t="str" cm="2">
        <f t="array" ref="AM17">IFERROR(LOOKUP(2, 1/SEARCH({"Black","White","Grey","Blue","Silver","Brown","Green","Blue","Purple","Red","Pink","Yellow","Gold"}, G17), {"Black","White","Grey","Blue","Silver","Brown","Green","Blue","Purple","Red","Pink","Yellow","Gold"}), "")</f>
        <v/>
      </c>
      <c r="AN17" s="58" t="str">
        <f>IFERROR(LOOKUP(2, 1/SEARCH({"8GB","16GB","32GB","64GB"}, G17), {"8GB","16GB","32GB","64GB"}), "")</f>
        <v/>
      </c>
      <c r="AO17" s="58" t="str">
        <f>IFERROR(LOOKUP(2, 1/SEARCH({"1TB","2TB","128GB","512GB","256GB"}, G17), {"1TB","2TB","128GB","512GB","256GB"}), "")</f>
        <v/>
      </c>
      <c r="AP17" s="58"/>
      <c r="AQ17" s="58" t="str">
        <f>IFERROR(LOOKUP(2, 1/SEARCH({"16-Inch","15-Inch","15.6-Inch","18-Inch","15.3-Inch","13-Inch","13.4-Inch","13.8-Inch","14-Inch","17-Inch","45-Inch","27-Inch","34-Inch","32-Inch","21.5-Inch"}, G17), {"16-Inch","15-Inch","15.6-Inch","18-Inch","15.3-Inch","13-Inch","13.4-Inch","13.8-Inch","14-Inch","17-Inch","45-Inch","27-Inch","34-Inch","32-Inch","21.5-Inch"}), "")</f>
        <v/>
      </c>
      <c r="AR17" s="58"/>
      <c r="AS17" s="91"/>
      <c r="AT17" s="93"/>
      <c r="AU17" s="93"/>
      <c r="AV17" s="93"/>
      <c r="AW17" s="93"/>
    </row>
    <row r="18" spans="1:49" ht="15" customHeight="1" x14ac:dyDescent="0.25">
      <c r="A18" s="59"/>
      <c r="B18" s="12"/>
      <c r="C18" s="12"/>
      <c r="D18" s="60"/>
      <c r="E18" s="6"/>
      <c r="F18" s="6"/>
      <c r="G18" s="12"/>
      <c r="H18" s="12" t="str" cm="2">
        <f t="array" ref="H18">IFERROR(INDEX(BrandList!$A$2:$A$50,MATCH(TRUE,ISNUMBER(SEARCH(BrandList!$A$2:$A$50,G18)),0)),"")</f>
        <v/>
      </c>
      <c r="I18" s="12" t="str" cm="2">
        <f t="array" ref="I18">IFERROR(INDEX(BrandList!$B$2:$B$200,MATCH(TRUE,ISNUMBER(SEARCH(BrandList!$B$2:$B$200,G18)),0)),"")</f>
        <v/>
      </c>
      <c r="J18" s="12"/>
      <c r="K18" s="12"/>
      <c r="L18" s="60"/>
      <c r="M18" s="60"/>
      <c r="N18" s="60"/>
      <c r="O18" s="60"/>
      <c r="P18" s="7" t="str">
        <f t="shared" si="1"/>
        <v/>
      </c>
      <c r="Q18" s="8">
        <f>IFERROR(VLOOKUP(VALUE(A18),WEEKLY_DATA!$A:$H,2,0),0)</f>
        <v>0</v>
      </c>
      <c r="R18" s="8">
        <f>IFERROR(VLOOKUP(VALUE(A18),WEEKLY_DATA!$A:$H,3,0),0)</f>
        <v>0</v>
      </c>
      <c r="S18" s="8">
        <f>IFERROR(VLOOKUP(VALUE(A18),WEEKLY_DATA!$A:$H,4,0),0)</f>
        <v>0</v>
      </c>
      <c r="T18" s="51">
        <f>IFERROR(VLOOKUP(VALUE(A18),WEEKLY_DATA!$A:$H,5,0),0)</f>
        <v>0</v>
      </c>
      <c r="U18" s="51">
        <f>IFERROR(VLOOKUP(VALUE(A18),WEEKLY_DATA!$A:$H,6,0),0)</f>
        <v>0</v>
      </c>
      <c r="V18" s="51">
        <f>IFERROR(VLOOKUP(VALUE(A18),WEEKLY_DATA!$A:$H,7,0),0)</f>
        <v>0</v>
      </c>
      <c r="W18" s="9" t="str">
        <f>IFERROR(IF(OR(Q18="",Q18=0),"",IF(VLOOKUP(VALUE($A18),WEEKLY_DATA!$A:$H,6,0)=0,"No Sales",Q18/(VLOOKUP(VALUE($A18),WEEKLY_DATA!$A:$H,6,0)/13))),"")</f>
        <v/>
      </c>
      <c r="X18" s="10">
        <f>IFERROR(VLOOKUP(VALUE(A18),WEEKLY_DATA!$A:$H,8,0),0)</f>
        <v>0</v>
      </c>
      <c r="Y18" s="13" t="str">
        <f t="shared" si="0"/>
        <v>—</v>
      </c>
      <c r="Z18" s="11"/>
      <c r="AA18" s="11"/>
      <c r="AB18" s="11"/>
      <c r="AC18" s="11"/>
      <c r="AD18" s="11"/>
      <c r="AE18" s="65"/>
      <c r="AF18" s="61" t="s">
        <v>144</v>
      </c>
      <c r="AG18" s="61"/>
      <c r="AH18" s="62"/>
      <c r="AI18" s="62"/>
      <c r="AJ18" s="61" t="s">
        <v>144</v>
      </c>
      <c r="AK18" s="61" t="s">
        <v>144</v>
      </c>
      <c r="AL18" s="61"/>
      <c r="AM18" s="58" t="str" cm="2">
        <f t="array" ref="AM18">IFERROR(LOOKUP(2, 1/SEARCH({"Black","White","Grey","Blue","Silver","Brown","Green","Blue","Purple","Red","Pink","Yellow","Gold"}, G18), {"Black","White","Grey","Blue","Silver","Brown","Green","Blue","Purple","Red","Pink","Yellow","Gold"}), "")</f>
        <v/>
      </c>
      <c r="AN18" s="58" t="str">
        <f>IFERROR(LOOKUP(2, 1/SEARCH({"8GB","16GB","32GB","64GB"}, G18), {"8GB","16GB","32GB","64GB"}), "")</f>
        <v/>
      </c>
      <c r="AO18" s="58" t="str">
        <f>IFERROR(LOOKUP(2, 1/SEARCH({"1TB","2TB","128GB","512GB","256GB"}, G18), {"1TB","2TB","128GB","512GB","256GB"}), "")</f>
        <v/>
      </c>
      <c r="AP18" s="58"/>
      <c r="AQ18" s="58" t="str">
        <f>IFERROR(LOOKUP(2, 1/SEARCH({"16-Inch","15-Inch","15.6-Inch","18-Inch","15.3-Inch","13-Inch","13.4-Inch","13.8-Inch","14-Inch","17-Inch","45-Inch","27-Inch","34-Inch","32-Inch","21.5-Inch"}, G18), {"16-Inch","15-Inch","15.6-Inch","18-Inch","15.3-Inch","13-Inch","13.4-Inch","13.8-Inch","14-Inch","17-Inch","45-Inch","27-Inch","34-Inch","32-Inch","21.5-Inch"}), "")</f>
        <v/>
      </c>
      <c r="AR18" s="58"/>
      <c r="AS18" s="91"/>
      <c r="AT18" s="93"/>
      <c r="AU18" s="93"/>
      <c r="AV18" s="93"/>
      <c r="AW18" s="93"/>
    </row>
    <row r="19" spans="1:49" ht="15" customHeight="1" x14ac:dyDescent="0.25">
      <c r="A19" s="59"/>
      <c r="B19" s="12"/>
      <c r="C19" s="12"/>
      <c r="D19" s="60"/>
      <c r="E19" s="6"/>
      <c r="F19" s="6"/>
      <c r="G19" s="12"/>
      <c r="H19" s="12" t="str" cm="2">
        <f t="array" ref="H19">IFERROR(INDEX(BrandList!$A$2:$A$50,MATCH(TRUE,ISNUMBER(SEARCH(BrandList!$A$2:$A$50,G19)),0)),"")</f>
        <v/>
      </c>
      <c r="I19" s="12" t="str" cm="2">
        <f t="array" ref="I19">IFERROR(INDEX(BrandList!$B$2:$B$200,MATCH(TRUE,ISNUMBER(SEARCH(BrandList!$B$2:$B$200,G19)),0)),"")</f>
        <v/>
      </c>
      <c r="J19" s="12"/>
      <c r="K19" s="12"/>
      <c r="L19" s="60"/>
      <c r="M19" s="60"/>
      <c r="N19" s="60"/>
      <c r="O19" s="60"/>
      <c r="P19" s="7" t="str">
        <f t="shared" si="1"/>
        <v/>
      </c>
      <c r="Q19" s="8">
        <f>IFERROR(VLOOKUP(VALUE(A19),WEEKLY_DATA!$A:$H,2,0),0)</f>
        <v>0</v>
      </c>
      <c r="R19" s="8">
        <f>IFERROR(VLOOKUP(VALUE(A19),WEEKLY_DATA!$A:$H,3,0),0)</f>
        <v>0</v>
      </c>
      <c r="S19" s="8">
        <f>IFERROR(VLOOKUP(VALUE(A19),WEEKLY_DATA!$A:$H,4,0),0)</f>
        <v>0</v>
      </c>
      <c r="T19" s="51">
        <f>IFERROR(VLOOKUP(VALUE(A19),WEEKLY_DATA!$A:$H,5,0),0)</f>
        <v>0</v>
      </c>
      <c r="U19" s="51">
        <f>IFERROR(VLOOKUP(VALUE(A19),WEEKLY_DATA!$A:$H,6,0),0)</f>
        <v>0</v>
      </c>
      <c r="V19" s="51">
        <f>IFERROR(VLOOKUP(VALUE(A19),WEEKLY_DATA!$A:$H,7,0),0)</f>
        <v>0</v>
      </c>
      <c r="W19" s="9" t="str">
        <f>IFERROR(IF(OR(Q19="",Q19=0),"",IF(VLOOKUP(VALUE($A19),WEEKLY_DATA!$A:$H,6,0)=0,"No Sales",Q19/(VLOOKUP(VALUE($A19),WEEKLY_DATA!$A:$H,6,0)/13))),"")</f>
        <v/>
      </c>
      <c r="X19" s="10">
        <f>IFERROR(VLOOKUP(VALUE(A19),WEEKLY_DATA!$A:$H,8,0),0)</f>
        <v>0</v>
      </c>
      <c r="Y19" s="13" t="str">
        <f t="shared" si="0"/>
        <v>—</v>
      </c>
      <c r="Z19" s="67"/>
      <c r="AA19" s="11"/>
      <c r="AB19" s="11"/>
      <c r="AC19" s="11"/>
      <c r="AD19" s="11"/>
      <c r="AE19" s="11"/>
      <c r="AF19" s="61" t="s">
        <v>144</v>
      </c>
      <c r="AG19" s="61"/>
      <c r="AH19" s="62"/>
      <c r="AI19" s="62"/>
      <c r="AJ19" s="61" t="s">
        <v>144</v>
      </c>
      <c r="AK19" s="61" t="s">
        <v>144</v>
      </c>
      <c r="AL19" s="61"/>
      <c r="AM19" s="58" t="str" cm="2">
        <f t="array" ref="AM19">IFERROR(LOOKUP(2, 1/SEARCH({"Black","White","Grey","Blue","Silver","Brown","Green","Blue","Purple","Red","Pink","Yellow","Gold"}, G19), {"Black","White","Grey","Blue","Silver","Brown","Green","Blue","Purple","Red","Pink","Yellow","Gold"}), "")</f>
        <v/>
      </c>
      <c r="AN19" s="58" t="str">
        <f>IFERROR(LOOKUP(2, 1/SEARCH({"8GB","16GB","32GB","64GB"}, G19), {"8GB","16GB","32GB","64GB"}), "")</f>
        <v/>
      </c>
      <c r="AO19" s="58" t="str">
        <f>IFERROR(LOOKUP(2, 1/SEARCH({"1TB","2TB","128GB","512GB","256GB"}, G19), {"1TB","2TB","128GB","512GB","256GB"}), "")</f>
        <v/>
      </c>
      <c r="AP19" s="58"/>
      <c r="AQ19" s="58" t="str">
        <f>IFERROR(LOOKUP(2, 1/SEARCH({"16-Inch","15-Inch","15.6-Inch","18-Inch","15.3-Inch","13-Inch","13.4-Inch","13.8-Inch","14-Inch","17-Inch","45-Inch","27-Inch","34-Inch","32-Inch","21.5-Inch"}, G19), {"16-Inch","15-Inch","15.6-Inch","18-Inch","15.3-Inch","13-Inch","13.4-Inch","13.8-Inch","14-Inch","17-Inch","45-Inch","27-Inch","34-Inch","32-Inch","21.5-Inch"}), "")</f>
        <v/>
      </c>
      <c r="AR19" s="58"/>
      <c r="AS19" s="91"/>
      <c r="AT19" s="93"/>
      <c r="AU19" s="93"/>
      <c r="AV19" s="93"/>
      <c r="AW19" s="93"/>
    </row>
    <row r="20" spans="1:49" ht="15" customHeight="1" x14ac:dyDescent="0.25">
      <c r="A20" s="59"/>
      <c r="B20" s="12"/>
      <c r="C20" s="12"/>
      <c r="D20" s="60"/>
      <c r="E20" s="6"/>
      <c r="F20" s="6"/>
      <c r="G20" s="12"/>
      <c r="H20" s="12" t="str" cm="2">
        <f t="array" ref="H20">IFERROR(INDEX(BrandList!$A$2:$A$50,MATCH(TRUE,ISNUMBER(SEARCH(BrandList!$A$2:$A$50,G20)),0)),"")</f>
        <v/>
      </c>
      <c r="I20" s="12" t="str" cm="2">
        <f t="array" ref="I20">IFERROR(INDEX(BrandList!$B$2:$B$200,MATCH(TRUE,ISNUMBER(SEARCH(BrandList!$B$2:$B$200,G20)),0)),"")</f>
        <v/>
      </c>
      <c r="J20" s="12"/>
      <c r="K20" s="12"/>
      <c r="L20" s="60"/>
      <c r="M20" s="60"/>
      <c r="N20" s="60"/>
      <c r="O20" s="60"/>
      <c r="P20" s="7" t="str">
        <f t="shared" si="1"/>
        <v/>
      </c>
      <c r="Q20" s="8">
        <f>IFERROR(VLOOKUP(VALUE(A20),WEEKLY_DATA!$A:$H,2,0),0)</f>
        <v>0</v>
      </c>
      <c r="R20" s="8">
        <f>IFERROR(VLOOKUP(VALUE(A20),WEEKLY_DATA!$A:$H,3,0),0)</f>
        <v>0</v>
      </c>
      <c r="S20" s="8">
        <f>IFERROR(VLOOKUP(VALUE(A20),WEEKLY_DATA!$A:$H,4,0),0)</f>
        <v>0</v>
      </c>
      <c r="T20" s="51">
        <f>IFERROR(VLOOKUP(VALUE(A20),WEEKLY_DATA!$A:$H,5,0),0)</f>
        <v>0</v>
      </c>
      <c r="U20" s="51">
        <f>IFERROR(VLOOKUP(VALUE(A20),WEEKLY_DATA!$A:$H,6,0),0)</f>
        <v>0</v>
      </c>
      <c r="V20" s="51">
        <f>IFERROR(VLOOKUP(VALUE(A20),WEEKLY_DATA!$A:$H,7,0),0)</f>
        <v>0</v>
      </c>
      <c r="W20" s="9" t="str">
        <f>IFERROR(IF(OR(Q20="",Q20=0),"",IF(VLOOKUP(VALUE($A20),WEEKLY_DATA!$A:$H,6,0)=0,"No Sales",Q20/(VLOOKUP(VALUE($A20),WEEKLY_DATA!$A:$H,6,0)/13))),"")</f>
        <v/>
      </c>
      <c r="X20" s="10">
        <f>IFERROR(VLOOKUP(VALUE(A20),WEEKLY_DATA!$A:$H,8,0),0)</f>
        <v>0</v>
      </c>
      <c r="Y20" s="13" t="str">
        <f t="shared" si="0"/>
        <v>—</v>
      </c>
      <c r="Z20" s="11"/>
      <c r="AA20" s="11"/>
      <c r="AB20" s="11"/>
      <c r="AC20" s="11"/>
      <c r="AD20" s="11"/>
      <c r="AE20" s="11"/>
      <c r="AF20" s="61" t="s">
        <v>144</v>
      </c>
      <c r="AG20" s="61"/>
      <c r="AH20" s="62"/>
      <c r="AI20" s="62"/>
      <c r="AJ20" s="61" t="s">
        <v>144</v>
      </c>
      <c r="AK20" s="61" t="s">
        <v>144</v>
      </c>
      <c r="AL20" s="61"/>
      <c r="AM20" s="58" t="str" cm="2">
        <f t="array" ref="AM20">IFERROR(LOOKUP(2, 1/SEARCH({"Black","White","Grey","Blue","Silver","Brown","Green","Blue","Purple","Red","Pink","Yellow","Gold"}, G20), {"Black","White","Grey","Blue","Silver","Brown","Green","Blue","Purple","Red","Pink","Yellow","Gold"}), "")</f>
        <v/>
      </c>
      <c r="AN20" s="58" t="str">
        <f>IFERROR(LOOKUP(2, 1/SEARCH({"8GB","16GB","32GB","64GB"}, G20), {"8GB","16GB","32GB","64GB"}), "")</f>
        <v/>
      </c>
      <c r="AO20" s="58" t="str">
        <f>IFERROR(LOOKUP(2, 1/SEARCH({"1TB","2TB","128GB","512GB","256GB"}, G20), {"1TB","2TB","128GB","512GB","256GB"}), "")</f>
        <v/>
      </c>
      <c r="AP20" s="58"/>
      <c r="AQ20" s="58" t="str">
        <f>IFERROR(LOOKUP(2, 1/SEARCH({"16-Inch","15-Inch","15.6-Inch","18-Inch","15.3-Inch","13-Inch","13.4-Inch","13.8-Inch","14-Inch","17-Inch","45-Inch","27-Inch","34-Inch","32-Inch","21.5-Inch"}, G20), {"16-Inch","15-Inch","15.6-Inch","18-Inch","15.3-Inch","13-Inch","13.4-Inch","13.8-Inch","14-Inch","17-Inch","45-Inch","27-Inch","34-Inch","32-Inch","21.5-Inch"}), "")</f>
        <v/>
      </c>
      <c r="AR20" s="58"/>
      <c r="AS20" s="91"/>
      <c r="AT20" s="93"/>
      <c r="AU20" s="93"/>
      <c r="AV20" s="93"/>
      <c r="AW20" s="93"/>
    </row>
    <row r="21" spans="1:49" ht="15" customHeight="1" x14ac:dyDescent="0.25">
      <c r="A21" s="59"/>
      <c r="B21" s="12"/>
      <c r="C21" s="12"/>
      <c r="D21" s="60"/>
      <c r="E21" s="6"/>
      <c r="F21" s="6"/>
      <c r="G21" s="12"/>
      <c r="H21" s="12" t="str" cm="2">
        <f t="array" ref="H21">IFERROR(INDEX(BrandList!$A$2:$A$50,MATCH(TRUE,ISNUMBER(SEARCH(BrandList!$A$2:$A$50,G21)),0)),"")</f>
        <v/>
      </c>
      <c r="I21" s="12" t="str" cm="2">
        <f t="array" ref="I21">IFERROR(INDEX(BrandList!$B$2:$B$200,MATCH(TRUE,ISNUMBER(SEARCH(BrandList!$B$2:$B$200,G21)),0)),"")</f>
        <v/>
      </c>
      <c r="J21" s="12"/>
      <c r="K21" s="12"/>
      <c r="L21" s="60"/>
      <c r="M21" s="60"/>
      <c r="N21" s="60"/>
      <c r="O21" s="60"/>
      <c r="P21" s="7" t="str">
        <f t="shared" si="1"/>
        <v/>
      </c>
      <c r="Q21" s="8">
        <f>IFERROR(VLOOKUP(VALUE(A21),WEEKLY_DATA!$A:$H,2,0),0)</f>
        <v>0</v>
      </c>
      <c r="R21" s="8">
        <f>IFERROR(VLOOKUP(VALUE(A21),WEEKLY_DATA!$A:$H,3,0),0)</f>
        <v>0</v>
      </c>
      <c r="S21" s="8">
        <f>IFERROR(VLOOKUP(VALUE(A21),WEEKLY_DATA!$A:$H,4,0),0)</f>
        <v>0</v>
      </c>
      <c r="T21" s="51">
        <f>IFERROR(VLOOKUP(VALUE(A21),WEEKLY_DATA!$A:$H,5,0),0)</f>
        <v>0</v>
      </c>
      <c r="U21" s="51">
        <f>IFERROR(VLOOKUP(VALUE(A21),WEEKLY_DATA!$A:$H,6,0),0)</f>
        <v>0</v>
      </c>
      <c r="V21" s="51">
        <f>IFERROR(VLOOKUP(VALUE(A21),WEEKLY_DATA!$A:$H,7,0),0)</f>
        <v>0</v>
      </c>
      <c r="W21" s="9" t="str">
        <f>IFERROR(IF(OR(Q21="",Q21=0),"",IF(VLOOKUP(VALUE($A21),WEEKLY_DATA!$A:$H,6,0)=0,"No Sales",Q21/(VLOOKUP(VALUE($A21),WEEKLY_DATA!$A:$H,6,0)/13))),"")</f>
        <v/>
      </c>
      <c r="X21" s="10">
        <f>IFERROR(VLOOKUP(VALUE(A21),WEEKLY_DATA!$A:$H,8,0),0)</f>
        <v>0</v>
      </c>
      <c r="Y21" s="13" t="str">
        <f t="shared" si="0"/>
        <v>—</v>
      </c>
      <c r="Z21" s="11"/>
      <c r="AA21" s="11"/>
      <c r="AB21" s="11"/>
      <c r="AC21" s="11"/>
      <c r="AD21" s="11"/>
      <c r="AE21" s="11"/>
      <c r="AF21" s="61" t="s">
        <v>144</v>
      </c>
      <c r="AG21" s="61"/>
      <c r="AH21" s="62"/>
      <c r="AI21" s="62"/>
      <c r="AJ21" s="61" t="s">
        <v>144</v>
      </c>
      <c r="AK21" s="61" t="s">
        <v>144</v>
      </c>
      <c r="AL21" s="61"/>
      <c r="AM21" s="58" t="str" cm="2">
        <f t="array" ref="AM21">IFERROR(LOOKUP(2, 1/SEARCH({"Black","White","Grey","Blue","Silver","Brown","Green","Blue","Purple","Red","Pink","Yellow","Gold"}, G21), {"Black","White","Grey","Blue","Silver","Brown","Green","Blue","Purple","Red","Pink","Yellow","Gold"}), "")</f>
        <v/>
      </c>
      <c r="AN21" s="58" t="str">
        <f>IFERROR(LOOKUP(2, 1/SEARCH({"8GB","16GB","32GB","64GB"}, G21), {"8GB","16GB","32GB","64GB"}), "")</f>
        <v/>
      </c>
      <c r="AO21" s="58" t="str">
        <f>IFERROR(LOOKUP(2, 1/SEARCH({"1TB","2TB","128GB","512GB","256GB"}, G21), {"1TB","2TB","128GB","512GB","256GB"}), "")</f>
        <v/>
      </c>
      <c r="AP21" s="58"/>
      <c r="AQ21" s="58" t="str">
        <f>IFERROR(LOOKUP(2, 1/SEARCH({"16-Inch","15-Inch","15.6-Inch","18-Inch","15.3-Inch","13-Inch","13.4-Inch","13.8-Inch","14-Inch","17-Inch","45-Inch","27-Inch","34-Inch","32-Inch","21.5-Inch"}, G21), {"16-Inch","15-Inch","15.6-Inch","18-Inch","15.3-Inch","13-Inch","13.4-Inch","13.8-Inch","14-Inch","17-Inch","45-Inch","27-Inch","34-Inch","32-Inch","21.5-Inch"}), "")</f>
        <v/>
      </c>
      <c r="AR21" s="58"/>
      <c r="AS21" s="91"/>
      <c r="AT21" s="93"/>
      <c r="AU21" s="93"/>
      <c r="AV21" s="93"/>
      <c r="AW21" s="93"/>
    </row>
    <row r="22" spans="1:49" ht="15" customHeight="1" x14ac:dyDescent="0.25">
      <c r="A22" s="59"/>
      <c r="B22" s="12"/>
      <c r="C22" s="12"/>
      <c r="D22" s="60"/>
      <c r="E22" s="6"/>
      <c r="F22" s="6"/>
      <c r="G22" s="12"/>
      <c r="H22" s="12" t="str" cm="2">
        <f t="array" ref="H22">IFERROR(INDEX(BrandList!$A$2:$A$50,MATCH(TRUE,ISNUMBER(SEARCH(BrandList!$A$2:$A$50,G22)),0)),"")</f>
        <v/>
      </c>
      <c r="I22" s="12" t="str" cm="2">
        <f t="array" ref="I22">IFERROR(INDEX(BrandList!$B$2:$B$200,MATCH(TRUE,ISNUMBER(SEARCH(BrandList!$B$2:$B$200,G22)),0)),"")</f>
        <v/>
      </c>
      <c r="J22" s="12"/>
      <c r="K22" s="12"/>
      <c r="L22" s="60"/>
      <c r="M22" s="60"/>
      <c r="N22" s="60"/>
      <c r="O22" s="60"/>
      <c r="P22" s="7" t="str">
        <f t="shared" si="1"/>
        <v/>
      </c>
      <c r="Q22" s="8">
        <f>IFERROR(VLOOKUP(VALUE(A22),WEEKLY_DATA!$A:$H,2,0),0)</f>
        <v>0</v>
      </c>
      <c r="R22" s="8">
        <f>IFERROR(VLOOKUP(VALUE(A22),WEEKLY_DATA!$A:$H,3,0),0)</f>
        <v>0</v>
      </c>
      <c r="S22" s="8">
        <f>IFERROR(VLOOKUP(VALUE(A22),WEEKLY_DATA!$A:$H,4,0),0)</f>
        <v>0</v>
      </c>
      <c r="T22" s="51">
        <f>IFERROR(VLOOKUP(VALUE(A22),WEEKLY_DATA!$A:$H,5,0),0)</f>
        <v>0</v>
      </c>
      <c r="U22" s="51">
        <f>IFERROR(VLOOKUP(VALUE(A22),WEEKLY_DATA!$A:$H,6,0),0)</f>
        <v>0</v>
      </c>
      <c r="V22" s="51">
        <f>IFERROR(VLOOKUP(VALUE(A22),WEEKLY_DATA!$A:$H,7,0),0)</f>
        <v>0</v>
      </c>
      <c r="W22" s="9" t="str">
        <f>IFERROR(IF(OR(Q22="",Q22=0),"",IF(VLOOKUP(VALUE($A22),WEEKLY_DATA!$A:$H,6,0)=0,"No Sales",Q22/(VLOOKUP(VALUE($A22),WEEKLY_DATA!$A:$H,6,0)/13))),"")</f>
        <v/>
      </c>
      <c r="X22" s="10">
        <f>IFERROR(VLOOKUP(VALUE(A22),WEEKLY_DATA!$A:$H,8,0),0)</f>
        <v>0</v>
      </c>
      <c r="Y22" s="13" t="str">
        <f t="shared" si="0"/>
        <v>—</v>
      </c>
      <c r="Z22" s="11"/>
      <c r="AA22" s="11"/>
      <c r="AB22" s="11"/>
      <c r="AC22" s="11"/>
      <c r="AD22" s="11"/>
      <c r="AE22" s="11"/>
      <c r="AF22" s="61" t="s">
        <v>144</v>
      </c>
      <c r="AG22" s="61"/>
      <c r="AH22" s="62"/>
      <c r="AI22" s="62"/>
      <c r="AJ22" s="61" t="s">
        <v>144</v>
      </c>
      <c r="AK22" s="61" t="s">
        <v>144</v>
      </c>
      <c r="AL22" s="61"/>
      <c r="AM22" s="58" t="str" cm="2">
        <f t="array" ref="AM22">IFERROR(LOOKUP(2, 1/SEARCH({"Black","White","Grey","Blue","Silver","Brown","Green","Blue","Purple","Red","Pink","Yellow","Gold"}, G22), {"Black","White","Grey","Blue","Silver","Brown","Green","Blue","Purple","Red","Pink","Yellow","Gold"}), "")</f>
        <v/>
      </c>
      <c r="AN22" s="58" t="str">
        <f>IFERROR(LOOKUP(2, 1/SEARCH({"8GB","16GB","32GB","64GB"}, G22), {"8GB","16GB","32GB","64GB"}), "")</f>
        <v/>
      </c>
      <c r="AO22" s="58" t="str">
        <f>IFERROR(LOOKUP(2, 1/SEARCH({"1TB","2TB","128GB","512GB","256GB"}, G22), {"1TB","2TB","128GB","512GB","256GB"}), "")</f>
        <v/>
      </c>
      <c r="AP22" s="58"/>
      <c r="AQ22" s="58" t="str">
        <f>IFERROR(LOOKUP(2, 1/SEARCH({"16-Inch","15-Inch","15.6-Inch","18-Inch","15.3-Inch","13-Inch","13.4-Inch","13.8-Inch","14-Inch","17-Inch","45-Inch","27-Inch","34-Inch","32-Inch","21.5-Inch"}, G22), {"16-Inch","15-Inch","15.6-Inch","18-Inch","15.3-Inch","13-Inch","13.4-Inch","13.8-Inch","14-Inch","17-Inch","45-Inch","27-Inch","34-Inch","32-Inch","21.5-Inch"}), "")</f>
        <v/>
      </c>
      <c r="AR22" s="58"/>
      <c r="AS22" s="91"/>
      <c r="AT22" s="93"/>
      <c r="AU22" s="93"/>
      <c r="AV22" s="93"/>
      <c r="AW22" s="93"/>
    </row>
    <row r="23" spans="1:49" ht="15" customHeight="1" x14ac:dyDescent="0.25">
      <c r="A23" s="59"/>
      <c r="B23" s="12"/>
      <c r="C23" s="12"/>
      <c r="D23" s="60"/>
      <c r="E23" s="6"/>
      <c r="F23" s="6"/>
      <c r="G23" s="12"/>
      <c r="H23" s="12" t="str" cm="2">
        <f t="array" ref="H23">IFERROR(INDEX(BrandList!$A$2:$A$50,MATCH(TRUE,ISNUMBER(SEARCH(BrandList!$A$2:$A$50,G23)),0)),"")</f>
        <v/>
      </c>
      <c r="I23" s="12" t="str" cm="2">
        <f t="array" ref="I23">IFERROR(INDEX(BrandList!$B$2:$B$200,MATCH(TRUE,ISNUMBER(SEARCH(BrandList!$B$2:$B$200,G23)),0)),"")</f>
        <v/>
      </c>
      <c r="J23" s="12"/>
      <c r="K23" s="12"/>
      <c r="L23" s="60"/>
      <c r="M23" s="60"/>
      <c r="N23" s="60"/>
      <c r="O23" s="60"/>
      <c r="P23" s="7" t="str">
        <f t="shared" si="1"/>
        <v/>
      </c>
      <c r="Q23" s="8">
        <f>IFERROR(VLOOKUP(VALUE(A23),WEEKLY_DATA!$A:$H,2,0),0)</f>
        <v>0</v>
      </c>
      <c r="R23" s="8">
        <f>IFERROR(VLOOKUP(VALUE(A23),WEEKLY_DATA!$A:$H,3,0),0)</f>
        <v>0</v>
      </c>
      <c r="S23" s="8">
        <f>IFERROR(VLOOKUP(VALUE(A23),WEEKLY_DATA!$A:$H,4,0),0)</f>
        <v>0</v>
      </c>
      <c r="T23" s="51">
        <f>IFERROR(VLOOKUP(VALUE(A23),WEEKLY_DATA!$A:$H,5,0),0)</f>
        <v>0</v>
      </c>
      <c r="U23" s="51">
        <f>IFERROR(VLOOKUP(VALUE(A23),WEEKLY_DATA!$A:$H,6,0),0)</f>
        <v>0</v>
      </c>
      <c r="V23" s="51">
        <f>IFERROR(VLOOKUP(VALUE(A23),WEEKLY_DATA!$A:$H,7,0),0)</f>
        <v>0</v>
      </c>
      <c r="W23" s="9" t="str">
        <f>IFERROR(IF(OR(Q23="",Q23=0),"",IF(VLOOKUP(VALUE($A23),WEEKLY_DATA!$A:$H,6,0)=0,"No Sales",Q23/(VLOOKUP(VALUE($A23),WEEKLY_DATA!$A:$H,6,0)/13))),"")</f>
        <v/>
      </c>
      <c r="X23" s="10">
        <f>IFERROR(VLOOKUP(VALUE(A23),WEEKLY_DATA!$A:$H,8,0),0)</f>
        <v>0</v>
      </c>
      <c r="Y23" s="13" t="str">
        <f t="shared" si="0"/>
        <v>—</v>
      </c>
      <c r="Z23" s="11"/>
      <c r="AA23" s="11"/>
      <c r="AB23" s="11"/>
      <c r="AC23" s="11"/>
      <c r="AD23" s="11"/>
      <c r="AE23" s="11"/>
      <c r="AF23" s="61" t="s">
        <v>144</v>
      </c>
      <c r="AG23" s="61"/>
      <c r="AH23" s="62"/>
      <c r="AI23" s="62"/>
      <c r="AJ23" s="61" t="s">
        <v>144</v>
      </c>
      <c r="AK23" s="61" t="s">
        <v>144</v>
      </c>
      <c r="AL23" s="61"/>
      <c r="AM23" s="58" t="str" cm="2">
        <f t="array" ref="AM23">IFERROR(LOOKUP(2, 1/SEARCH({"Black","White","Grey","Blue","Silver","Brown","Green","Blue","Purple","Red","Pink","Yellow","Gold"}, G23), {"Black","White","Grey","Blue","Silver","Brown","Green","Blue","Purple","Red","Pink","Yellow","Gold"}), "")</f>
        <v/>
      </c>
      <c r="AN23" s="58" t="str">
        <f>IFERROR(LOOKUP(2, 1/SEARCH({"8GB","16GB","32GB","64GB"}, G23), {"8GB","16GB","32GB","64GB"}), "")</f>
        <v/>
      </c>
      <c r="AO23" s="58" t="str">
        <f>IFERROR(LOOKUP(2, 1/SEARCH({"1TB","2TB","128GB","512GB","256GB"}, G23), {"1TB","2TB","128GB","512GB","256GB"}), "")</f>
        <v/>
      </c>
      <c r="AP23" s="58"/>
      <c r="AQ23" s="58" t="str">
        <f>IFERROR(LOOKUP(2, 1/SEARCH({"16-Inch","15-Inch","15.6-Inch","18-Inch","15.3-Inch","13-Inch","13.4-Inch","13.8-Inch","14-Inch","17-Inch","45-Inch","27-Inch","34-Inch","32-Inch","21.5-Inch"}, G23), {"16-Inch","15-Inch","15.6-Inch","18-Inch","15.3-Inch","13-Inch","13.4-Inch","13.8-Inch","14-Inch","17-Inch","45-Inch","27-Inch","34-Inch","32-Inch","21.5-Inch"}), "")</f>
        <v/>
      </c>
      <c r="AR23" s="58"/>
      <c r="AS23" s="91"/>
      <c r="AT23" s="93"/>
      <c r="AU23" s="93"/>
      <c r="AV23" s="93"/>
      <c r="AW23" s="93"/>
    </row>
    <row r="24" spans="1:49" ht="15" customHeight="1" x14ac:dyDescent="0.25">
      <c r="A24" s="59"/>
      <c r="B24" s="12"/>
      <c r="C24" s="12"/>
      <c r="D24" s="60"/>
      <c r="E24" s="6"/>
      <c r="F24" s="6"/>
      <c r="G24" s="12"/>
      <c r="H24" s="12" t="str" cm="2">
        <f t="array" ref="H24">IFERROR(INDEX(BrandList!$A$2:$A$50,MATCH(TRUE,ISNUMBER(SEARCH(BrandList!$A$2:$A$50,G24)),0)),"")</f>
        <v/>
      </c>
      <c r="I24" s="12" t="str" cm="2">
        <f t="array" ref="I24">IFERROR(INDEX(BrandList!$B$2:$B$200,MATCH(TRUE,ISNUMBER(SEARCH(BrandList!$B$2:$B$200,G24)),0)),"")</f>
        <v/>
      </c>
      <c r="J24" s="12"/>
      <c r="K24" s="12"/>
      <c r="L24" s="60"/>
      <c r="M24" s="60"/>
      <c r="N24" s="60"/>
      <c r="O24" s="60"/>
      <c r="P24" s="7" t="str">
        <f t="shared" si="1"/>
        <v/>
      </c>
      <c r="Q24" s="8">
        <f>IFERROR(VLOOKUP(VALUE(A24),WEEKLY_DATA!$A:$H,2,0),0)</f>
        <v>0</v>
      </c>
      <c r="R24" s="8">
        <f>IFERROR(VLOOKUP(VALUE(A24),WEEKLY_DATA!$A:$H,3,0),0)</f>
        <v>0</v>
      </c>
      <c r="S24" s="8">
        <f>IFERROR(VLOOKUP(VALUE(A24),WEEKLY_DATA!$A:$H,4,0),0)</f>
        <v>0</v>
      </c>
      <c r="T24" s="51">
        <f>IFERROR(VLOOKUP(VALUE(A24),WEEKLY_DATA!$A:$H,5,0),0)</f>
        <v>0</v>
      </c>
      <c r="U24" s="51">
        <f>IFERROR(VLOOKUP(VALUE(A24),WEEKLY_DATA!$A:$H,6,0),0)</f>
        <v>0</v>
      </c>
      <c r="V24" s="51">
        <f>IFERROR(VLOOKUP(VALUE(A24),WEEKLY_DATA!$A:$H,7,0),0)</f>
        <v>0</v>
      </c>
      <c r="W24" s="9" t="str">
        <f>IFERROR(IF(OR(Q24="",Q24=0),"",IF(VLOOKUP(VALUE($A24),WEEKLY_DATA!$A:$H,6,0)=0,"No Sales",Q24/(VLOOKUP(VALUE($A24),WEEKLY_DATA!$A:$H,6,0)/13))),"")</f>
        <v/>
      </c>
      <c r="X24" s="10">
        <f>IFERROR(VLOOKUP(VALUE(A24),WEEKLY_DATA!$A:$H,8,0),0)</f>
        <v>0</v>
      </c>
      <c r="Y24" s="13" t="str">
        <f t="shared" si="0"/>
        <v>—</v>
      </c>
      <c r="Z24" s="11"/>
      <c r="AA24" s="11"/>
      <c r="AB24" s="11"/>
      <c r="AC24" s="11"/>
      <c r="AD24" s="11"/>
      <c r="AE24" s="11"/>
      <c r="AF24" s="61"/>
      <c r="AG24" s="61"/>
      <c r="AH24" s="62"/>
      <c r="AI24" s="62"/>
      <c r="AJ24" s="61"/>
      <c r="AK24" s="61"/>
      <c r="AL24" s="61"/>
      <c r="AM24" s="58" t="str" cm="2">
        <f t="array" ref="AM24">IFERROR(LOOKUP(2, 1/SEARCH({"Black","White","Grey","Blue","Silver","Brown","Green","Blue","Purple","Red","Pink","Yellow","Gold"}, G24), {"Black","White","Grey","Blue","Silver","Brown","Green","Blue","Purple","Red","Pink","Yellow","Gold"}), "")</f>
        <v/>
      </c>
      <c r="AN24" s="58" t="str">
        <f>IFERROR(LOOKUP(2, 1/SEARCH({"8GB","16GB","32GB","64GB"}, G24), {"8GB","16GB","32GB","64GB"}), "")</f>
        <v/>
      </c>
      <c r="AO24" s="58" t="str">
        <f>IFERROR(LOOKUP(2, 1/SEARCH({"1TB","2TB","128GB","512GB","256GB"}, G24), {"1TB","2TB","128GB","512GB","256GB"}), "")</f>
        <v/>
      </c>
      <c r="AP24" s="58"/>
      <c r="AQ24" s="58"/>
      <c r="AR24" s="58"/>
      <c r="AS24" s="91"/>
      <c r="AT24" s="93"/>
      <c r="AU24" s="93"/>
      <c r="AV24" s="93"/>
      <c r="AW24" s="93"/>
    </row>
    <row r="25" spans="1:49" ht="15" customHeight="1" x14ac:dyDescent="0.25">
      <c r="A25" s="59"/>
      <c r="B25" s="12"/>
      <c r="C25" s="12"/>
      <c r="D25" s="60"/>
      <c r="E25" s="6"/>
      <c r="F25" s="6"/>
      <c r="G25" s="12"/>
      <c r="H25" s="12" t="str" cm="2">
        <f t="array" ref="H25">IFERROR(INDEX(BrandList!$A$2:$A$50,MATCH(TRUE,ISNUMBER(SEARCH(BrandList!$A$2:$A$50,G25)),0)),"")</f>
        <v/>
      </c>
      <c r="I25" s="12" t="str" cm="2">
        <f t="array" ref="I25">IFERROR(INDEX(BrandList!$B$2:$B$200,MATCH(TRUE,ISNUMBER(SEARCH(BrandList!$B$2:$B$200,G25)),0)),"")</f>
        <v/>
      </c>
      <c r="J25" s="12"/>
      <c r="K25" s="12"/>
      <c r="L25" s="60"/>
      <c r="M25" s="60"/>
      <c r="N25" s="60"/>
      <c r="O25" s="60"/>
      <c r="P25" s="7" t="str">
        <f t="shared" si="1"/>
        <v/>
      </c>
      <c r="Q25" s="8">
        <f>IFERROR(VLOOKUP(VALUE(A25),WEEKLY_DATA!$A:$H,2,0),0)</f>
        <v>0</v>
      </c>
      <c r="R25" s="8">
        <f>IFERROR(VLOOKUP(VALUE(A25),WEEKLY_DATA!$A:$H,3,0),0)</f>
        <v>0</v>
      </c>
      <c r="S25" s="8">
        <f>IFERROR(VLOOKUP(VALUE(A25),WEEKLY_DATA!$A:$H,4,0),0)</f>
        <v>0</v>
      </c>
      <c r="T25" s="51">
        <f>IFERROR(VLOOKUP(VALUE(A25),WEEKLY_DATA!$A:$H,5,0),0)</f>
        <v>0</v>
      </c>
      <c r="U25" s="51">
        <f>IFERROR(VLOOKUP(VALUE(A25),WEEKLY_DATA!$A:$H,6,0),0)</f>
        <v>0</v>
      </c>
      <c r="V25" s="51">
        <f>IFERROR(VLOOKUP(VALUE(A25),WEEKLY_DATA!$A:$H,7,0),0)</f>
        <v>0</v>
      </c>
      <c r="W25" s="9" t="str">
        <f>IFERROR(IF(OR(Q25="",Q25=0),"",IF(VLOOKUP(VALUE($A25),WEEKLY_DATA!$A:$H,6,0)=0,"No Sales",Q25/(VLOOKUP(VALUE($A25),WEEKLY_DATA!$A:$H,6,0)/13))),"")</f>
        <v/>
      </c>
      <c r="X25" s="10">
        <f>IFERROR(VLOOKUP(VALUE(A25),WEEKLY_DATA!$A:$H,8,0),0)</f>
        <v>0</v>
      </c>
      <c r="Y25" s="13" t="str">
        <f t="shared" si="0"/>
        <v>—</v>
      </c>
      <c r="Z25" s="11"/>
      <c r="AA25" s="11"/>
      <c r="AB25" s="11"/>
      <c r="AC25" s="11"/>
      <c r="AD25" s="11"/>
      <c r="AE25" s="11"/>
      <c r="AF25" s="61"/>
      <c r="AG25" s="61"/>
      <c r="AH25" s="62"/>
      <c r="AI25" s="62"/>
      <c r="AJ25" s="61"/>
      <c r="AK25" s="61"/>
      <c r="AL25" s="61"/>
      <c r="AM25" s="58" t="str" cm="2">
        <f t="array" ref="AM25">IFERROR(LOOKUP(2, 1/SEARCH({"Black","White","Grey","Blue","Silver","Brown","Green","Blue","Purple","Red","Pink","Yellow","Gold"}, G25), {"Black","White","Grey","Blue","Silver","Brown","Green","Blue","Purple","Red","Pink","Yellow","Gold"}), "")</f>
        <v/>
      </c>
      <c r="AN25" s="58" t="str">
        <f>IFERROR(LOOKUP(2, 1/SEARCH({"8GB","16GB","32GB","64GB"}, G25), {"8GB","16GB","32GB","64GB"}), "")</f>
        <v/>
      </c>
      <c r="AO25" s="58" t="str">
        <f>IFERROR(LOOKUP(2, 1/SEARCH({"1TB","2TB","128GB","512GB","256GB"}, G25), {"1TB","2TB","128GB","512GB","256GB"}), "")</f>
        <v/>
      </c>
      <c r="AP25" s="58"/>
      <c r="AQ25" s="58"/>
      <c r="AR25" s="58"/>
      <c r="AS25" s="91"/>
      <c r="AT25" s="93"/>
      <c r="AU25" s="93"/>
      <c r="AV25" s="93"/>
      <c r="AW25" s="93"/>
    </row>
    <row r="26" spans="1:49" ht="15" customHeight="1" x14ac:dyDescent="0.25">
      <c r="A26" s="59"/>
      <c r="B26" s="12"/>
      <c r="C26" s="12"/>
      <c r="D26" s="60"/>
      <c r="E26" s="6"/>
      <c r="F26" s="6"/>
      <c r="G26" s="12"/>
      <c r="H26" s="12" t="str" cm="2">
        <f t="array" ref="H26">IFERROR(INDEX(BrandList!$A$2:$A$50,MATCH(TRUE,ISNUMBER(SEARCH(BrandList!$A$2:$A$50,G26)),0)),"")</f>
        <v/>
      </c>
      <c r="I26" s="12" t="str" cm="2">
        <f t="array" ref="I26">IFERROR(INDEX(BrandList!$B$2:$B$200,MATCH(TRUE,ISNUMBER(SEARCH(BrandList!$B$2:$B$200,G26)),0)),"")</f>
        <v/>
      </c>
      <c r="J26" s="12"/>
      <c r="K26" s="12"/>
      <c r="L26" s="60"/>
      <c r="M26" s="60"/>
      <c r="N26" s="60"/>
      <c r="O26" s="60"/>
      <c r="P26" s="7" t="str">
        <f t="shared" si="1"/>
        <v/>
      </c>
      <c r="Q26" s="8">
        <f>IFERROR(VLOOKUP(VALUE(A26),WEEKLY_DATA!$A:$H,2,0),0)</f>
        <v>0</v>
      </c>
      <c r="R26" s="8">
        <f>IFERROR(VLOOKUP(VALUE(A26),WEEKLY_DATA!$A:$H,3,0),0)</f>
        <v>0</v>
      </c>
      <c r="S26" s="8">
        <f>IFERROR(VLOOKUP(VALUE(A26),WEEKLY_DATA!$A:$H,4,0),0)</f>
        <v>0</v>
      </c>
      <c r="T26" s="51">
        <f>IFERROR(VLOOKUP(VALUE(A26),WEEKLY_DATA!$A:$H,5,0),0)</f>
        <v>0</v>
      </c>
      <c r="U26" s="51">
        <f>IFERROR(VLOOKUP(VALUE(A26),WEEKLY_DATA!$A:$H,6,0),0)</f>
        <v>0</v>
      </c>
      <c r="V26" s="51">
        <f>IFERROR(VLOOKUP(VALUE(A26),WEEKLY_DATA!$A:$H,7,0),0)</f>
        <v>0</v>
      </c>
      <c r="W26" s="9" t="str">
        <f>IFERROR(IF(OR(Q26="",Q26=0),"",IF(VLOOKUP(VALUE($A26),WEEKLY_DATA!$A:$H,6,0)=0,"No Sales",Q26/(VLOOKUP(VALUE($A26),WEEKLY_DATA!$A:$H,6,0)/13))),"")</f>
        <v/>
      </c>
      <c r="X26" s="10">
        <f>IFERROR(VLOOKUP(VALUE(A26),WEEKLY_DATA!$A:$H,8,0),0)</f>
        <v>0</v>
      </c>
      <c r="Y26" s="13" t="str">
        <f t="shared" si="0"/>
        <v>—</v>
      </c>
      <c r="Z26" s="11"/>
      <c r="AA26" s="11"/>
      <c r="AB26" s="11"/>
      <c r="AC26" s="11"/>
      <c r="AD26" s="11"/>
      <c r="AE26" s="11"/>
      <c r="AF26" s="61"/>
      <c r="AG26" s="61"/>
      <c r="AH26" s="62"/>
      <c r="AI26" s="62"/>
      <c r="AJ26" s="61"/>
      <c r="AK26" s="61"/>
      <c r="AL26" s="61"/>
      <c r="AM26" s="58" t="str" cm="2">
        <f t="array" ref="AM26">IFERROR(LOOKUP(2, 1/SEARCH({"Black","White","Grey","Blue","Silver","Brown","Green","Blue","Purple","Red","Pink","Yellow","Gold"}, G26), {"Black","White","Grey","Blue","Silver","Brown","Green","Blue","Purple","Red","Pink","Yellow","Gold"}), "")</f>
        <v/>
      </c>
      <c r="AN26" s="58" t="str">
        <f>IFERROR(LOOKUP(2, 1/SEARCH({"8GB","16GB","32GB","64GB"}, G26), {"8GB","16GB","32GB","64GB"}), "")</f>
        <v/>
      </c>
      <c r="AO26" s="58" t="str">
        <f>IFERROR(LOOKUP(2, 1/SEARCH({"1TB","2TB","128GB","512GB","256GB"}, G26), {"1TB","2TB","128GB","512GB","256GB"}), "")</f>
        <v/>
      </c>
      <c r="AP26" s="58"/>
      <c r="AQ26" s="58"/>
      <c r="AR26" s="58"/>
      <c r="AS26" s="91"/>
      <c r="AT26" s="93"/>
      <c r="AU26" s="93"/>
      <c r="AV26" s="93"/>
      <c r="AW26" s="93"/>
    </row>
    <row r="27" spans="1:49" ht="15" customHeight="1" x14ac:dyDescent="0.25">
      <c r="A27" s="59"/>
      <c r="B27" s="12"/>
      <c r="C27" s="12"/>
      <c r="D27" s="60"/>
      <c r="E27" s="6"/>
      <c r="F27" s="6"/>
      <c r="G27" s="12"/>
      <c r="H27" s="12" t="str" cm="2">
        <f t="array" ref="H27">IFERROR(INDEX(BrandList!$A$2:$A$50,MATCH(TRUE,ISNUMBER(SEARCH(BrandList!$A$2:$A$50,G27)),0)),"")</f>
        <v/>
      </c>
      <c r="I27" s="12" t="str" cm="2">
        <f t="array" ref="I27">IFERROR(INDEX(BrandList!$B$2:$B$200,MATCH(TRUE,ISNUMBER(SEARCH(BrandList!$B$2:$B$200,G27)),0)),"")</f>
        <v/>
      </c>
      <c r="J27" s="12"/>
      <c r="K27" s="12"/>
      <c r="L27" s="60"/>
      <c r="M27" s="60"/>
      <c r="N27" s="60"/>
      <c r="O27" s="60"/>
      <c r="P27" s="7" t="str">
        <f t="shared" si="1"/>
        <v/>
      </c>
      <c r="Q27" s="8">
        <f>IFERROR(VLOOKUP(VALUE(A27),WEEKLY_DATA!$A:$H,2,0),0)</f>
        <v>0</v>
      </c>
      <c r="R27" s="8">
        <f>IFERROR(VLOOKUP(VALUE(A27),WEEKLY_DATA!$A:$H,3,0),0)</f>
        <v>0</v>
      </c>
      <c r="S27" s="8">
        <f>IFERROR(VLOOKUP(VALUE(A27),WEEKLY_DATA!$A:$H,4,0),0)</f>
        <v>0</v>
      </c>
      <c r="T27" s="51">
        <f>IFERROR(VLOOKUP(VALUE(A27),WEEKLY_DATA!$A:$H,5,0),0)</f>
        <v>0</v>
      </c>
      <c r="U27" s="51">
        <f>IFERROR(VLOOKUP(VALUE(A27),WEEKLY_DATA!$A:$H,6,0),0)</f>
        <v>0</v>
      </c>
      <c r="V27" s="51">
        <f>IFERROR(VLOOKUP(VALUE(A27),WEEKLY_DATA!$A:$H,7,0),0)</f>
        <v>0</v>
      </c>
      <c r="W27" s="9" t="str">
        <f>IFERROR(IF(OR(Q27="",Q27=0),"",IF(VLOOKUP(VALUE($A27),WEEKLY_DATA!$A:$H,6,0)=0,"No Sales",Q27/(VLOOKUP(VALUE($A27),WEEKLY_DATA!$A:$H,6,0)/13))),"")</f>
        <v/>
      </c>
      <c r="X27" s="10">
        <f>IFERROR(VLOOKUP(VALUE(A27),WEEKLY_DATA!$A:$H,8,0),0)</f>
        <v>0</v>
      </c>
      <c r="Y27" s="13" t="str">
        <f t="shared" si="0"/>
        <v>—</v>
      </c>
      <c r="Z27" s="11"/>
      <c r="AA27" s="11"/>
      <c r="AB27" s="11" t="str">
        <f>IFERROR(IF(A27="","",VLOOKUP(G27,Settings!$A:$D,4,0)),"")</f>
        <v/>
      </c>
      <c r="AC27" s="11"/>
      <c r="AD27" s="11"/>
      <c r="AE27" s="11"/>
      <c r="AF27" s="61" t="s">
        <v>144</v>
      </c>
      <c r="AG27" s="61"/>
      <c r="AH27" s="62"/>
      <c r="AI27" s="62"/>
      <c r="AJ27" s="61" t="s">
        <v>144</v>
      </c>
      <c r="AK27" s="61" t="s">
        <v>144</v>
      </c>
      <c r="AL27" s="61"/>
      <c r="AM27" s="58" t="str" cm="2">
        <f t="array" ref="AM27">IFERROR(LOOKUP(2, 1/SEARCH({"Black","White","Grey","Blue","Silver","Brown","Green","Blue","Purple","Red","Pink","Yellow","Gold"}, G27), {"Black","White","Grey","Blue","Silver","Brown","Green","Blue","Purple","Red","Pink","Yellow","Gold"}), "")</f>
        <v/>
      </c>
      <c r="AN27" s="58" t="str">
        <f>IFERROR(LOOKUP(2, 1/SEARCH({"8GB","16GB","32GB","64GB"}, G27), {"8GB","16GB","32GB","64GB"}), "")</f>
        <v/>
      </c>
      <c r="AO27" s="58" t="str">
        <f>IFERROR(LOOKUP(2, 1/SEARCH({"1TB","2TB","128GB","512GB","256GB"}, G27), {"1TB","2TB","128GB","512GB","256GB"}), "")</f>
        <v/>
      </c>
      <c r="AP27" s="58"/>
      <c r="AQ27" s="58" t="str">
        <f>IFERROR(LOOKUP(2, 1/SEARCH({"16-Inch","15-Inch","15.6-Inch","18-Inch","15.3-Inch","13-Inch","13.4-Inch","13.8-Inch","14-Inch","17-Inch","45-Inch","27-Inch","34-Inch","32-Inch","21.5-Inch"}, G27), {"16-Inch","15-Inch","15.6-Inch","18-Inch","15.3-Inch","13-Inch","13.4-Inch","13.8-Inch","14-Inch","17-Inch","45-Inch","27-Inch","34-Inch","32-Inch","21.5-Inch"}), "")</f>
        <v/>
      </c>
      <c r="AR27" s="58"/>
      <c r="AS27" s="91"/>
      <c r="AT27" s="93"/>
      <c r="AU27" s="93"/>
      <c r="AV27" s="93"/>
      <c r="AW27" s="93"/>
    </row>
    <row r="28" spans="1:49" ht="15" customHeight="1" x14ac:dyDescent="0.25">
      <c r="A28" s="59"/>
      <c r="B28" s="12"/>
      <c r="C28" s="12"/>
      <c r="D28" s="60"/>
      <c r="E28" s="6"/>
      <c r="F28" s="6"/>
      <c r="G28" s="12"/>
      <c r="H28" s="12" t="str" cm="2">
        <f t="array" ref="H28">IFERROR(INDEX(BrandList!$A$2:$A$50,MATCH(TRUE,ISNUMBER(SEARCH(BrandList!$A$2:$A$50,G28)),0)),"")</f>
        <v/>
      </c>
      <c r="I28" s="12" t="str" cm="2">
        <f t="array" ref="I28">IFERROR(INDEX(BrandList!$B$2:$B$200,MATCH(TRUE,ISNUMBER(SEARCH(BrandList!$B$2:$B$200,G28)),0)),"")</f>
        <v/>
      </c>
      <c r="J28" s="12"/>
      <c r="K28" s="12"/>
      <c r="L28" s="60"/>
      <c r="M28" s="60"/>
      <c r="N28" s="60"/>
      <c r="O28" s="60"/>
      <c r="P28" s="7" t="str">
        <f t="shared" si="1"/>
        <v/>
      </c>
      <c r="Q28" s="8">
        <f>IFERROR(VLOOKUP(VALUE(A28),WEEKLY_DATA!$A:$H,2,0),0)</f>
        <v>0</v>
      </c>
      <c r="R28" s="8">
        <f>IFERROR(VLOOKUP(VALUE(A28),WEEKLY_DATA!$A:$H,3,0),0)</f>
        <v>0</v>
      </c>
      <c r="S28" s="8">
        <f>IFERROR(VLOOKUP(VALUE(A28),WEEKLY_DATA!$A:$H,4,0),0)</f>
        <v>0</v>
      </c>
      <c r="T28" s="51">
        <f>IFERROR(VLOOKUP(VALUE(A28),WEEKLY_DATA!$A:$H,5,0),0)</f>
        <v>0</v>
      </c>
      <c r="U28" s="51">
        <f>IFERROR(VLOOKUP(VALUE(A28),WEEKLY_DATA!$A:$H,6,0),0)</f>
        <v>0</v>
      </c>
      <c r="V28" s="51">
        <f>IFERROR(VLOOKUP(VALUE(A28),WEEKLY_DATA!$A:$H,7,0),0)</f>
        <v>0</v>
      </c>
      <c r="W28" s="9" t="str">
        <f>IFERROR(IF(OR(Q28="",Q28=0),"",IF(VLOOKUP(VALUE($A28),WEEKLY_DATA!$A:$H,6,0)=0,"No Sales",Q28/(VLOOKUP(VALUE($A28),WEEKLY_DATA!$A:$H,6,0)/13))),"")</f>
        <v/>
      </c>
      <c r="X28" s="10">
        <f>IFERROR(VLOOKUP(VALUE(A28),WEEKLY_DATA!$A:$H,8,0),0)</f>
        <v>0</v>
      </c>
      <c r="Y28" s="13" t="str">
        <f t="shared" si="0"/>
        <v>—</v>
      </c>
      <c r="Z28" s="11"/>
      <c r="AA28" s="11"/>
      <c r="AB28" s="11" t="str">
        <f>IFERROR(IF(A28="","",VLOOKUP(G28,Settings!$A:$D,4,0)),"")</f>
        <v/>
      </c>
      <c r="AC28" s="11"/>
      <c r="AD28" s="11"/>
      <c r="AE28" s="11"/>
      <c r="AF28" s="61" t="s">
        <v>144</v>
      </c>
      <c r="AG28" s="61"/>
      <c r="AH28" s="62"/>
      <c r="AI28" s="62"/>
      <c r="AJ28" s="61" t="s">
        <v>144</v>
      </c>
      <c r="AK28" s="61" t="s">
        <v>144</v>
      </c>
      <c r="AL28" s="61"/>
      <c r="AM28" s="58" t="str" cm="2">
        <f t="array" ref="AM28">IFERROR(LOOKUP(2, 1/SEARCH({"Black","White","Grey","Blue","Silver","Brown","Green","Blue","Purple","Red","Pink","Yellow","Gold"}, G28), {"Black","White","Grey","Blue","Silver","Brown","Green","Blue","Purple","Red","Pink","Yellow","Gold"}), "")</f>
        <v/>
      </c>
      <c r="AN28" s="58" t="str">
        <f>IFERROR(LOOKUP(2, 1/SEARCH({"8GB","16GB","32GB","64GB"}, G28), {"8GB","16GB","32GB","64GB"}), "")</f>
        <v/>
      </c>
      <c r="AO28" s="58" t="str">
        <f>IFERROR(LOOKUP(2, 1/SEARCH({"1TB","2TB","128GB","512GB","256GB"}, G28), {"1TB","2TB","128GB","512GB","256GB"}), "")</f>
        <v/>
      </c>
      <c r="AP28" s="58"/>
      <c r="AQ28" s="58" t="str">
        <f>IFERROR(LOOKUP(2, 1/SEARCH({"16-Inch","15-Inch","15.6-Inch","18-Inch","15.3-Inch","13-Inch","13.4-Inch","13.8-Inch","14-Inch","17-Inch","45-Inch","27-Inch","34-Inch","32-Inch","21.5-Inch"}, G28), {"16-Inch","15-Inch","15.6-Inch","18-Inch","15.3-Inch","13-Inch","13.4-Inch","13.8-Inch","14-Inch","17-Inch","45-Inch","27-Inch","34-Inch","32-Inch","21.5-Inch"}), "")</f>
        <v/>
      </c>
      <c r="AR28" s="58"/>
      <c r="AS28" s="91"/>
      <c r="AT28" s="93"/>
      <c r="AU28" s="93"/>
      <c r="AV28" s="93"/>
      <c r="AW28" s="93"/>
    </row>
    <row r="29" spans="1:49" ht="15" customHeight="1" x14ac:dyDescent="0.25">
      <c r="A29" s="59"/>
      <c r="B29" s="12"/>
      <c r="C29" s="12"/>
      <c r="D29" s="60"/>
      <c r="E29" s="6"/>
      <c r="F29" s="6"/>
      <c r="G29" s="12"/>
      <c r="H29" s="12" t="str" cm="2">
        <f t="array" ref="H29">IFERROR(INDEX(BrandList!$A$2:$A$50,MATCH(TRUE,ISNUMBER(SEARCH(BrandList!$A$2:$A$50,G29)),0)),"")</f>
        <v/>
      </c>
      <c r="I29" s="12" t="str" cm="2">
        <f t="array" ref="I29">IFERROR(INDEX(BrandList!$B$2:$B$200,MATCH(TRUE,ISNUMBER(SEARCH(BrandList!$B$2:$B$200,G29)),0)),"")</f>
        <v/>
      </c>
      <c r="J29" s="12"/>
      <c r="K29" s="12"/>
      <c r="L29" s="60"/>
      <c r="M29" s="60"/>
      <c r="N29" s="60"/>
      <c r="O29" s="60"/>
      <c r="P29" s="7" t="str">
        <f t="shared" si="1"/>
        <v/>
      </c>
      <c r="Q29" s="8">
        <f>IFERROR(VLOOKUP(VALUE(A29),WEEKLY_DATA!$A:$H,2,0),0)</f>
        <v>0</v>
      </c>
      <c r="R29" s="8">
        <f>IFERROR(VLOOKUP(VALUE(A29),WEEKLY_DATA!$A:$H,3,0),0)</f>
        <v>0</v>
      </c>
      <c r="S29" s="8">
        <f>IFERROR(VLOOKUP(VALUE(A29),WEEKLY_DATA!$A:$H,4,0),0)</f>
        <v>0</v>
      </c>
      <c r="T29" s="51">
        <f>IFERROR(VLOOKUP(VALUE(A29),WEEKLY_DATA!$A:$H,5,0),0)</f>
        <v>0</v>
      </c>
      <c r="U29" s="51">
        <f>IFERROR(VLOOKUP(VALUE(A29),WEEKLY_DATA!$A:$H,6,0),0)</f>
        <v>0</v>
      </c>
      <c r="V29" s="51">
        <f>IFERROR(VLOOKUP(VALUE(A29),WEEKLY_DATA!$A:$H,7,0),0)</f>
        <v>0</v>
      </c>
      <c r="W29" s="9" t="str">
        <f>IFERROR(IF(OR(Q29="",Q29=0),"",IF(VLOOKUP(VALUE($A29),WEEKLY_DATA!$A:$H,6,0)=0,"No Sales",Q29/(VLOOKUP(VALUE($A29),WEEKLY_DATA!$A:$H,6,0)/13))),"")</f>
        <v/>
      </c>
      <c r="X29" s="10">
        <f>IFERROR(VLOOKUP(VALUE(A29),WEEKLY_DATA!$A:$H,8,0),0)</f>
        <v>0</v>
      </c>
      <c r="Y29" s="13" t="str">
        <f t="shared" si="0"/>
        <v>—</v>
      </c>
      <c r="Z29" s="11"/>
      <c r="AA29" s="11"/>
      <c r="AB29" s="11" t="str">
        <f>IFERROR(IF(A29="","",VLOOKUP(G29,Settings!$A:$D,4,0)),"")</f>
        <v/>
      </c>
      <c r="AC29" s="11"/>
      <c r="AD29" s="11"/>
      <c r="AE29" s="11"/>
      <c r="AF29" s="61" t="s">
        <v>144</v>
      </c>
      <c r="AG29" s="61"/>
      <c r="AH29" s="62"/>
      <c r="AI29" s="62"/>
      <c r="AJ29" s="61" t="s">
        <v>144</v>
      </c>
      <c r="AK29" s="61" t="s">
        <v>144</v>
      </c>
      <c r="AL29" s="61"/>
      <c r="AM29" s="58" t="str" cm="2">
        <f t="array" ref="AM29">IFERROR(LOOKUP(2, 1/SEARCH({"Black","White","Grey","Blue","Silver","Brown","Green","Blue","Purple","Red","Pink","Yellow","Gold"}, G29), {"Black","White","Grey","Blue","Silver","Brown","Green","Blue","Purple","Red","Pink","Yellow","Gold"}), "")</f>
        <v/>
      </c>
      <c r="AN29" s="58" t="str">
        <f>IFERROR(LOOKUP(2, 1/SEARCH({"8GB","16GB","32GB","64GB"}, G29), {"8GB","16GB","32GB","64GB"}), "")</f>
        <v/>
      </c>
      <c r="AO29" s="58" t="str">
        <f>IFERROR(LOOKUP(2, 1/SEARCH({"1TB","2TB","128GB","512GB","256GB"}, G29), {"1TB","2TB","128GB","512GB","256GB"}), "")</f>
        <v/>
      </c>
      <c r="AP29" s="58"/>
      <c r="AQ29" s="58" t="str">
        <f>IFERROR(LOOKUP(2, 1/SEARCH({"16-Inch","15-Inch","15.6-Inch","18-Inch","15.3-Inch","13-Inch","13.4-Inch","13.8-Inch","14-Inch","17-Inch","45-Inch","27-Inch","34-Inch","32-Inch","21.5-Inch"}, G29), {"16-Inch","15-Inch","15.6-Inch","18-Inch","15.3-Inch","13-Inch","13.4-Inch","13.8-Inch","14-Inch","17-Inch","45-Inch","27-Inch","34-Inch","32-Inch","21.5-Inch"}), "")</f>
        <v/>
      </c>
      <c r="AR29" s="58"/>
      <c r="AS29" s="91"/>
      <c r="AT29" s="93"/>
      <c r="AU29" s="93"/>
      <c r="AV29" s="93"/>
      <c r="AW29" s="93"/>
    </row>
    <row r="30" spans="1:49" ht="15" customHeight="1" x14ac:dyDescent="0.25">
      <c r="A30" s="59"/>
      <c r="B30" s="12"/>
      <c r="C30" s="12"/>
      <c r="D30" s="60"/>
      <c r="E30" s="6"/>
      <c r="F30" s="6"/>
      <c r="G30" s="12"/>
      <c r="H30" s="12" t="str" cm="2">
        <f t="array" ref="H30">IFERROR(INDEX(BrandList!$A$2:$A$50,MATCH(TRUE,ISNUMBER(SEARCH(BrandList!$A$2:$A$50,G30)),0)),"")</f>
        <v/>
      </c>
      <c r="I30" s="12" t="str" cm="2">
        <f t="array" ref="I30">IFERROR(INDEX(BrandList!$B$2:$B$200,MATCH(TRUE,ISNUMBER(SEARCH(BrandList!$B$2:$B$200,G30)),0)),"")</f>
        <v/>
      </c>
      <c r="J30" s="12"/>
      <c r="K30" s="12"/>
      <c r="L30" s="60"/>
      <c r="M30" s="60"/>
      <c r="N30" s="60"/>
      <c r="O30" s="60"/>
      <c r="P30" s="7" t="str">
        <f t="shared" si="1"/>
        <v/>
      </c>
      <c r="Q30" s="8">
        <f>IFERROR(VLOOKUP(VALUE(A30),WEEKLY_DATA!$A:$H,2,0),0)</f>
        <v>0</v>
      </c>
      <c r="R30" s="8">
        <f>IFERROR(VLOOKUP(VALUE(A30),WEEKLY_DATA!$A:$H,3,0),0)</f>
        <v>0</v>
      </c>
      <c r="S30" s="8">
        <f>IFERROR(VLOOKUP(VALUE(A30),WEEKLY_DATA!$A:$H,4,0),0)</f>
        <v>0</v>
      </c>
      <c r="T30" s="51">
        <f>IFERROR(VLOOKUP(VALUE(A30),WEEKLY_DATA!$A:$H,5,0),0)</f>
        <v>0</v>
      </c>
      <c r="U30" s="51">
        <f>IFERROR(VLOOKUP(VALUE(A30),WEEKLY_DATA!$A:$H,6,0),0)</f>
        <v>0</v>
      </c>
      <c r="V30" s="51">
        <f>IFERROR(VLOOKUP(VALUE(A30),WEEKLY_DATA!$A:$H,7,0),0)</f>
        <v>0</v>
      </c>
      <c r="W30" s="9" t="str">
        <f>IFERROR(IF(OR(Q30="",Q30=0),"",IF(VLOOKUP(VALUE($A30),WEEKLY_DATA!$A:$H,6,0)=0,"No Sales",Q30/(VLOOKUP(VALUE($A30),WEEKLY_DATA!$A:$H,6,0)/13))),"")</f>
        <v/>
      </c>
      <c r="X30" s="10">
        <f>IFERROR(VLOOKUP(VALUE(A30),WEEKLY_DATA!$A:$H,8,0),0)</f>
        <v>0</v>
      </c>
      <c r="Y30" s="13" t="str">
        <f t="shared" si="0"/>
        <v>—</v>
      </c>
      <c r="Z30" s="11"/>
      <c r="AA30" s="11"/>
      <c r="AB30" s="11" t="str">
        <f>IFERROR(IF(A30="","",VLOOKUP(G30,Settings!$A:$D,4,0)),"")</f>
        <v/>
      </c>
      <c r="AC30" s="11"/>
      <c r="AD30" s="11"/>
      <c r="AE30" s="11"/>
      <c r="AF30" s="61" t="s">
        <v>144</v>
      </c>
      <c r="AG30" s="61"/>
      <c r="AH30" s="62"/>
      <c r="AI30" s="62"/>
      <c r="AJ30" s="61" t="s">
        <v>144</v>
      </c>
      <c r="AK30" s="61" t="s">
        <v>144</v>
      </c>
      <c r="AL30" s="61"/>
      <c r="AM30" s="58" t="str" cm="2">
        <f t="array" ref="AM30">IFERROR(LOOKUP(2, 1/SEARCH({"Black","White","Grey","Blue","Silver","Brown","Green","Blue","Purple","Red","Pink","Yellow","Gold"}, G30), {"Black","White","Grey","Blue","Silver","Brown","Green","Blue","Purple","Red","Pink","Yellow","Gold"}), "")</f>
        <v/>
      </c>
      <c r="AN30" s="58" t="str">
        <f>IFERROR(LOOKUP(2, 1/SEARCH({"8GB","16GB","32GB","64GB"}, G30), {"8GB","16GB","32GB","64GB"}), "")</f>
        <v/>
      </c>
      <c r="AO30" s="58" t="str">
        <f>IFERROR(LOOKUP(2, 1/SEARCH({"1TB","2TB","128GB","512GB","256GB"}, G30), {"1TB","2TB","128GB","512GB","256GB"}), "")</f>
        <v/>
      </c>
      <c r="AP30" s="58"/>
      <c r="AQ30" s="58" t="str">
        <f>IFERROR(LOOKUP(2, 1/SEARCH({"16-Inch","15-Inch","15.6-Inch","18-Inch","15.3-Inch","13-Inch","13.4-Inch","13.8-Inch","14-Inch","17-Inch","45-Inch","27-Inch","34-Inch","32-Inch","21.5-Inch"}, G30), {"16-Inch","15-Inch","15.6-Inch","18-Inch","15.3-Inch","13-Inch","13.4-Inch","13.8-Inch","14-Inch","17-Inch","45-Inch","27-Inch","34-Inch","32-Inch","21.5-Inch"}), "")</f>
        <v/>
      </c>
      <c r="AR30" s="58"/>
      <c r="AS30" s="91"/>
      <c r="AT30" s="93"/>
      <c r="AU30" s="93"/>
      <c r="AV30" s="93"/>
      <c r="AW30" s="93"/>
    </row>
    <row r="31" spans="1:49" ht="15" customHeight="1" x14ac:dyDescent="0.25">
      <c r="A31" s="59"/>
      <c r="B31" s="12"/>
      <c r="C31" s="12"/>
      <c r="D31" s="60"/>
      <c r="E31" s="6"/>
      <c r="F31" s="6"/>
      <c r="G31" s="12"/>
      <c r="H31" s="12" t="str" cm="2">
        <f t="array" ref="H31">IFERROR(INDEX(BrandList!$A$2:$A$50,MATCH(TRUE,ISNUMBER(SEARCH(BrandList!$A$2:$A$50,G31)),0)),"")</f>
        <v/>
      </c>
      <c r="I31" s="12" t="str" cm="2">
        <f t="array" ref="I31">IFERROR(INDEX(BrandList!$B$2:$B$200,MATCH(TRUE,ISNUMBER(SEARCH(BrandList!$B$2:$B$200,G31)),0)),"")</f>
        <v/>
      </c>
      <c r="J31" s="12"/>
      <c r="K31" s="12"/>
      <c r="L31" s="60"/>
      <c r="M31" s="60"/>
      <c r="N31" s="60"/>
      <c r="O31" s="60"/>
      <c r="P31" s="7" t="str">
        <f t="shared" si="1"/>
        <v/>
      </c>
      <c r="Q31" s="8">
        <f>IFERROR(VLOOKUP(VALUE(A31),WEEKLY_DATA!$A:$H,2,0),0)</f>
        <v>0</v>
      </c>
      <c r="R31" s="8">
        <f>IFERROR(VLOOKUP(VALUE(A31),WEEKLY_DATA!$A:$H,3,0),0)</f>
        <v>0</v>
      </c>
      <c r="S31" s="8">
        <f>IFERROR(VLOOKUP(VALUE(A31),WEEKLY_DATA!$A:$H,4,0),0)</f>
        <v>0</v>
      </c>
      <c r="T31" s="51">
        <f>IFERROR(VLOOKUP(VALUE(A31),WEEKLY_DATA!$A:$H,5,0),0)</f>
        <v>0</v>
      </c>
      <c r="U31" s="51">
        <f>IFERROR(VLOOKUP(VALUE(A31),WEEKLY_DATA!$A:$H,6,0),0)</f>
        <v>0</v>
      </c>
      <c r="V31" s="51">
        <f>IFERROR(VLOOKUP(VALUE(A31),WEEKLY_DATA!$A:$H,7,0),0)</f>
        <v>0</v>
      </c>
      <c r="W31" s="9" t="str">
        <f>IFERROR(IF(OR(Q31="",Q31=0),"",IF(VLOOKUP(VALUE($A31),WEEKLY_DATA!$A:$H,6,0)=0,"No Sales",Q31/(VLOOKUP(VALUE($A31),WEEKLY_DATA!$A:$H,6,0)/13))),"")</f>
        <v/>
      </c>
      <c r="X31" s="10">
        <f>IFERROR(VLOOKUP(VALUE(A31),WEEKLY_DATA!$A:$H,8,0),0)</f>
        <v>0</v>
      </c>
      <c r="Y31" s="13" t="str">
        <f t="shared" si="0"/>
        <v>—</v>
      </c>
      <c r="Z31" s="11"/>
      <c r="AA31" s="11"/>
      <c r="AB31" s="11" t="str">
        <f>IFERROR(IF(A31="","",VLOOKUP(G31,Settings!$A:$D,4,0)),"")</f>
        <v/>
      </c>
      <c r="AC31" s="11"/>
      <c r="AD31" s="11"/>
      <c r="AE31" s="11"/>
      <c r="AF31" s="61" t="s">
        <v>144</v>
      </c>
      <c r="AG31" s="61"/>
      <c r="AH31" s="62"/>
      <c r="AI31" s="62"/>
      <c r="AJ31" s="61" t="s">
        <v>144</v>
      </c>
      <c r="AK31" s="61" t="s">
        <v>144</v>
      </c>
      <c r="AL31" s="61"/>
      <c r="AM31" s="58" t="str" cm="2">
        <f t="array" ref="AM31">IFERROR(LOOKUP(2, 1/SEARCH({"Black","White","Grey","Blue","Silver","Brown","Green","Blue","Purple","Red","Pink","Yellow","Gold"}, G31), {"Black","White","Grey","Blue","Silver","Brown","Green","Blue","Purple","Red","Pink","Yellow","Gold"}), "")</f>
        <v/>
      </c>
      <c r="AN31" s="58" t="str">
        <f>IFERROR(LOOKUP(2, 1/SEARCH({"8GB","16GB","32GB","64GB"}, G31), {"8GB","16GB","32GB","64GB"}), "")</f>
        <v/>
      </c>
      <c r="AO31" s="58" t="str">
        <f>IFERROR(LOOKUP(2, 1/SEARCH({"1TB","2TB","128GB","512GB","256GB"}, G31), {"1TB","2TB","128GB","512GB","256GB"}), "")</f>
        <v/>
      </c>
      <c r="AP31" s="58"/>
      <c r="AQ31" s="58" t="str">
        <f>IFERROR(LOOKUP(2, 1/SEARCH({"16-Inch","15-Inch","15.6-Inch","18-Inch","15.3-Inch","13-Inch","13.4-Inch","13.8-Inch","14-Inch","17-Inch","45-Inch","27-Inch","34-Inch","32-Inch","21.5-Inch"}, G31), {"16-Inch","15-Inch","15.6-Inch","18-Inch","15.3-Inch","13-Inch","13.4-Inch","13.8-Inch","14-Inch","17-Inch","45-Inch","27-Inch","34-Inch","32-Inch","21.5-Inch"}), "")</f>
        <v/>
      </c>
      <c r="AR31" s="58"/>
      <c r="AS31" s="91"/>
      <c r="AT31" s="93"/>
      <c r="AU31" s="93"/>
      <c r="AV31" s="93"/>
      <c r="AW31" s="93"/>
    </row>
    <row r="32" spans="1:49" ht="15" customHeight="1" x14ac:dyDescent="0.25">
      <c r="A32" s="59"/>
      <c r="B32" s="12"/>
      <c r="C32" s="12"/>
      <c r="D32" s="60"/>
      <c r="E32" s="6"/>
      <c r="F32" s="6"/>
      <c r="G32" s="12"/>
      <c r="H32" s="12" t="str" cm="2">
        <f t="array" ref="H32">IFERROR(INDEX(BrandList!$A$2:$A$50,MATCH(TRUE,ISNUMBER(SEARCH(BrandList!$A$2:$A$50,G32)),0)),"")</f>
        <v/>
      </c>
      <c r="I32" s="12" t="str" cm="2">
        <f t="array" ref="I32">IFERROR(INDEX(BrandList!$B$2:$B$200,MATCH(TRUE,ISNUMBER(SEARCH(BrandList!$B$2:$B$200,G32)),0)),"")</f>
        <v/>
      </c>
      <c r="J32" s="12"/>
      <c r="K32" s="12"/>
      <c r="L32" s="60"/>
      <c r="M32" s="60"/>
      <c r="N32" s="60"/>
      <c r="O32" s="60"/>
      <c r="P32" s="7" t="str">
        <f t="shared" si="1"/>
        <v/>
      </c>
      <c r="Q32" s="8">
        <f>IFERROR(VLOOKUP(VALUE(A32),WEEKLY_DATA!$A:$H,2,0),0)</f>
        <v>0</v>
      </c>
      <c r="R32" s="8">
        <f>IFERROR(VLOOKUP(VALUE(A32),WEEKLY_DATA!$A:$H,3,0),0)</f>
        <v>0</v>
      </c>
      <c r="S32" s="8">
        <f>IFERROR(VLOOKUP(VALUE(A32),WEEKLY_DATA!$A:$H,4,0),0)</f>
        <v>0</v>
      </c>
      <c r="T32" s="51">
        <f>IFERROR(VLOOKUP(VALUE(A32),WEEKLY_DATA!$A:$H,5,0),0)</f>
        <v>0</v>
      </c>
      <c r="U32" s="51">
        <f>IFERROR(VLOOKUP(VALUE(A32),WEEKLY_DATA!$A:$H,6,0),0)</f>
        <v>0</v>
      </c>
      <c r="V32" s="51">
        <f>IFERROR(VLOOKUP(VALUE(A32),WEEKLY_DATA!$A:$H,7,0),0)</f>
        <v>0</v>
      </c>
      <c r="W32" s="9" t="str">
        <f>IFERROR(IF(OR(Q32="",Q32=0),"",IF(VLOOKUP(VALUE($A32),WEEKLY_DATA!$A:$H,6,0)=0,"No Sales",Q32/(VLOOKUP(VALUE($A32),WEEKLY_DATA!$A:$H,6,0)/13))),"")</f>
        <v/>
      </c>
      <c r="X32" s="10">
        <f>IFERROR(VLOOKUP(VALUE(A32),WEEKLY_DATA!$A:$H,8,0),0)</f>
        <v>0</v>
      </c>
      <c r="Y32" s="13" t="str">
        <f t="shared" si="0"/>
        <v>—</v>
      </c>
      <c r="Z32" s="11"/>
      <c r="AA32" s="11"/>
      <c r="AB32" s="11" t="str">
        <f>IFERROR(IF(A32="","",VLOOKUP(G32,Settings!$A:$D,4,0)),"")</f>
        <v/>
      </c>
      <c r="AC32" s="11"/>
      <c r="AD32" s="11"/>
      <c r="AE32" s="11"/>
      <c r="AF32" s="61" t="s">
        <v>144</v>
      </c>
      <c r="AG32" s="61"/>
      <c r="AH32" s="62"/>
      <c r="AI32" s="62"/>
      <c r="AJ32" s="61" t="s">
        <v>144</v>
      </c>
      <c r="AK32" s="61" t="s">
        <v>144</v>
      </c>
      <c r="AL32" s="61"/>
      <c r="AM32" s="58" t="str" cm="2">
        <f t="array" ref="AM32">IFERROR(LOOKUP(2, 1/SEARCH({"Black","White","Grey","Blue","Silver","Brown","Green","Blue","Purple","Red","Pink","Yellow","Gold"}, G32), {"Black","White","Grey","Blue","Silver","Brown","Green","Blue","Purple","Red","Pink","Yellow","Gold"}), "")</f>
        <v/>
      </c>
      <c r="AN32" s="58" t="str">
        <f>IFERROR(LOOKUP(2, 1/SEARCH({"8GB","16GB","32GB","64GB"}, G32), {"8GB","16GB","32GB","64GB"}), "")</f>
        <v/>
      </c>
      <c r="AO32" s="58" t="str">
        <f>IFERROR(LOOKUP(2, 1/SEARCH({"1TB","2TB","128GB","512GB","256GB"}, G32), {"1TB","2TB","128GB","512GB","256GB"}), "")</f>
        <v/>
      </c>
      <c r="AP32" s="58"/>
      <c r="AQ32" s="58" t="str">
        <f>IFERROR(LOOKUP(2, 1/SEARCH({"16-Inch","15-Inch","15.6-Inch","18-Inch","15.3-Inch","13-Inch","13.4-Inch","13.8-Inch","14-Inch","17-Inch","45-Inch","27-Inch","34-Inch","32-Inch","21.5-Inch"}, G32), {"16-Inch","15-Inch","15.6-Inch","18-Inch","15.3-Inch","13-Inch","13.4-Inch","13.8-Inch","14-Inch","17-Inch","45-Inch","27-Inch","34-Inch","32-Inch","21.5-Inch"}), "")</f>
        <v/>
      </c>
      <c r="AR32" s="58"/>
      <c r="AS32" s="91"/>
      <c r="AT32" s="93"/>
      <c r="AU32" s="93"/>
      <c r="AV32" s="93"/>
      <c r="AW32" s="93"/>
    </row>
    <row r="33" spans="1:49" ht="15" customHeight="1" x14ac:dyDescent="0.25">
      <c r="A33" s="59"/>
      <c r="B33" s="12"/>
      <c r="C33" s="12"/>
      <c r="D33" s="60"/>
      <c r="E33" s="6"/>
      <c r="F33" s="6"/>
      <c r="G33" s="12"/>
      <c r="H33" s="12" t="str" cm="2">
        <f t="array" ref="H33">IFERROR(INDEX(BrandList!$A$2:$A$50,MATCH(TRUE,ISNUMBER(SEARCH(BrandList!$A$2:$A$50,G33)),0)),"")</f>
        <v/>
      </c>
      <c r="I33" s="12" t="str" cm="2">
        <f t="array" ref="I33">IFERROR(INDEX(BrandList!$B$2:$B$200,MATCH(TRUE,ISNUMBER(SEARCH(BrandList!$B$2:$B$200,G33)),0)),"")</f>
        <v/>
      </c>
      <c r="J33" s="12"/>
      <c r="K33" s="12"/>
      <c r="L33" s="60"/>
      <c r="M33" s="60"/>
      <c r="N33" s="60"/>
      <c r="O33" s="60"/>
      <c r="P33" s="7" t="str">
        <f t="shared" si="1"/>
        <v/>
      </c>
      <c r="Q33" s="8">
        <f>IFERROR(VLOOKUP(VALUE(A33),WEEKLY_DATA!$A:$H,2,0),0)</f>
        <v>0</v>
      </c>
      <c r="R33" s="8">
        <f>IFERROR(VLOOKUP(VALUE(A33),WEEKLY_DATA!$A:$H,3,0),0)</f>
        <v>0</v>
      </c>
      <c r="S33" s="8">
        <f>IFERROR(VLOOKUP(VALUE(A33),WEEKLY_DATA!$A:$H,4,0),0)</f>
        <v>0</v>
      </c>
      <c r="T33" s="51">
        <f>IFERROR(VLOOKUP(VALUE(A33),WEEKLY_DATA!$A:$H,5,0),0)</f>
        <v>0</v>
      </c>
      <c r="U33" s="51">
        <f>IFERROR(VLOOKUP(VALUE(A33),WEEKLY_DATA!$A:$H,6,0),0)</f>
        <v>0</v>
      </c>
      <c r="V33" s="51">
        <f>IFERROR(VLOOKUP(VALUE(A33),WEEKLY_DATA!$A:$H,7,0),0)</f>
        <v>0</v>
      </c>
      <c r="W33" s="9" t="str">
        <f>IFERROR(IF(OR(Q33="",Q33=0),"",IF(VLOOKUP(VALUE($A33),WEEKLY_DATA!$A:$H,6,0)=0,"No Sales",Q33/(VLOOKUP(VALUE($A33),WEEKLY_DATA!$A:$H,6,0)/13))),"")</f>
        <v/>
      </c>
      <c r="X33" s="10">
        <f>IFERROR(VLOOKUP(VALUE(A33),WEEKLY_DATA!$A:$H,8,0),0)</f>
        <v>0</v>
      </c>
      <c r="Y33" s="13" t="str">
        <f t="shared" si="0"/>
        <v>—</v>
      </c>
      <c r="Z33" s="11"/>
      <c r="AA33" s="11"/>
      <c r="AB33" s="11" t="str">
        <f>IFERROR(IF(A33="","",VLOOKUP(G33,Settings!$A:$D,4,0)),"")</f>
        <v/>
      </c>
      <c r="AC33" s="11"/>
      <c r="AD33" s="11"/>
      <c r="AE33" s="11"/>
      <c r="AF33" s="61" t="s">
        <v>144</v>
      </c>
      <c r="AG33" s="61"/>
      <c r="AH33" s="62"/>
      <c r="AI33" s="62"/>
      <c r="AJ33" s="61" t="s">
        <v>144</v>
      </c>
      <c r="AK33" s="61" t="s">
        <v>144</v>
      </c>
      <c r="AL33" s="61"/>
      <c r="AM33" s="58" t="str" cm="2">
        <f t="array" ref="AM33">IFERROR(LOOKUP(2, 1/SEARCH({"Black","White","Grey","Blue","Silver","Brown","Green","Blue","Purple","Red","Pink","Yellow","Gold"}, G33), {"Black","White","Grey","Blue","Silver","Brown","Green","Blue","Purple","Red","Pink","Yellow","Gold"}), "")</f>
        <v/>
      </c>
      <c r="AN33" s="58" t="str">
        <f>IFERROR(LOOKUP(2, 1/SEARCH({"8GB","16GB","32GB","64GB"}, G33), {"8GB","16GB","32GB","64GB"}), "")</f>
        <v/>
      </c>
      <c r="AO33" s="58" t="str">
        <f>IFERROR(LOOKUP(2, 1/SEARCH({"1TB","2TB","128GB","512GB","256GB"}, G33), {"1TB","2TB","128GB","512GB","256GB"}), "")</f>
        <v/>
      </c>
      <c r="AP33" s="58"/>
      <c r="AQ33" s="58" t="str">
        <f>IFERROR(LOOKUP(2, 1/SEARCH({"16-Inch","15-Inch","15.6-Inch","18-Inch","15.3-Inch","13-Inch","13.4-Inch","13.8-Inch","14-Inch","17-Inch","45-Inch","27-Inch","34-Inch","32-Inch","21.5-Inch"}, G33), {"16-Inch","15-Inch","15.6-Inch","18-Inch","15.3-Inch","13-Inch","13.4-Inch","13.8-Inch","14-Inch","17-Inch","45-Inch","27-Inch","34-Inch","32-Inch","21.5-Inch"}), "")</f>
        <v/>
      </c>
      <c r="AR33" s="58"/>
      <c r="AS33" s="91"/>
      <c r="AT33" s="93"/>
      <c r="AU33" s="93"/>
      <c r="AV33" s="93"/>
      <c r="AW33" s="93"/>
    </row>
    <row r="34" spans="1:49" ht="15" customHeight="1" x14ac:dyDescent="0.25">
      <c r="A34" s="59"/>
      <c r="B34" s="12"/>
      <c r="C34" s="12"/>
      <c r="D34" s="60"/>
      <c r="E34" s="6"/>
      <c r="F34" s="6"/>
      <c r="G34" s="12"/>
      <c r="H34" s="12" t="str" cm="2">
        <f t="array" ref="H34">IFERROR(INDEX(BrandList!$A$2:$A$50,MATCH(TRUE,ISNUMBER(SEARCH(BrandList!$A$2:$A$50,G34)),0)),"")</f>
        <v/>
      </c>
      <c r="I34" s="12" t="str" cm="2">
        <f t="array" ref="I34">IFERROR(INDEX(BrandList!$B$2:$B$200,MATCH(TRUE,ISNUMBER(SEARCH(BrandList!$B$2:$B$200,G34)),0)),"")</f>
        <v/>
      </c>
      <c r="J34" s="12"/>
      <c r="K34" s="12"/>
      <c r="L34" s="60"/>
      <c r="M34" s="60"/>
      <c r="N34" s="60"/>
      <c r="O34" s="60"/>
      <c r="P34" s="7" t="str">
        <f t="shared" si="1"/>
        <v/>
      </c>
      <c r="Q34" s="8">
        <f>IFERROR(VLOOKUP(VALUE(A34),WEEKLY_DATA!$A:$H,2,0),0)</f>
        <v>0</v>
      </c>
      <c r="R34" s="8">
        <f>IFERROR(VLOOKUP(VALUE(A34),WEEKLY_DATA!$A:$H,3,0),0)</f>
        <v>0</v>
      </c>
      <c r="S34" s="8">
        <f>IFERROR(VLOOKUP(VALUE(A34),WEEKLY_DATA!$A:$H,4,0),0)</f>
        <v>0</v>
      </c>
      <c r="T34" s="51">
        <f>IFERROR(VLOOKUP(VALUE(A34),WEEKLY_DATA!$A:$H,5,0),0)</f>
        <v>0</v>
      </c>
      <c r="U34" s="51">
        <f>IFERROR(VLOOKUP(VALUE(A34),WEEKLY_DATA!$A:$H,6,0),0)</f>
        <v>0</v>
      </c>
      <c r="V34" s="51">
        <f>IFERROR(VLOOKUP(VALUE(A34),WEEKLY_DATA!$A:$H,7,0),0)</f>
        <v>0</v>
      </c>
      <c r="W34" s="9" t="str">
        <f>IFERROR(IF(OR(Q34="",Q34=0),"",IF(VLOOKUP(VALUE($A34),WEEKLY_DATA!$A:$H,6,0)=0,"No Sales",Q34/(VLOOKUP(VALUE($A34),WEEKLY_DATA!$A:$H,6,0)/13))),"")</f>
        <v/>
      </c>
      <c r="X34" s="10">
        <f>IFERROR(VLOOKUP(VALUE(A34),WEEKLY_DATA!$A:$H,8,0),0)</f>
        <v>0</v>
      </c>
      <c r="Y34" s="13" t="str">
        <f t="shared" si="0"/>
        <v>—</v>
      </c>
      <c r="Z34" s="11"/>
      <c r="AA34" s="11"/>
      <c r="AB34" s="11" t="str">
        <f>IFERROR(IF(A34="","",VLOOKUP(G34,Settings!$A:$D,4,0)),"")</f>
        <v/>
      </c>
      <c r="AC34" s="11"/>
      <c r="AD34" s="11"/>
      <c r="AE34" s="11"/>
      <c r="AF34" s="61" t="s">
        <v>144</v>
      </c>
      <c r="AG34" s="61"/>
      <c r="AH34" s="62"/>
      <c r="AI34" s="62"/>
      <c r="AJ34" s="61" t="s">
        <v>144</v>
      </c>
      <c r="AK34" s="61" t="s">
        <v>144</v>
      </c>
      <c r="AL34" s="61"/>
      <c r="AM34" s="58" t="str" cm="2">
        <f t="array" ref="AM34">IFERROR(LOOKUP(2, 1/SEARCH({"Black","White","Grey","Blue","Silver","Brown","Green","Blue","Purple","Red","Pink","Yellow","Gold"}, G34), {"Black","White","Grey","Blue","Silver","Brown","Green","Blue","Purple","Red","Pink","Yellow","Gold"}), "")</f>
        <v/>
      </c>
      <c r="AN34" s="58" t="str">
        <f>IFERROR(LOOKUP(2, 1/SEARCH({"8GB","16GB","32GB","64GB"}, G34), {"8GB","16GB","32GB","64GB"}), "")</f>
        <v/>
      </c>
      <c r="AO34" s="58" t="str">
        <f>IFERROR(LOOKUP(2, 1/SEARCH({"1TB","2TB","128GB","512GB","256GB"}, G34), {"1TB","2TB","128GB","512GB","256GB"}), "")</f>
        <v/>
      </c>
      <c r="AP34" s="58"/>
      <c r="AQ34" s="58" t="str">
        <f>IFERROR(LOOKUP(2, 1/SEARCH({"16-Inch","15-Inch","15.6-Inch","18-Inch","15.3-Inch","13-Inch","13.4-Inch","13.8-Inch","14-Inch","17-Inch","45-Inch","27-Inch","34-Inch","32-Inch","21.5-Inch"}, G34), {"16-Inch","15-Inch","15.6-Inch","18-Inch","15.3-Inch","13-Inch","13.4-Inch","13.8-Inch","14-Inch","17-Inch","45-Inch","27-Inch","34-Inch","32-Inch","21.5-Inch"}), "")</f>
        <v/>
      </c>
      <c r="AR34" s="58"/>
      <c r="AS34" s="91"/>
      <c r="AT34" s="93"/>
      <c r="AU34" s="93"/>
      <c r="AV34" s="93"/>
      <c r="AW34" s="93"/>
    </row>
    <row r="35" spans="1:49" ht="15" customHeight="1" x14ac:dyDescent="0.25">
      <c r="A35" s="59"/>
      <c r="B35" s="12"/>
      <c r="C35" s="12"/>
      <c r="D35" s="60"/>
      <c r="E35" s="6"/>
      <c r="F35" s="6"/>
      <c r="G35" s="12"/>
      <c r="H35" s="12" t="str" cm="2">
        <f t="array" ref="H35">IFERROR(INDEX(BrandList!$A$2:$A$50,MATCH(TRUE,ISNUMBER(SEARCH(BrandList!$A$2:$A$50,G35)),0)),"")</f>
        <v/>
      </c>
      <c r="I35" s="12" t="str" cm="2">
        <f t="array" ref="I35">IFERROR(INDEX(BrandList!$B$2:$B$200,MATCH(TRUE,ISNUMBER(SEARCH(BrandList!$B$2:$B$200,G35)),0)),"")</f>
        <v/>
      </c>
      <c r="J35" s="12"/>
      <c r="K35" s="12"/>
      <c r="L35" s="60"/>
      <c r="M35" s="60"/>
      <c r="N35" s="60"/>
      <c r="O35" s="60"/>
      <c r="P35" s="7" t="str">
        <f t="shared" si="1"/>
        <v/>
      </c>
      <c r="Q35" s="8">
        <f>IFERROR(VLOOKUP(VALUE(A35),WEEKLY_DATA!$A:$H,2,0),0)</f>
        <v>0</v>
      </c>
      <c r="R35" s="8">
        <f>IFERROR(VLOOKUP(VALUE(A35),WEEKLY_DATA!$A:$H,3,0),0)</f>
        <v>0</v>
      </c>
      <c r="S35" s="8">
        <f>IFERROR(VLOOKUP(VALUE(A35),WEEKLY_DATA!$A:$H,4,0),0)</f>
        <v>0</v>
      </c>
      <c r="T35" s="51">
        <f>IFERROR(VLOOKUP(VALUE(A35),WEEKLY_DATA!$A:$H,5,0),0)</f>
        <v>0</v>
      </c>
      <c r="U35" s="51">
        <f>IFERROR(VLOOKUP(VALUE(A35),WEEKLY_DATA!$A:$H,6,0),0)</f>
        <v>0</v>
      </c>
      <c r="V35" s="51">
        <f>IFERROR(VLOOKUP(VALUE(A35),WEEKLY_DATA!$A:$H,7,0),0)</f>
        <v>0</v>
      </c>
      <c r="W35" s="9" t="str">
        <f>IFERROR(IF(OR(Q35="",Q35=0),"",IF(VLOOKUP(VALUE($A35),WEEKLY_DATA!$A:$H,6,0)=0,"No Sales",Q35/(VLOOKUP(VALUE($A35),WEEKLY_DATA!$A:$H,6,0)/13))),"")</f>
        <v/>
      </c>
      <c r="X35" s="10">
        <f>IFERROR(VLOOKUP(VALUE(A35),WEEKLY_DATA!$A:$H,8,0),0)</f>
        <v>0</v>
      </c>
      <c r="Y35" s="13" t="str">
        <f t="shared" si="0"/>
        <v>—</v>
      </c>
      <c r="Z35" s="11"/>
      <c r="AA35" s="11"/>
      <c r="AB35" s="11" t="str">
        <f>IFERROR(IF(A35="","",VLOOKUP(G35,Settings!$A:$D,4,0)),"")</f>
        <v/>
      </c>
      <c r="AC35" s="11"/>
      <c r="AD35" s="11"/>
      <c r="AE35" s="11"/>
      <c r="AF35" s="61" t="s">
        <v>144</v>
      </c>
      <c r="AG35" s="61"/>
      <c r="AH35" s="62"/>
      <c r="AI35" s="62"/>
      <c r="AJ35" s="61" t="s">
        <v>144</v>
      </c>
      <c r="AK35" s="61" t="s">
        <v>144</v>
      </c>
      <c r="AL35" s="61"/>
      <c r="AM35" s="58" t="str" cm="2">
        <f t="array" ref="AM35">IFERROR(LOOKUP(2, 1/SEARCH({"Black","White","Grey","Blue","Silver","Brown","Green","Blue","Purple","Red","Pink","Yellow","Gold"}, G35), {"Black","White","Grey","Blue","Silver","Brown","Green","Blue","Purple","Red","Pink","Yellow","Gold"}), "")</f>
        <v/>
      </c>
      <c r="AN35" s="58" t="str">
        <f>IFERROR(LOOKUP(2, 1/SEARCH({"8GB","16GB","32GB","64GB"}, G35), {"8GB","16GB","32GB","64GB"}), "")</f>
        <v/>
      </c>
      <c r="AO35" s="58" t="str">
        <f>IFERROR(LOOKUP(2, 1/SEARCH({"1TB","2TB","128GB","512GB","256GB"}, G35), {"1TB","2TB","128GB","512GB","256GB"}), "")</f>
        <v/>
      </c>
      <c r="AP35" s="58"/>
      <c r="AQ35" s="58" t="str">
        <f>IFERROR(LOOKUP(2, 1/SEARCH({"16-Inch","15-Inch","15.6-Inch","18-Inch","15.3-Inch","13-Inch","13.4-Inch","13.8-Inch","14-Inch","17-Inch","45-Inch","27-Inch","34-Inch","32-Inch","21.5-Inch"}, G35), {"16-Inch","15-Inch","15.6-Inch","18-Inch","15.3-Inch","13-Inch","13.4-Inch","13.8-Inch","14-Inch","17-Inch","45-Inch","27-Inch","34-Inch","32-Inch","21.5-Inch"}), "")</f>
        <v/>
      </c>
      <c r="AR35" s="58"/>
      <c r="AS35" s="91"/>
      <c r="AT35" s="93"/>
      <c r="AU35" s="93"/>
      <c r="AV35" s="93"/>
      <c r="AW35" s="93"/>
    </row>
    <row r="36" spans="1:49" ht="15" customHeight="1" x14ac:dyDescent="0.25">
      <c r="A36" s="59"/>
      <c r="B36" s="12"/>
      <c r="C36" s="12"/>
      <c r="D36" s="60"/>
      <c r="E36" s="6"/>
      <c r="F36" s="6"/>
      <c r="G36" s="12"/>
      <c r="H36" s="12" t="str" cm="2">
        <f t="array" ref="H36">IFERROR(INDEX(BrandList!$A$2:$A$50,MATCH(TRUE,ISNUMBER(SEARCH(BrandList!$A$2:$A$50,G36)),0)),"")</f>
        <v/>
      </c>
      <c r="I36" s="12" t="str" cm="2">
        <f t="array" ref="I36">IFERROR(INDEX(BrandList!$B$2:$B$200,MATCH(TRUE,ISNUMBER(SEARCH(BrandList!$B$2:$B$200,G36)),0)),"")</f>
        <v/>
      </c>
      <c r="J36" s="12"/>
      <c r="K36" s="12"/>
      <c r="L36" s="60"/>
      <c r="M36" s="60"/>
      <c r="N36" s="60"/>
      <c r="O36" s="60"/>
      <c r="P36" s="7" t="str">
        <f t="shared" si="1"/>
        <v/>
      </c>
      <c r="Q36" s="8">
        <f>IFERROR(VLOOKUP(VALUE(A36),WEEKLY_DATA!$A:$H,2,0),0)</f>
        <v>0</v>
      </c>
      <c r="R36" s="8">
        <f>IFERROR(VLOOKUP(VALUE(A36),WEEKLY_DATA!$A:$H,3,0),0)</f>
        <v>0</v>
      </c>
      <c r="S36" s="8">
        <f>IFERROR(VLOOKUP(VALUE(A36),WEEKLY_DATA!$A:$H,4,0),0)</f>
        <v>0</v>
      </c>
      <c r="T36" s="51">
        <f>IFERROR(VLOOKUP(VALUE(A36),WEEKLY_DATA!$A:$H,5,0),0)</f>
        <v>0</v>
      </c>
      <c r="U36" s="51">
        <f>IFERROR(VLOOKUP(VALUE(A36),WEEKLY_DATA!$A:$H,6,0),0)</f>
        <v>0</v>
      </c>
      <c r="V36" s="51">
        <f>IFERROR(VLOOKUP(VALUE(A36),WEEKLY_DATA!$A:$H,7,0),0)</f>
        <v>0</v>
      </c>
      <c r="W36" s="9" t="str">
        <f>IFERROR(IF(OR(Q36="",Q36=0),"",IF(VLOOKUP(VALUE($A36),WEEKLY_DATA!$A:$H,6,0)=0,"No Sales",Q36/(VLOOKUP(VALUE($A36),WEEKLY_DATA!$A:$H,6,0)/13))),"")</f>
        <v/>
      </c>
      <c r="X36" s="10">
        <f>IFERROR(VLOOKUP(VALUE(A36),WEEKLY_DATA!$A:$H,8,0),0)</f>
        <v>0</v>
      </c>
      <c r="Y36" s="13" t="str">
        <f t="shared" si="0"/>
        <v>—</v>
      </c>
      <c r="Z36" s="11"/>
      <c r="AA36" s="11"/>
      <c r="AB36" s="11" t="str">
        <f>IFERROR(IF(A36="","",VLOOKUP(G36,Settings!$A:$D,4,0)),"")</f>
        <v/>
      </c>
      <c r="AC36" s="11"/>
      <c r="AD36" s="11"/>
      <c r="AE36" s="11"/>
      <c r="AF36" s="61" t="s">
        <v>144</v>
      </c>
      <c r="AG36" s="61"/>
      <c r="AH36" s="62"/>
      <c r="AI36" s="62"/>
      <c r="AJ36" s="61" t="s">
        <v>144</v>
      </c>
      <c r="AK36" s="61" t="s">
        <v>144</v>
      </c>
      <c r="AL36" s="61"/>
      <c r="AM36" s="58" t="str" cm="2">
        <f t="array" ref="AM36">IFERROR(LOOKUP(2, 1/SEARCH({"Black","White","Grey","Blue","Silver","Brown","Green","Blue","Purple","Red","Pink","Yellow","Gold"}, G36), {"Black","White","Grey","Blue","Silver","Brown","Green","Blue","Purple","Red","Pink","Yellow","Gold"}), "")</f>
        <v/>
      </c>
      <c r="AN36" s="58" t="str">
        <f>IFERROR(LOOKUP(2, 1/SEARCH({"8GB","16GB","32GB","64GB"}, G36), {"8GB","16GB","32GB","64GB"}), "")</f>
        <v/>
      </c>
      <c r="AO36" s="58" t="str">
        <f>IFERROR(LOOKUP(2, 1/SEARCH({"1TB","2TB","128GB","512GB","256GB"}, G36), {"1TB","2TB","128GB","512GB","256GB"}), "")</f>
        <v/>
      </c>
      <c r="AP36" s="58"/>
      <c r="AQ36" s="58" t="str">
        <f>IFERROR(LOOKUP(2, 1/SEARCH({"16-Inch","15-Inch","15.6-Inch","18-Inch","15.3-Inch","13-Inch","13.4-Inch","13.8-Inch","14-Inch","17-Inch","45-Inch","27-Inch","34-Inch","32-Inch","21.5-Inch"}, G36), {"16-Inch","15-Inch","15.6-Inch","18-Inch","15.3-Inch","13-Inch","13.4-Inch","13.8-Inch","14-Inch","17-Inch","45-Inch","27-Inch","34-Inch","32-Inch","21.5-Inch"}), "")</f>
        <v/>
      </c>
      <c r="AR36" s="58"/>
      <c r="AS36" s="91"/>
      <c r="AT36" s="93"/>
      <c r="AU36" s="93"/>
      <c r="AV36" s="93"/>
      <c r="AW36" s="93"/>
    </row>
    <row r="37" spans="1:49" ht="15" customHeight="1" x14ac:dyDescent="0.25">
      <c r="A37" s="59"/>
      <c r="B37" s="12"/>
      <c r="C37" s="12"/>
      <c r="D37" s="60"/>
      <c r="E37" s="6"/>
      <c r="F37" s="6"/>
      <c r="G37" s="12"/>
      <c r="H37" s="12" t="str" cm="2">
        <f t="array" ref="H37">IFERROR(INDEX(BrandList!$A$2:$A$50,MATCH(TRUE,ISNUMBER(SEARCH(BrandList!$A$2:$A$50,G37)),0)),"")</f>
        <v/>
      </c>
      <c r="I37" s="12" t="str" cm="2">
        <f t="array" ref="I37">IFERROR(INDEX(BrandList!$B$2:$B$200,MATCH(TRUE,ISNUMBER(SEARCH(BrandList!$B$2:$B$200,G37)),0)),"")</f>
        <v/>
      </c>
      <c r="J37" s="12"/>
      <c r="K37" s="59"/>
      <c r="L37" s="86"/>
      <c r="M37" s="86"/>
      <c r="N37" s="86"/>
      <c r="O37" s="86"/>
      <c r="P37" s="7" t="str">
        <f t="shared" si="1"/>
        <v/>
      </c>
      <c r="Q37" s="8">
        <f>IFERROR(VLOOKUP(VALUE(A37),WEEKLY_DATA!$A:$H,2,0),0)</f>
        <v>0</v>
      </c>
      <c r="R37" s="8">
        <f>IFERROR(VLOOKUP(VALUE(A37),WEEKLY_DATA!$A:$H,3,0),0)</f>
        <v>0</v>
      </c>
      <c r="S37" s="8">
        <f>IFERROR(VLOOKUP(VALUE(A37),WEEKLY_DATA!$A:$H,4,0),0)</f>
        <v>0</v>
      </c>
      <c r="T37" s="51">
        <f>IFERROR(VLOOKUP(VALUE(A37),WEEKLY_DATA!$A:$H,5,0),0)</f>
        <v>0</v>
      </c>
      <c r="U37" s="51">
        <f>IFERROR(VLOOKUP(VALUE(A37),WEEKLY_DATA!$A:$H,6,0),0)</f>
        <v>0</v>
      </c>
      <c r="V37" s="51">
        <f>IFERROR(VLOOKUP(VALUE(A37),WEEKLY_DATA!$A:$H,7,0),0)</f>
        <v>0</v>
      </c>
      <c r="W37" s="9" t="str">
        <f>IFERROR(IF(OR(Q37="",Q37=0),"",IF(VLOOKUP(VALUE($A37),WEEKLY_DATA!$A:$H,6,0)=0,"No Sales",Q37/(VLOOKUP(VALUE($A37),WEEKLY_DATA!$A:$H,6,0)/13))),"")</f>
        <v/>
      </c>
      <c r="X37" s="10">
        <f>IFERROR(VLOOKUP(VALUE(A37),WEEKLY_DATA!$A:$H,8,0),0)</f>
        <v>0</v>
      </c>
      <c r="Y37" s="13" t="str">
        <f t="shared" si="0"/>
        <v>—</v>
      </c>
      <c r="Z37" s="11"/>
      <c r="AA37" s="11"/>
      <c r="AB37" s="11" t="str">
        <f>IFERROR(IF(A37="","",VLOOKUP(G37,Settings!$A:$D,4,0)),"")</f>
        <v/>
      </c>
      <c r="AC37" s="11"/>
      <c r="AD37" s="11"/>
      <c r="AE37" s="11"/>
      <c r="AF37" s="61" t="s">
        <v>144</v>
      </c>
      <c r="AG37" s="61"/>
      <c r="AH37" s="62"/>
      <c r="AI37" s="62"/>
      <c r="AJ37" s="61" t="s">
        <v>144</v>
      </c>
      <c r="AK37" s="61" t="s">
        <v>144</v>
      </c>
      <c r="AL37" s="61"/>
      <c r="AM37" s="58" t="str" cm="2">
        <f t="array" ref="AM37">IFERROR(LOOKUP(2, 1/SEARCH({"Black","White","Grey","Blue","Silver","Brown","Green","Blue","Purple","Red","Pink","Yellow","Gold"}, G37), {"Black","White","Grey","Blue","Silver","Brown","Green","Blue","Purple","Red","Pink","Yellow","Gold"}), "")</f>
        <v/>
      </c>
      <c r="AN37" s="58" t="str">
        <f>IFERROR(LOOKUP(2, 1/SEARCH({"8GB","16GB","32GB","64GB"}, G37), {"8GB","16GB","32GB","64GB"}), "")</f>
        <v/>
      </c>
      <c r="AO37" s="58" t="str">
        <f>IFERROR(LOOKUP(2, 1/SEARCH({"1TB","2TB","128GB","512GB","256GB"}, G37), {"1TB","2TB","128GB","512GB","256GB"}), "")</f>
        <v/>
      </c>
      <c r="AP37" s="58"/>
      <c r="AQ37" s="58" t="str">
        <f>IFERROR(LOOKUP(2, 1/SEARCH({"16-Inch","15-Inch","15.6-Inch","18-Inch","15.3-Inch","13-Inch","13.4-Inch","13.8-Inch","14-Inch","17-Inch","45-Inch","27-Inch","34-Inch","32-Inch","21.5-Inch"}, G37), {"16-Inch","15-Inch","15.6-Inch","18-Inch","15.3-Inch","13-Inch","13.4-Inch","13.8-Inch","14-Inch","17-Inch","45-Inch","27-Inch","34-Inch","32-Inch","21.5-Inch"}), "")</f>
        <v/>
      </c>
      <c r="AR37" s="58"/>
      <c r="AS37" s="91"/>
      <c r="AT37" s="93"/>
      <c r="AU37" s="93"/>
      <c r="AV37" s="93"/>
      <c r="AW37" s="93"/>
    </row>
    <row r="38" spans="1:49" ht="15" customHeight="1" x14ac:dyDescent="0.25">
      <c r="A38" s="59"/>
      <c r="B38" s="12"/>
      <c r="C38" s="12"/>
      <c r="D38" s="60"/>
      <c r="E38" s="6"/>
      <c r="F38" s="6"/>
      <c r="G38" s="12"/>
      <c r="H38" s="12" t="str" cm="2">
        <f t="array" ref="H38">IFERROR(INDEX(BrandList!$A$2:$A$50,MATCH(TRUE,ISNUMBER(SEARCH(BrandList!$A$2:$A$50,G38)),0)),"")</f>
        <v/>
      </c>
      <c r="I38" s="12" t="str" cm="2">
        <f t="array" ref="I38">IFERROR(INDEX(BrandList!$B$2:$B$200,MATCH(TRUE,ISNUMBER(SEARCH(BrandList!$B$2:$B$200,G38)),0)),"")</f>
        <v/>
      </c>
      <c r="J38" s="12"/>
      <c r="K38" s="12"/>
      <c r="L38" s="60"/>
      <c r="M38" s="60"/>
      <c r="N38" s="60"/>
      <c r="O38" s="60"/>
      <c r="P38" s="7" t="str">
        <f t="shared" si="1"/>
        <v/>
      </c>
      <c r="Q38" s="8">
        <f>IFERROR(VLOOKUP(VALUE(A38),WEEKLY_DATA!$A:$H,2,0),0)</f>
        <v>0</v>
      </c>
      <c r="R38" s="8">
        <f>IFERROR(VLOOKUP(VALUE(A38),WEEKLY_DATA!$A:$H,3,0),0)</f>
        <v>0</v>
      </c>
      <c r="S38" s="8">
        <f>IFERROR(VLOOKUP(VALUE(A38),WEEKLY_DATA!$A:$H,4,0),0)</f>
        <v>0</v>
      </c>
      <c r="T38" s="51">
        <f>IFERROR(VLOOKUP(VALUE(A38),WEEKLY_DATA!$A:$H,5,0),0)</f>
        <v>0</v>
      </c>
      <c r="U38" s="51">
        <f>IFERROR(VLOOKUP(VALUE(A38),WEEKLY_DATA!$A:$H,6,0),0)</f>
        <v>0</v>
      </c>
      <c r="V38" s="51">
        <f>IFERROR(VLOOKUP(VALUE(A38),WEEKLY_DATA!$A:$H,7,0),0)</f>
        <v>0</v>
      </c>
      <c r="W38" s="9" t="str">
        <f>IFERROR(IF(OR(Q38="",Q38=0),"",IF(VLOOKUP(VALUE($A38),WEEKLY_DATA!$A:$H,6,0)=0,"No Sales",Q38/(VLOOKUP(VALUE($A38),WEEKLY_DATA!$A:$H,6,0)/13))),"")</f>
        <v/>
      </c>
      <c r="X38" s="10">
        <f>IFERROR(VLOOKUP(VALUE(A38),WEEKLY_DATA!$A:$H,8,0),0)</f>
        <v>0</v>
      </c>
      <c r="Y38" s="13" t="str">
        <f t="shared" si="0"/>
        <v>—</v>
      </c>
      <c r="Z38" s="11"/>
      <c r="AA38" s="11"/>
      <c r="AB38" s="11" t="str">
        <f>IFERROR(IF(A38="","",VLOOKUP(G38,Settings!$A:$D,4,0)),"")</f>
        <v/>
      </c>
      <c r="AC38" s="11"/>
      <c r="AD38" s="11"/>
      <c r="AE38" s="11"/>
      <c r="AF38" s="61" t="s">
        <v>144</v>
      </c>
      <c r="AG38" s="61"/>
      <c r="AH38" s="62"/>
      <c r="AI38" s="62"/>
      <c r="AJ38" s="61" t="s">
        <v>144</v>
      </c>
      <c r="AK38" s="61" t="s">
        <v>144</v>
      </c>
      <c r="AL38" s="61"/>
      <c r="AM38" s="58" t="str" cm="2">
        <f t="array" ref="AM38">IFERROR(LOOKUP(2, 1/SEARCH({"Black","White","Grey","Blue","Silver","Brown","Green","Blue","Purple","Red","Pink","Yellow","Gold"}, G38), {"Black","White","Grey","Blue","Silver","Brown","Green","Blue","Purple","Red","Pink","Yellow","Gold"}), "")</f>
        <v/>
      </c>
      <c r="AN38" s="58" t="str">
        <f>IFERROR(LOOKUP(2, 1/SEARCH({"8GB","16GB","32GB","64GB"}, G38), {"8GB","16GB","32GB","64GB"}), "")</f>
        <v/>
      </c>
      <c r="AO38" s="58" t="str">
        <f>IFERROR(LOOKUP(2, 1/SEARCH({"1TB","2TB","128GB","512GB","256GB"}, G38), {"1TB","2TB","128GB","512GB","256GB"}), "")</f>
        <v/>
      </c>
      <c r="AP38" s="58"/>
      <c r="AQ38" s="58" t="str">
        <f>IFERROR(LOOKUP(2, 1/SEARCH({"16-Inch","15-Inch","15.6-Inch","18-Inch","15.3-Inch","13-Inch","13.4-Inch","13.8-Inch","14-Inch","17-Inch","45-Inch","27-Inch","34-Inch","32-Inch","21.5-Inch"}, G38), {"16-Inch","15-Inch","15.6-Inch","18-Inch","15.3-Inch","13-Inch","13.4-Inch","13.8-Inch","14-Inch","17-Inch","45-Inch","27-Inch","34-Inch","32-Inch","21.5-Inch"}), "")</f>
        <v/>
      </c>
      <c r="AR38" s="58"/>
      <c r="AS38" s="91"/>
      <c r="AT38" s="93"/>
      <c r="AU38" s="93"/>
      <c r="AV38" s="93"/>
      <c r="AW38" s="93"/>
    </row>
    <row r="39" spans="1:49" ht="15" customHeight="1" x14ac:dyDescent="0.25">
      <c r="A39" s="59"/>
      <c r="B39" s="12"/>
      <c r="C39" s="12"/>
      <c r="D39" s="60"/>
      <c r="E39" s="6"/>
      <c r="F39" s="6"/>
      <c r="G39" s="12"/>
      <c r="H39" s="12" t="str" cm="2">
        <f t="array" ref="H39">IFERROR(INDEX(BrandList!$A$2:$A$50,MATCH(TRUE,ISNUMBER(SEARCH(BrandList!$A$2:$A$50,G39)),0)),"")</f>
        <v/>
      </c>
      <c r="I39" s="12" t="str" cm="2">
        <f t="array" ref="I39">IFERROR(INDEX(BrandList!$B$2:$B$200,MATCH(TRUE,ISNUMBER(SEARCH(BrandList!$B$2:$B$200,G39)),0)),"")</f>
        <v/>
      </c>
      <c r="J39" s="12"/>
      <c r="K39" s="12"/>
      <c r="L39" s="60"/>
      <c r="M39" s="60"/>
      <c r="N39" s="60"/>
      <c r="O39" s="60"/>
      <c r="P39" s="7" t="str">
        <f t="shared" si="1"/>
        <v/>
      </c>
      <c r="Q39" s="8">
        <f>IFERROR(VLOOKUP(VALUE(A39),WEEKLY_DATA!$A:$H,2,0),0)</f>
        <v>0</v>
      </c>
      <c r="R39" s="8">
        <f>IFERROR(VLOOKUP(VALUE(A39),WEEKLY_DATA!$A:$H,3,0),0)</f>
        <v>0</v>
      </c>
      <c r="S39" s="8">
        <f>IFERROR(VLOOKUP(VALUE(A39),WEEKLY_DATA!$A:$H,4,0),0)</f>
        <v>0</v>
      </c>
      <c r="T39" s="51">
        <f>IFERROR(VLOOKUP(VALUE(A39),WEEKLY_DATA!$A:$H,5,0),0)</f>
        <v>0</v>
      </c>
      <c r="U39" s="51">
        <f>IFERROR(VLOOKUP(VALUE(A39),WEEKLY_DATA!$A:$H,6,0),0)</f>
        <v>0</v>
      </c>
      <c r="V39" s="51">
        <f>IFERROR(VLOOKUP(VALUE(A39),WEEKLY_DATA!$A:$H,7,0),0)</f>
        <v>0</v>
      </c>
      <c r="W39" s="9" t="str">
        <f>IFERROR(IF(OR(Q39="",Q39=0),"",IF(VLOOKUP(VALUE($A39),WEEKLY_DATA!$A:$H,6,0)=0,"No Sales",Q39/(VLOOKUP(VALUE($A39),WEEKLY_DATA!$A:$H,6,0)/13))),"")</f>
        <v/>
      </c>
      <c r="X39" s="10">
        <f>IFERROR(VLOOKUP(VALUE(A39),WEEKLY_DATA!$A:$H,8,0),0)</f>
        <v>0</v>
      </c>
      <c r="Y39" s="13" t="str">
        <f t="shared" si="0"/>
        <v>—</v>
      </c>
      <c r="Z39" s="11"/>
      <c r="AA39" s="11"/>
      <c r="AB39" s="11" t="str">
        <f>IFERROR(IF(A39="","",VLOOKUP(G39,Settings!$A:$D,4,0)),"")</f>
        <v/>
      </c>
      <c r="AC39" s="11"/>
      <c r="AD39" s="11"/>
      <c r="AE39" s="11"/>
      <c r="AF39" s="61" t="s">
        <v>144</v>
      </c>
      <c r="AG39" s="61"/>
      <c r="AH39" s="62"/>
      <c r="AI39" s="62"/>
      <c r="AJ39" s="61" t="s">
        <v>144</v>
      </c>
      <c r="AK39" s="61" t="s">
        <v>144</v>
      </c>
      <c r="AL39" s="61"/>
      <c r="AM39" s="58" t="str" cm="2">
        <f t="array" ref="AM39">IFERROR(LOOKUP(2, 1/SEARCH({"Black","White","Grey","Blue","Silver","Brown","Green","Blue","Purple","Red","Pink","Yellow","Gold"}, G39), {"Black","White","Grey","Blue","Silver","Brown","Green","Blue","Purple","Red","Pink","Yellow","Gold"}), "")</f>
        <v/>
      </c>
      <c r="AN39" s="58" t="str">
        <f>IFERROR(LOOKUP(2, 1/SEARCH({"8GB","16GB","32GB","64GB"}, G39), {"8GB","16GB","32GB","64GB"}), "")</f>
        <v/>
      </c>
      <c r="AO39" s="58" t="str">
        <f>IFERROR(LOOKUP(2, 1/SEARCH({"1TB","2TB","128GB","512GB","256GB"}, G39), {"1TB","2TB","128GB","512GB","256GB"}), "")</f>
        <v/>
      </c>
      <c r="AP39" s="58"/>
      <c r="AQ39" s="58" t="str">
        <f>IFERROR(LOOKUP(2, 1/SEARCH({"16-Inch","15-Inch","15.6-Inch","18-Inch","15.3-Inch","13-Inch","13.4-Inch","13.8-Inch","14-Inch","17-Inch","45-Inch","27-Inch","34-Inch","32-Inch","21.5-Inch"}, G39), {"16-Inch","15-Inch","15.6-Inch","18-Inch","15.3-Inch","13-Inch","13.4-Inch","13.8-Inch","14-Inch","17-Inch","45-Inch","27-Inch","34-Inch","32-Inch","21.5-Inch"}), "")</f>
        <v/>
      </c>
      <c r="AR39" s="58"/>
      <c r="AS39" s="91"/>
      <c r="AT39" s="93"/>
      <c r="AU39" s="93"/>
      <c r="AV39" s="93"/>
      <c r="AW39" s="93"/>
    </row>
    <row r="40" spans="1:49" ht="15" customHeight="1" x14ac:dyDescent="0.25">
      <c r="A40" s="59"/>
      <c r="B40" s="12"/>
      <c r="C40" s="12"/>
      <c r="D40" s="60"/>
      <c r="E40" s="6"/>
      <c r="F40" s="6"/>
      <c r="G40" s="12"/>
      <c r="H40" s="12" t="str" cm="2">
        <f t="array" ref="H40">IFERROR(INDEX(BrandList!$A$2:$A$50,MATCH(TRUE,ISNUMBER(SEARCH(BrandList!$A$2:$A$50,G40)),0)),"")</f>
        <v/>
      </c>
      <c r="I40" s="12" t="str" cm="2">
        <f t="array" ref="I40">IFERROR(INDEX(BrandList!$B$2:$B$200,MATCH(TRUE,ISNUMBER(SEARCH(BrandList!$B$2:$B$200,G40)),0)),"")</f>
        <v/>
      </c>
      <c r="J40" s="12"/>
      <c r="K40" s="12"/>
      <c r="L40" s="60"/>
      <c r="M40" s="60"/>
      <c r="N40" s="60"/>
      <c r="O40" s="60"/>
      <c r="P40" s="7" t="str">
        <f t="shared" si="1"/>
        <v/>
      </c>
      <c r="Q40" s="8">
        <f>IFERROR(VLOOKUP(VALUE(A40),WEEKLY_DATA!$A:$H,2,0),0)</f>
        <v>0</v>
      </c>
      <c r="R40" s="8">
        <f>IFERROR(VLOOKUP(VALUE(A40),WEEKLY_DATA!$A:$H,3,0),0)</f>
        <v>0</v>
      </c>
      <c r="S40" s="8">
        <f>IFERROR(VLOOKUP(VALUE(A40),WEEKLY_DATA!$A:$H,4,0),0)</f>
        <v>0</v>
      </c>
      <c r="T40" s="51">
        <f>IFERROR(VLOOKUP(VALUE(A40),WEEKLY_DATA!$A:$H,5,0),0)</f>
        <v>0</v>
      </c>
      <c r="U40" s="51">
        <f>IFERROR(VLOOKUP(VALUE(A40),WEEKLY_DATA!$A:$H,6,0),0)</f>
        <v>0</v>
      </c>
      <c r="V40" s="51">
        <f>IFERROR(VLOOKUP(VALUE(A40),WEEKLY_DATA!$A:$H,7,0),0)</f>
        <v>0</v>
      </c>
      <c r="W40" s="9" t="str">
        <f>IFERROR(IF(OR(Q40="",Q40=0),"",IF(VLOOKUP(VALUE($A40),WEEKLY_DATA!$A:$H,6,0)=0,"No Sales",Q40/(VLOOKUP(VALUE($A40),WEEKLY_DATA!$A:$H,6,0)/13))),"")</f>
        <v/>
      </c>
      <c r="X40" s="10">
        <f>IFERROR(VLOOKUP(VALUE(A40),WEEKLY_DATA!$A:$H,8,0),0)</f>
        <v>0</v>
      </c>
      <c r="Y40" s="13" t="str">
        <f t="shared" si="0"/>
        <v>—</v>
      </c>
      <c r="Z40" s="11">
        <f>LEN(A42)</f>
        <v>0</v>
      </c>
      <c r="AA40" s="11"/>
      <c r="AB40" s="11" t="str">
        <f>IFERROR(IF(A40="","",VLOOKUP(G40,Settings!$A:$D,4,0)),"")</f>
        <v/>
      </c>
      <c r="AC40" s="11"/>
      <c r="AD40" s="11"/>
      <c r="AE40" s="11"/>
      <c r="AF40" s="61" t="s">
        <v>144</v>
      </c>
      <c r="AG40" s="61"/>
      <c r="AH40" s="62"/>
      <c r="AI40" s="62"/>
      <c r="AJ40" s="61" t="s">
        <v>144</v>
      </c>
      <c r="AK40" s="61" t="s">
        <v>144</v>
      </c>
      <c r="AL40" s="61"/>
      <c r="AM40" s="58" t="str" cm="2">
        <f t="array" ref="AM40">IFERROR(LOOKUP(2, 1/SEARCH({"Black","White","Grey","Blue","Silver","Brown","Green","Blue","Purple","Red","Pink","Yellow","Gold"}, G40), {"Black","White","Grey","Blue","Silver","Brown","Green","Blue","Purple","Red","Pink","Yellow","Gold"}), "")</f>
        <v/>
      </c>
      <c r="AN40" s="58" t="str">
        <f>IFERROR(LOOKUP(2, 1/SEARCH({"8GB","16GB","32GB","64GB"}, G40), {"8GB","16GB","32GB","64GB"}), "")</f>
        <v/>
      </c>
      <c r="AO40" s="58" t="str">
        <f>IFERROR(LOOKUP(2, 1/SEARCH({"1TB","2TB","128GB","512GB","256GB"}, G40), {"1TB","2TB","128GB","512GB","256GB"}), "")</f>
        <v/>
      </c>
      <c r="AP40" s="58"/>
      <c r="AQ40" s="58" t="str">
        <f>IFERROR(LOOKUP(2, 1/SEARCH({"16-Inch","15-Inch","15.6-Inch","18-Inch","15.3-Inch","13-Inch","13.4-Inch","13.8-Inch","14-Inch","17-Inch","45-Inch","27-Inch","34-Inch","32-Inch","21.5-Inch"}, G40), {"16-Inch","15-Inch","15.6-Inch","18-Inch","15.3-Inch","13-Inch","13.4-Inch","13.8-Inch","14-Inch","17-Inch","45-Inch","27-Inch","34-Inch","32-Inch","21.5-Inch"}), "")</f>
        <v/>
      </c>
      <c r="AR40" s="58"/>
      <c r="AS40" s="91"/>
      <c r="AT40" s="93"/>
      <c r="AU40" s="93"/>
      <c r="AV40" s="93"/>
      <c r="AW40" s="93"/>
    </row>
    <row r="41" spans="1:49" ht="15" customHeight="1" x14ac:dyDescent="0.25">
      <c r="A41" s="59"/>
      <c r="B41" s="12"/>
      <c r="C41" s="12"/>
      <c r="D41" s="60"/>
      <c r="E41" s="6"/>
      <c r="F41" s="6"/>
      <c r="G41" s="12"/>
      <c r="H41" s="12" t="str" cm="2">
        <f t="array" ref="H41">IFERROR(INDEX(BrandList!$A$2:$A$50,MATCH(TRUE,ISNUMBER(SEARCH(BrandList!$A$2:$A$50,G41)),0)),"")</f>
        <v/>
      </c>
      <c r="I41" s="12" t="str" cm="2">
        <f t="array" ref="I41">IFERROR(INDEX(BrandList!$B$2:$B$200,MATCH(TRUE,ISNUMBER(SEARCH(BrandList!$B$2:$B$200,G41)),0)),"")</f>
        <v/>
      </c>
      <c r="J41" s="12"/>
      <c r="K41" s="12"/>
      <c r="L41" s="60"/>
      <c r="M41" s="60"/>
      <c r="N41" s="60"/>
      <c r="O41" s="60"/>
      <c r="P41" s="7" t="str">
        <f t="shared" si="1"/>
        <v/>
      </c>
      <c r="Q41" s="8">
        <f>IFERROR(VLOOKUP(VALUE(A41),WEEKLY_DATA!$A:$H,2,0),0)</f>
        <v>0</v>
      </c>
      <c r="R41" s="8">
        <f>IFERROR(VLOOKUP(VALUE(A41),WEEKLY_DATA!$A:$H,3,0),0)</f>
        <v>0</v>
      </c>
      <c r="S41" s="8">
        <f>IFERROR(VLOOKUP(VALUE(A41),WEEKLY_DATA!$A:$H,4,0),0)</f>
        <v>0</v>
      </c>
      <c r="T41" s="51">
        <f>IFERROR(VLOOKUP(VALUE(A41),WEEKLY_DATA!$A:$H,5,0),0)</f>
        <v>0</v>
      </c>
      <c r="U41" s="51">
        <f>IFERROR(VLOOKUP(VALUE(A41),WEEKLY_DATA!$A:$H,6,0),0)</f>
        <v>0</v>
      </c>
      <c r="V41" s="51">
        <f>IFERROR(VLOOKUP(VALUE(A41),WEEKLY_DATA!$A:$H,7,0),0)</f>
        <v>0</v>
      </c>
      <c r="W41" s="9" t="str">
        <f>IFERROR(IF(OR(Q41="",Q41=0),"",IF(VLOOKUP(VALUE($A41),WEEKLY_DATA!$A:$H,6,0)=0,"No Sales",Q41/(VLOOKUP(VALUE($A41),WEEKLY_DATA!$A:$H,6,0)/13))),"")</f>
        <v/>
      </c>
      <c r="X41" s="10">
        <f>IFERROR(VLOOKUP(VALUE(A41),WEEKLY_DATA!$A:$H,8,0),0)</f>
        <v>0</v>
      </c>
      <c r="Y41" s="13" t="str">
        <f t="shared" si="0"/>
        <v>—</v>
      </c>
      <c r="Z41" s="11"/>
      <c r="AA41" s="11"/>
      <c r="AB41" s="11" t="str">
        <f>IFERROR(IF(A41="","",VLOOKUP(G41,Settings!$A:$D,4,0)),"")</f>
        <v/>
      </c>
      <c r="AC41" s="11"/>
      <c r="AD41" s="11"/>
      <c r="AE41" s="11"/>
      <c r="AF41" s="61" t="s">
        <v>144</v>
      </c>
      <c r="AG41" s="61"/>
      <c r="AH41" s="62"/>
      <c r="AI41" s="62"/>
      <c r="AJ41" s="61" t="s">
        <v>144</v>
      </c>
      <c r="AK41" s="61" t="s">
        <v>144</v>
      </c>
      <c r="AL41" s="61"/>
      <c r="AM41" s="58" t="str" cm="2">
        <f t="array" ref="AM41">IFERROR(LOOKUP(2, 1/SEARCH({"Black","White","Grey","Blue","Silver","Brown","Green","Blue","Purple","Red","Pink","Yellow","Gold"}, G41), {"Black","White","Grey","Blue","Silver","Brown","Green","Blue","Purple","Red","Pink","Yellow","Gold"}), "")</f>
        <v/>
      </c>
      <c r="AN41" s="58" t="str">
        <f>IFERROR(LOOKUP(2, 1/SEARCH({"8GB","16GB","32GB","64GB"}, G41), {"8GB","16GB","32GB","64GB"}), "")</f>
        <v/>
      </c>
      <c r="AO41" s="58" t="str">
        <f>IFERROR(LOOKUP(2, 1/SEARCH({"1TB","2TB","128GB","512GB","256GB"}, G41), {"1TB","2TB","128GB","512GB","256GB"}), "")</f>
        <v/>
      </c>
      <c r="AP41" s="58"/>
      <c r="AQ41" s="58" t="str">
        <f>IFERROR(LOOKUP(2, 1/SEARCH({"16-Inch","15-Inch","15.6-Inch","18-Inch","15.3-Inch","13-Inch","13.4-Inch","13.8-Inch","14-Inch","17-Inch","45-Inch","27-Inch","34-Inch","32-Inch","21.5-Inch"}, G41), {"16-Inch","15-Inch","15.6-Inch","18-Inch","15.3-Inch","13-Inch","13.4-Inch","13.8-Inch","14-Inch","17-Inch","45-Inch","27-Inch","34-Inch","32-Inch","21.5-Inch"}), "")</f>
        <v/>
      </c>
      <c r="AR41" s="58"/>
      <c r="AS41" s="91"/>
      <c r="AT41" s="93"/>
      <c r="AU41" s="93"/>
      <c r="AV41" s="93"/>
      <c r="AW41" s="93"/>
    </row>
    <row r="42" spans="1:49" ht="15" customHeight="1" x14ac:dyDescent="0.25">
      <c r="A42" s="59"/>
      <c r="B42" s="12"/>
      <c r="C42" s="12"/>
      <c r="D42" s="60"/>
      <c r="E42" s="6"/>
      <c r="F42" s="6"/>
      <c r="G42" s="12"/>
      <c r="H42" s="12" t="str" cm="2">
        <f t="array" ref="H42">IFERROR(INDEX(BrandList!$A$2:$A$50,MATCH(TRUE,ISNUMBER(SEARCH(BrandList!$A$2:$A$50,G42)),0)),"")</f>
        <v/>
      </c>
      <c r="I42" s="12" t="str" cm="2">
        <f t="array" ref="I42">IFERROR(INDEX(BrandList!$B$2:$B$200,MATCH(TRUE,ISNUMBER(SEARCH(BrandList!$B$2:$B$200,G42)),0)),"")</f>
        <v/>
      </c>
      <c r="J42" s="12"/>
      <c r="K42" s="12"/>
      <c r="L42" s="60"/>
      <c r="M42" s="60"/>
      <c r="N42" s="60"/>
      <c r="O42" s="60"/>
      <c r="P42" s="7" t="str">
        <f t="shared" si="1"/>
        <v/>
      </c>
      <c r="Q42" s="8">
        <f>IFERROR(VLOOKUP(VALUE(A42),WEEKLY_DATA!$A:$H,2,0),0)</f>
        <v>0</v>
      </c>
      <c r="R42" s="8">
        <f>IFERROR(VLOOKUP(VALUE(A42),WEEKLY_DATA!$A:$H,3,0),0)</f>
        <v>0</v>
      </c>
      <c r="S42" s="8">
        <f>IFERROR(VLOOKUP(VALUE(A42),WEEKLY_DATA!$A:$H,4,0),0)</f>
        <v>0</v>
      </c>
      <c r="T42" s="51">
        <f>IFERROR(VLOOKUP(VALUE(A42),WEEKLY_DATA!$A:$H,5,0),0)</f>
        <v>0</v>
      </c>
      <c r="U42" s="51">
        <f>IFERROR(VLOOKUP(VALUE(A42),WEEKLY_DATA!$A:$H,6,0),0)</f>
        <v>0</v>
      </c>
      <c r="V42" s="51">
        <f>IFERROR(VLOOKUP(VALUE(A42),WEEKLY_DATA!$A:$H,7,0),0)</f>
        <v>0</v>
      </c>
      <c r="W42" s="9" t="str">
        <f>IFERROR(IF(OR(Q42="",Q42=0),"",IF(VLOOKUP(VALUE($A42),WEEKLY_DATA!$A:$H,6,0)=0,"No Sales",Q42/(VLOOKUP(VALUE($A42),WEEKLY_DATA!$A:$H,6,0)/13))),"")</f>
        <v/>
      </c>
      <c r="X42" s="10">
        <f>IFERROR(VLOOKUP(VALUE(A42),WEEKLY_DATA!$A:$H,8,0),0)</f>
        <v>0</v>
      </c>
      <c r="Y42" s="13" t="str">
        <f t="shared" si="0"/>
        <v>—</v>
      </c>
      <c r="Z42" s="11"/>
      <c r="AA42" s="11"/>
      <c r="AB42" s="11"/>
      <c r="AC42" s="11"/>
      <c r="AD42" s="11"/>
      <c r="AE42" s="11"/>
      <c r="AF42" s="61" t="s">
        <v>144</v>
      </c>
      <c r="AG42" s="61"/>
      <c r="AH42" s="62"/>
      <c r="AI42" s="62"/>
      <c r="AJ42" s="61" t="s">
        <v>144</v>
      </c>
      <c r="AK42" s="61" t="s">
        <v>144</v>
      </c>
      <c r="AL42" s="61"/>
      <c r="AM42" s="58" t="str" cm="2">
        <f t="array" ref="AM42">IFERROR(LOOKUP(2, 1/SEARCH({"Black","White","Grey","Blue","Silver","Brown","Green","Blue","Purple","Red","Pink","Yellow","Gold"}, G42), {"Black","White","Grey","Blue","Silver","Brown","Green","Blue","Purple","Red","Pink","Yellow","Gold"}), "")</f>
        <v/>
      </c>
      <c r="AN42" s="58" t="str">
        <f>IFERROR(LOOKUP(2, 1/SEARCH({"8GB","16GB","32GB","64GB"}, G42), {"8GB","16GB","32GB","64GB"}), "")</f>
        <v/>
      </c>
      <c r="AO42" s="58" t="str">
        <f>IFERROR(LOOKUP(2, 1/SEARCH({"1TB","2TB","128GB","512GB","256GB"}, G42), {"1TB","2TB","128GB","512GB","256GB"}), "")</f>
        <v/>
      </c>
      <c r="AP42" s="58"/>
      <c r="AQ42" s="58" t="str">
        <f>IFERROR(LOOKUP(2, 1/SEARCH({"16-Inch","15-Inch","15.6-Inch","18-Inch","15.3-Inch","13-Inch","13.4-Inch","13.8-Inch","14-Inch","17-Inch","45-Inch","27-Inch","34-Inch","32-Inch","21.5-Inch"}, G42), {"16-Inch","15-Inch","15.6-Inch","18-Inch","15.3-Inch","13-Inch","13.4-Inch","13.8-Inch","14-Inch","17-Inch","45-Inch","27-Inch","34-Inch","32-Inch","21.5-Inch"}), "")</f>
        <v/>
      </c>
      <c r="AR42" s="58"/>
      <c r="AS42" s="91"/>
      <c r="AT42" s="93"/>
      <c r="AU42" s="93"/>
      <c r="AV42" s="93"/>
      <c r="AW42" s="93"/>
    </row>
    <row r="43" spans="1:49" ht="15" customHeight="1" x14ac:dyDescent="0.25">
      <c r="A43" s="59"/>
      <c r="B43" s="12"/>
      <c r="C43" s="12"/>
      <c r="D43" s="60"/>
      <c r="E43" s="6"/>
      <c r="F43" s="6"/>
      <c r="G43" s="12"/>
      <c r="H43" s="12" t="str" cm="2">
        <f t="array" ref="H43">IFERROR(INDEX(BrandList!$A$2:$A$50,MATCH(TRUE,ISNUMBER(SEARCH(BrandList!$A$2:$A$50,G43)),0)),"")</f>
        <v/>
      </c>
      <c r="I43" s="12" t="str" cm="2">
        <f t="array" ref="I43">IFERROR(INDEX(BrandList!$B$2:$B$200,MATCH(TRUE,ISNUMBER(SEARCH(BrandList!$B$2:$B$200,G43)),0)),"")</f>
        <v/>
      </c>
      <c r="J43" s="12"/>
      <c r="K43" s="12"/>
      <c r="L43" s="60"/>
      <c r="M43" s="60"/>
      <c r="N43" s="60"/>
      <c r="O43" s="60"/>
      <c r="P43" s="7" t="str">
        <f t="shared" si="1"/>
        <v/>
      </c>
      <c r="Q43" s="8">
        <f>IFERROR(VLOOKUP(VALUE(A43),WEEKLY_DATA!$A:$H,2,0),0)</f>
        <v>0</v>
      </c>
      <c r="R43" s="8">
        <f>IFERROR(VLOOKUP(VALUE(A43),WEEKLY_DATA!$A:$H,3,0),0)</f>
        <v>0</v>
      </c>
      <c r="S43" s="8">
        <f>IFERROR(VLOOKUP(VALUE(A43),WEEKLY_DATA!$A:$H,4,0),0)</f>
        <v>0</v>
      </c>
      <c r="T43" s="51">
        <f>IFERROR(VLOOKUP(VALUE(A43),WEEKLY_DATA!$A:$H,5,0),0)</f>
        <v>0</v>
      </c>
      <c r="U43" s="51">
        <f>IFERROR(VLOOKUP(VALUE(A43),WEEKLY_DATA!$A:$H,6,0),0)</f>
        <v>0</v>
      </c>
      <c r="V43" s="51">
        <f>IFERROR(VLOOKUP(VALUE(A43),WEEKLY_DATA!$A:$H,7,0),0)</f>
        <v>0</v>
      </c>
      <c r="W43" s="9" t="str">
        <f>IFERROR(IF(OR(Q43="",Q43=0),"",IF(VLOOKUP(VALUE($A43),WEEKLY_DATA!$A:$H,6,0)=0,"No Sales",Q43/(VLOOKUP(VALUE($A43),WEEKLY_DATA!$A:$H,6,0)/13))),"")</f>
        <v/>
      </c>
      <c r="X43" s="10">
        <f>IFERROR(VLOOKUP(VALUE(A43),WEEKLY_DATA!$A:$H,8,0),0)</f>
        <v>0</v>
      </c>
      <c r="Y43" s="13" t="str">
        <f t="shared" si="0"/>
        <v>—</v>
      </c>
      <c r="Z43" s="11"/>
      <c r="AA43" s="11"/>
      <c r="AB43" s="11"/>
      <c r="AC43" s="11"/>
      <c r="AD43" s="11"/>
      <c r="AE43" s="11"/>
      <c r="AF43" s="61" t="s">
        <v>144</v>
      </c>
      <c r="AG43" s="61"/>
      <c r="AH43" s="62"/>
      <c r="AI43" s="62"/>
      <c r="AJ43" s="61" t="s">
        <v>144</v>
      </c>
      <c r="AK43" s="61" t="s">
        <v>144</v>
      </c>
      <c r="AL43" s="61"/>
      <c r="AM43" s="58" t="str" cm="2">
        <f t="array" ref="AM43">IFERROR(LOOKUP(2, 1/SEARCH({"Black","White","Grey","Blue","Silver","Brown","Green","Blue","Purple","Red","Pink","Yellow","Gold"}, G43), {"Black","White","Grey","Blue","Silver","Brown","Green","Blue","Purple","Red","Pink","Yellow","Gold"}), "")</f>
        <v/>
      </c>
      <c r="AN43" s="58" t="str">
        <f>IFERROR(LOOKUP(2, 1/SEARCH({"8GB","16GB","32GB","64GB"}, G43), {"8GB","16GB","32GB","64GB"}), "")</f>
        <v/>
      </c>
      <c r="AO43" s="58" t="str">
        <f>IFERROR(LOOKUP(2, 1/SEARCH({"1TB","2TB","128GB","512GB","256GB"}, G43), {"1TB","2TB","128GB","512GB","256GB"}), "")</f>
        <v/>
      </c>
      <c r="AP43" s="58"/>
      <c r="AQ43" s="58" t="str">
        <f>IFERROR(LOOKUP(2, 1/SEARCH({"16-Inch","15-Inch","15.6-Inch","18-Inch","15.3-Inch","13-Inch","13.4-Inch","13.8-Inch","14-Inch","17-Inch","45-Inch","27-Inch","34-Inch","32-Inch","21.5-Inch"}, G43), {"16-Inch","15-Inch","15.6-Inch","18-Inch","15.3-Inch","13-Inch","13.4-Inch","13.8-Inch","14-Inch","17-Inch","45-Inch","27-Inch","34-Inch","32-Inch","21.5-Inch"}), "")</f>
        <v/>
      </c>
      <c r="AR43" s="58"/>
      <c r="AS43" s="91"/>
      <c r="AT43" s="93"/>
      <c r="AU43" s="93"/>
      <c r="AV43" s="93"/>
      <c r="AW43" s="93"/>
    </row>
    <row r="44" spans="1:49" ht="15" customHeight="1" x14ac:dyDescent="0.25">
      <c r="A44" s="59"/>
      <c r="B44" s="12"/>
      <c r="C44" s="12"/>
      <c r="D44" s="60"/>
      <c r="E44" s="6"/>
      <c r="F44" s="6"/>
      <c r="G44" s="12"/>
      <c r="H44" s="12" t="str" cm="2">
        <f t="array" ref="H44">IFERROR(INDEX(BrandList!$A$2:$A$50,MATCH(TRUE,ISNUMBER(SEARCH(BrandList!$A$2:$A$50,G44)),0)),"")</f>
        <v/>
      </c>
      <c r="I44" s="12" t="str" cm="2">
        <f t="array" ref="I44">IFERROR(INDEX(BrandList!$B$2:$B$200,MATCH(TRUE,ISNUMBER(SEARCH(BrandList!$B$2:$B$200,G44)),0)),"")</f>
        <v/>
      </c>
      <c r="J44" s="12"/>
      <c r="K44" s="12"/>
      <c r="L44" s="60"/>
      <c r="M44" s="60"/>
      <c r="N44" s="60"/>
      <c r="O44" s="60"/>
      <c r="P44" s="7" t="str">
        <f t="shared" si="1"/>
        <v/>
      </c>
      <c r="Q44" s="8">
        <f>IFERROR(VLOOKUP(VALUE(A44),WEEKLY_DATA!$A:$H,2,0),0)</f>
        <v>0</v>
      </c>
      <c r="R44" s="8">
        <f>IFERROR(VLOOKUP(VALUE(A44),WEEKLY_DATA!$A:$H,3,0),0)</f>
        <v>0</v>
      </c>
      <c r="S44" s="8">
        <f>IFERROR(VLOOKUP(VALUE(A44),WEEKLY_DATA!$A:$H,4,0),0)</f>
        <v>0</v>
      </c>
      <c r="T44" s="51">
        <f>IFERROR(VLOOKUP(VALUE(A44),WEEKLY_DATA!$A:$H,5,0),0)</f>
        <v>0</v>
      </c>
      <c r="U44" s="51">
        <f>IFERROR(VLOOKUP(VALUE(A44),WEEKLY_DATA!$A:$H,6,0),0)</f>
        <v>0</v>
      </c>
      <c r="V44" s="51">
        <f>IFERROR(VLOOKUP(VALUE(A44),WEEKLY_DATA!$A:$H,7,0),0)</f>
        <v>0</v>
      </c>
      <c r="W44" s="9" t="str">
        <f>IFERROR(IF(OR(Q44="",Q44=0),"",IF(VLOOKUP(VALUE($A44),WEEKLY_DATA!$A:$H,6,0)=0,"No Sales",Q44/(VLOOKUP(VALUE($A44),WEEKLY_DATA!$A:$H,6,0)/13))),"")</f>
        <v/>
      </c>
      <c r="X44" s="10">
        <f>IFERROR(VLOOKUP(VALUE(A44),WEEKLY_DATA!$A:$H,8,0),0)</f>
        <v>0</v>
      </c>
      <c r="Y44" s="13" t="str">
        <f t="shared" si="0"/>
        <v>—</v>
      </c>
      <c r="Z44" s="11"/>
      <c r="AA44" s="11"/>
      <c r="AB44" s="11"/>
      <c r="AC44" s="11"/>
      <c r="AD44" s="11"/>
      <c r="AE44" s="11"/>
      <c r="AF44" s="61" t="s">
        <v>144</v>
      </c>
      <c r="AG44" s="61"/>
      <c r="AH44" s="62"/>
      <c r="AI44" s="62"/>
      <c r="AJ44" s="61" t="s">
        <v>144</v>
      </c>
      <c r="AK44" s="61" t="s">
        <v>144</v>
      </c>
      <c r="AL44" s="61"/>
      <c r="AM44" s="58" t="str" cm="2">
        <f t="array" ref="AM44">IFERROR(LOOKUP(2, 1/SEARCH({"Black","White","Grey","Blue","Silver","Brown","Green","Blue","Purple","Red","Pink","Yellow","Gold"}, G44), {"Black","White","Grey","Blue","Silver","Brown","Green","Blue","Purple","Red","Pink","Yellow","Gold"}), "")</f>
        <v/>
      </c>
      <c r="AN44" s="58" t="str">
        <f>IFERROR(LOOKUP(2, 1/SEARCH({"8GB","16GB","32GB","64GB"}, G44), {"8GB","16GB","32GB","64GB"}), "")</f>
        <v/>
      </c>
      <c r="AO44" s="58" t="str">
        <f>IFERROR(LOOKUP(2, 1/SEARCH({"1TB","2TB","128GB","512GB","256GB"}, G44), {"1TB","2TB","128GB","512GB","256GB"}), "")</f>
        <v/>
      </c>
      <c r="AP44" s="58"/>
      <c r="AQ44" s="58" t="str">
        <f>IFERROR(LOOKUP(2, 1/SEARCH({"16-Inch","15-Inch","15.6-Inch","18-Inch","15.3-Inch","13-Inch","13.4-Inch","13.8-Inch","14-Inch","17-Inch","45-Inch","27-Inch","34-Inch","32-Inch","21.5-Inch"}, G44), {"16-Inch","15-Inch","15.6-Inch","18-Inch","15.3-Inch","13-Inch","13.4-Inch","13.8-Inch","14-Inch","17-Inch","45-Inch","27-Inch","34-Inch","32-Inch","21.5-Inch"}), "")</f>
        <v/>
      </c>
      <c r="AR44" s="58"/>
      <c r="AS44" s="91"/>
      <c r="AT44" s="93"/>
      <c r="AU44" s="93"/>
      <c r="AV44" s="93"/>
      <c r="AW44" s="93"/>
    </row>
    <row r="45" spans="1:49" ht="15" customHeight="1" x14ac:dyDescent="0.25">
      <c r="A45" s="59"/>
      <c r="B45" s="12"/>
      <c r="C45" s="12"/>
      <c r="D45" s="60"/>
      <c r="E45" s="6"/>
      <c r="F45" s="6"/>
      <c r="G45" s="12"/>
      <c r="H45" s="12" t="str" cm="2">
        <f t="array" ref="H45">IFERROR(INDEX(BrandList!$A$2:$A$50,MATCH(TRUE,ISNUMBER(SEARCH(BrandList!$A$2:$A$50,G45)),0)),"")</f>
        <v/>
      </c>
      <c r="I45" s="12" t="str" cm="2">
        <f t="array" ref="I45">IFERROR(INDEX(BrandList!$B$2:$B$200,MATCH(TRUE,ISNUMBER(SEARCH(BrandList!$B$2:$B$200,G45)),0)),"")</f>
        <v/>
      </c>
      <c r="J45" s="12"/>
      <c r="K45" s="12"/>
      <c r="L45" s="60"/>
      <c r="M45" s="60"/>
      <c r="N45" s="60"/>
      <c r="O45" s="60"/>
      <c r="P45" s="7" t="str">
        <f t="shared" si="1"/>
        <v/>
      </c>
      <c r="Q45" s="8">
        <f>IFERROR(VLOOKUP(VALUE(A45),WEEKLY_DATA!$A:$H,2,0),0)</f>
        <v>0</v>
      </c>
      <c r="R45" s="8">
        <f>IFERROR(VLOOKUP(VALUE(A45),WEEKLY_DATA!$A:$H,3,0),0)</f>
        <v>0</v>
      </c>
      <c r="S45" s="8">
        <f>IFERROR(VLOOKUP(VALUE(A45),WEEKLY_DATA!$A:$H,4,0),0)</f>
        <v>0</v>
      </c>
      <c r="T45" s="51">
        <f>IFERROR(VLOOKUP(VALUE(A45),WEEKLY_DATA!$A:$H,5,0),0)</f>
        <v>0</v>
      </c>
      <c r="U45" s="51">
        <f>IFERROR(VLOOKUP(VALUE(A45),WEEKLY_DATA!$A:$H,6,0),0)</f>
        <v>0</v>
      </c>
      <c r="V45" s="51">
        <f>IFERROR(VLOOKUP(VALUE(A45),WEEKLY_DATA!$A:$H,7,0),0)</f>
        <v>0</v>
      </c>
      <c r="W45" s="9" t="str">
        <f>IFERROR(IF(OR(Q45="",Q45=0),"",IF(VLOOKUP(VALUE($A45),WEEKLY_DATA!$A:$H,6,0)=0,"No Sales",Q45/(VLOOKUP(VALUE($A45),WEEKLY_DATA!$A:$H,6,0)/13))),"")</f>
        <v/>
      </c>
      <c r="X45" s="10">
        <f>IFERROR(VLOOKUP(VALUE(A45),WEEKLY_DATA!$A:$H,8,0),0)</f>
        <v>0</v>
      </c>
      <c r="Y45" s="13" t="str">
        <f t="shared" si="0"/>
        <v>—</v>
      </c>
      <c r="Z45" s="11"/>
      <c r="AA45" s="11"/>
      <c r="AB45" s="11"/>
      <c r="AC45" s="11"/>
      <c r="AD45" s="11"/>
      <c r="AE45" s="11"/>
      <c r="AF45" s="61" t="s">
        <v>144</v>
      </c>
      <c r="AG45" s="61"/>
      <c r="AH45" s="62"/>
      <c r="AI45" s="62"/>
      <c r="AJ45" s="61" t="s">
        <v>144</v>
      </c>
      <c r="AK45" s="61" t="s">
        <v>144</v>
      </c>
      <c r="AL45" s="61"/>
      <c r="AM45" s="58" t="str" cm="2">
        <f t="array" ref="AM45">IFERROR(LOOKUP(2, 1/SEARCH({"Black","White","Grey","Blue","Silver","Brown","Green","Blue","Purple","Red","Pink","Yellow","Gold"}, G45), {"Black","White","Grey","Blue","Silver","Brown","Green","Blue","Purple","Red","Pink","Yellow","Gold"}), "")</f>
        <v/>
      </c>
      <c r="AN45" s="58" t="str">
        <f>IFERROR(LOOKUP(2, 1/SEARCH({"8GB","16GB","32GB","64GB"}, G45), {"8GB","16GB","32GB","64GB"}), "")</f>
        <v/>
      </c>
      <c r="AO45" s="58" t="str">
        <f>IFERROR(LOOKUP(2, 1/SEARCH({"1TB","2TB","128GB","512GB","256GB"}, G45), {"1TB","2TB","128GB","512GB","256GB"}), "")</f>
        <v/>
      </c>
      <c r="AP45" s="58"/>
      <c r="AQ45" s="58" t="str">
        <f>IFERROR(LOOKUP(2, 1/SEARCH({"16-Inch","15-Inch","15.6-Inch","18-Inch","15.3-Inch","13-Inch","13.4-Inch","13.8-Inch","14-Inch","17-Inch","45-Inch","27-Inch","34-Inch","32-Inch","21.5-Inch"}, G45), {"16-Inch","15-Inch","15.6-Inch","18-Inch","15.3-Inch","13-Inch","13.4-Inch","13.8-Inch","14-Inch","17-Inch","45-Inch","27-Inch","34-Inch","32-Inch","21.5-Inch"}), "")</f>
        <v/>
      </c>
      <c r="AR45" s="58"/>
      <c r="AS45" s="91"/>
      <c r="AT45" s="93"/>
      <c r="AU45" s="93"/>
      <c r="AV45" s="93"/>
      <c r="AW45" s="93"/>
    </row>
    <row r="46" spans="1:49" ht="15" customHeight="1" x14ac:dyDescent="0.25">
      <c r="A46" s="59"/>
      <c r="B46" s="12"/>
      <c r="C46" s="12"/>
      <c r="D46" s="60"/>
      <c r="E46" s="6"/>
      <c r="F46" s="6"/>
      <c r="G46" s="12"/>
      <c r="H46" s="12" t="str" cm="2">
        <f t="array" ref="H46">IFERROR(INDEX(BrandList!$A$2:$A$50,MATCH(TRUE,ISNUMBER(SEARCH(BrandList!$A$2:$A$50,G46)),0)),"")</f>
        <v/>
      </c>
      <c r="I46" s="12" t="str" cm="2">
        <f t="array" ref="I46">IFERROR(INDEX(BrandList!$B$2:$B$200,MATCH(TRUE,ISNUMBER(SEARCH(BrandList!$B$2:$B$200,G46)),0)),"")</f>
        <v/>
      </c>
      <c r="J46" s="12"/>
      <c r="K46" s="12"/>
      <c r="L46" s="60"/>
      <c r="M46" s="60"/>
      <c r="N46" s="60"/>
      <c r="O46" s="60"/>
      <c r="P46" s="7" t="str">
        <f t="shared" si="1"/>
        <v/>
      </c>
      <c r="Q46" s="8">
        <f>IFERROR(VLOOKUP(VALUE(A46),WEEKLY_DATA!$A:$H,2,0),0)</f>
        <v>0</v>
      </c>
      <c r="R46" s="8">
        <f>IFERROR(VLOOKUP(VALUE(A46),WEEKLY_DATA!$A:$H,3,0),0)</f>
        <v>0</v>
      </c>
      <c r="S46" s="8">
        <f>IFERROR(VLOOKUP(VALUE(A46),WEEKLY_DATA!$A:$H,4,0),0)</f>
        <v>0</v>
      </c>
      <c r="T46" s="51">
        <f>IFERROR(VLOOKUP(VALUE(A46),WEEKLY_DATA!$A:$H,5,0),0)</f>
        <v>0</v>
      </c>
      <c r="U46" s="51">
        <f>IFERROR(VLOOKUP(VALUE(A46),WEEKLY_DATA!$A:$H,6,0),0)</f>
        <v>0</v>
      </c>
      <c r="V46" s="51">
        <f>IFERROR(VLOOKUP(VALUE(A46),WEEKLY_DATA!$A:$H,7,0),0)</f>
        <v>0</v>
      </c>
      <c r="W46" s="9" t="str">
        <f>IFERROR(IF(OR(Q46="",Q46=0),"",IF(VLOOKUP(VALUE($A46),WEEKLY_DATA!$A:$H,6,0)=0,"No Sales",Q46/(VLOOKUP(VALUE($A46),WEEKLY_DATA!$A:$H,6,0)/13))),"")</f>
        <v/>
      </c>
      <c r="X46" s="10">
        <f>IFERROR(VLOOKUP(VALUE(A46),WEEKLY_DATA!$A:$H,8,0),0)</f>
        <v>0</v>
      </c>
      <c r="Y46" s="13" t="str">
        <f t="shared" si="0"/>
        <v>—</v>
      </c>
      <c r="Z46" s="11"/>
      <c r="AA46" s="11"/>
      <c r="AB46" s="11"/>
      <c r="AC46" s="11"/>
      <c r="AD46" s="11"/>
      <c r="AE46" s="11"/>
      <c r="AF46" s="61" t="s">
        <v>144</v>
      </c>
      <c r="AG46" s="61"/>
      <c r="AH46" s="62"/>
      <c r="AI46" s="62"/>
      <c r="AJ46" s="61" t="s">
        <v>144</v>
      </c>
      <c r="AK46" s="61" t="s">
        <v>144</v>
      </c>
      <c r="AL46" s="61"/>
      <c r="AM46" s="58" t="str" cm="2">
        <f t="array" ref="AM46">IFERROR(LOOKUP(2, 1/SEARCH({"Black","White","Grey","Blue","Silver","Brown","Green","Blue","Purple","Red","Pink","Yellow","Gold"}, G46), {"Black","White","Grey","Blue","Silver","Brown","Green","Blue","Purple","Red","Pink","Yellow","Gold"}), "")</f>
        <v/>
      </c>
      <c r="AN46" s="58" t="str">
        <f>IFERROR(LOOKUP(2, 1/SEARCH({"8GB","16GB","32GB","64GB"}, G46), {"8GB","16GB","32GB","64GB"}), "")</f>
        <v/>
      </c>
      <c r="AO46" s="58" t="str">
        <f>IFERROR(LOOKUP(2, 1/SEARCH({"1TB","2TB","128GB","512GB","256GB"}, G46), {"1TB","2TB","128GB","512GB","256GB"}), "")</f>
        <v/>
      </c>
      <c r="AP46" s="58"/>
      <c r="AQ46" s="58" t="str">
        <f>IFERROR(LOOKUP(2, 1/SEARCH({"16-Inch","15-Inch","15.6-Inch","18-Inch","15.3-Inch","13-Inch","13.4-Inch","13.8-Inch","14-Inch","17-Inch","45-Inch","27-Inch","34-Inch","32-Inch","21.5-Inch"}, G46), {"16-Inch","15-Inch","15.6-Inch","18-Inch","15.3-Inch","13-Inch","13.4-Inch","13.8-Inch","14-Inch","17-Inch","45-Inch","27-Inch","34-Inch","32-Inch","21.5-Inch"}), "")</f>
        <v/>
      </c>
      <c r="AR46" s="58"/>
      <c r="AS46" s="91"/>
      <c r="AT46" s="93"/>
      <c r="AU46" s="93"/>
      <c r="AV46" s="93"/>
      <c r="AW46" s="93"/>
    </row>
    <row r="47" spans="1:49" ht="15" customHeight="1" x14ac:dyDescent="0.25">
      <c r="A47" s="59"/>
      <c r="B47" s="12"/>
      <c r="C47" s="12"/>
      <c r="D47" s="60"/>
      <c r="E47" s="6"/>
      <c r="F47" s="6"/>
      <c r="G47" s="12"/>
      <c r="H47" s="12" t="str" cm="2">
        <f t="array" ref="H47">IFERROR(INDEX(BrandList!$A$2:$A$50,MATCH(TRUE,ISNUMBER(SEARCH(BrandList!$A$2:$A$50,G47)),0)),"")</f>
        <v/>
      </c>
      <c r="I47" s="12" t="str" cm="2">
        <f t="array" ref="I47">IFERROR(INDEX(BrandList!$B$2:$B$200,MATCH(TRUE,ISNUMBER(SEARCH(BrandList!$B$2:$B$200,G47)),0)),"")</f>
        <v/>
      </c>
      <c r="J47" s="12"/>
      <c r="K47" s="12"/>
      <c r="L47" s="60"/>
      <c r="M47" s="60"/>
      <c r="N47" s="60"/>
      <c r="O47" s="60"/>
      <c r="P47" s="7" t="str">
        <f t="shared" si="1"/>
        <v/>
      </c>
      <c r="Q47" s="8">
        <f>IFERROR(VLOOKUP(VALUE(A47),WEEKLY_DATA!$A:$H,2,0),0)</f>
        <v>0</v>
      </c>
      <c r="R47" s="8">
        <f>IFERROR(VLOOKUP(VALUE(A47),WEEKLY_DATA!$A:$H,3,0),0)</f>
        <v>0</v>
      </c>
      <c r="S47" s="8">
        <f>IFERROR(VLOOKUP(VALUE(A47),WEEKLY_DATA!$A:$H,4,0),0)</f>
        <v>0</v>
      </c>
      <c r="T47" s="51">
        <f>IFERROR(VLOOKUP(VALUE(A47),WEEKLY_DATA!$A:$H,5,0),0)</f>
        <v>0</v>
      </c>
      <c r="U47" s="51">
        <f>IFERROR(VLOOKUP(VALUE(A47),WEEKLY_DATA!$A:$H,6,0),0)</f>
        <v>0</v>
      </c>
      <c r="V47" s="51">
        <f>IFERROR(VLOOKUP(VALUE(A47),WEEKLY_DATA!$A:$H,7,0),0)</f>
        <v>0</v>
      </c>
      <c r="W47" s="9" t="str">
        <f>IFERROR(IF(OR(Q47="",Q47=0),"",IF(VLOOKUP(VALUE($A47),WEEKLY_DATA!$A:$H,6,0)=0,"No Sales",Q47/(VLOOKUP(VALUE($A47),WEEKLY_DATA!$A:$H,6,0)/13))),"")</f>
        <v/>
      </c>
      <c r="X47" s="10">
        <f>IFERROR(VLOOKUP(VALUE(A47),WEEKLY_DATA!$A:$H,8,0),0)</f>
        <v>0</v>
      </c>
      <c r="Y47" s="13" t="str">
        <f t="shared" si="0"/>
        <v>—</v>
      </c>
      <c r="Z47" s="11"/>
      <c r="AA47" s="11"/>
      <c r="AB47" s="11"/>
      <c r="AC47" s="11"/>
      <c r="AD47" s="11"/>
      <c r="AE47" s="11"/>
      <c r="AF47" s="61" t="s">
        <v>144</v>
      </c>
      <c r="AG47" s="61"/>
      <c r="AH47" s="62"/>
      <c r="AI47" s="62"/>
      <c r="AJ47" s="61" t="s">
        <v>144</v>
      </c>
      <c r="AK47" s="61" t="s">
        <v>144</v>
      </c>
      <c r="AL47" s="61"/>
      <c r="AM47" s="58" t="str" cm="2">
        <f t="array" ref="AM47">IFERROR(LOOKUP(2, 1/SEARCH({"Black","White","Grey","Blue","Silver","Brown","Green","Blue","Purple","Red","Pink","Yellow","Gold"}, G47), {"Black","White","Grey","Blue","Silver","Brown","Green","Blue","Purple","Red","Pink","Yellow","Gold"}), "")</f>
        <v/>
      </c>
      <c r="AN47" s="58" t="str">
        <f>IFERROR(LOOKUP(2, 1/SEARCH({"8GB","16GB","32GB","64GB"}, G47), {"8GB","16GB","32GB","64GB"}), "")</f>
        <v/>
      </c>
      <c r="AO47" s="58" t="str">
        <f>IFERROR(LOOKUP(2, 1/SEARCH({"1TB","2TB","128GB","512GB","256GB"}, G47), {"1TB","2TB","128GB","512GB","256GB"}), "")</f>
        <v/>
      </c>
      <c r="AP47" s="58"/>
      <c r="AQ47" s="58" t="str">
        <f>IFERROR(LOOKUP(2, 1/SEARCH({"16-Inch","15-Inch","15.6-Inch","18-Inch","15.3-Inch","13-Inch","13.4-Inch","13.8-Inch","14-Inch","17-Inch","45-Inch","27-Inch","34-Inch","32-Inch","21.5-Inch"}, G47), {"16-Inch","15-Inch","15.6-Inch","18-Inch","15.3-Inch","13-Inch","13.4-Inch","13.8-Inch","14-Inch","17-Inch","45-Inch","27-Inch","34-Inch","32-Inch","21.5-Inch"}), "")</f>
        <v/>
      </c>
      <c r="AR47" s="58"/>
      <c r="AS47" s="91"/>
      <c r="AT47" s="93"/>
      <c r="AU47" s="93"/>
      <c r="AV47" s="93"/>
      <c r="AW47" s="93"/>
    </row>
    <row r="48" spans="1:49" ht="15" customHeight="1" x14ac:dyDescent="0.25">
      <c r="A48" s="59"/>
      <c r="B48" s="12"/>
      <c r="C48" s="12"/>
      <c r="D48" s="60"/>
      <c r="E48" s="6"/>
      <c r="F48" s="6"/>
      <c r="G48" s="12"/>
      <c r="H48" s="12" t="str" cm="2">
        <f t="array" ref="H48">IFERROR(INDEX(BrandList!$A$2:$A$50,MATCH(TRUE,ISNUMBER(SEARCH(BrandList!$A$2:$A$50,G48)),0)),"")</f>
        <v/>
      </c>
      <c r="I48" s="12" t="str" cm="2">
        <f t="array" ref="I48">IFERROR(INDEX(BrandList!$B$2:$B$200,MATCH(TRUE,ISNUMBER(SEARCH(BrandList!$B$2:$B$200,G48)),0)),"")</f>
        <v/>
      </c>
      <c r="J48" s="12"/>
      <c r="K48" s="12"/>
      <c r="L48" s="60"/>
      <c r="M48" s="60"/>
      <c r="N48" s="60"/>
      <c r="O48" s="60"/>
      <c r="P48" s="7" t="str">
        <f t="shared" si="1"/>
        <v/>
      </c>
      <c r="Q48" s="8">
        <f>IFERROR(VLOOKUP(VALUE(A48),WEEKLY_DATA!$A:$H,2,0),0)</f>
        <v>0</v>
      </c>
      <c r="R48" s="8">
        <f>IFERROR(VLOOKUP(VALUE(A48),WEEKLY_DATA!$A:$H,3,0),0)</f>
        <v>0</v>
      </c>
      <c r="S48" s="8">
        <f>IFERROR(VLOOKUP(VALUE(A48),WEEKLY_DATA!$A:$H,4,0),0)</f>
        <v>0</v>
      </c>
      <c r="T48" s="51">
        <f>IFERROR(VLOOKUP(VALUE(A48),WEEKLY_DATA!$A:$H,5,0),0)</f>
        <v>0</v>
      </c>
      <c r="U48" s="51">
        <f>IFERROR(VLOOKUP(VALUE(A48),WEEKLY_DATA!$A:$H,6,0),0)</f>
        <v>0</v>
      </c>
      <c r="V48" s="51">
        <f>IFERROR(VLOOKUP(VALUE(A48),WEEKLY_DATA!$A:$H,7,0),0)</f>
        <v>0</v>
      </c>
      <c r="W48" s="9" t="str">
        <f>IFERROR(IF(OR(Q48="",Q48=0),"",IF(VLOOKUP(VALUE($A48),WEEKLY_DATA!$A:$H,6,0)=0,"No Sales",Q48/(VLOOKUP(VALUE($A48),WEEKLY_DATA!$A:$H,6,0)/13))),"")</f>
        <v/>
      </c>
      <c r="X48" s="10">
        <f>IFERROR(VLOOKUP(VALUE(A48),WEEKLY_DATA!$A:$H,8,0),0)</f>
        <v>0</v>
      </c>
      <c r="Y48" s="13" t="str">
        <f t="shared" si="0"/>
        <v>—</v>
      </c>
      <c r="Z48" s="11"/>
      <c r="AA48" s="11"/>
      <c r="AB48" s="11"/>
      <c r="AC48" s="11"/>
      <c r="AD48" s="11"/>
      <c r="AE48" s="11"/>
      <c r="AF48" s="61" t="s">
        <v>144</v>
      </c>
      <c r="AG48" s="61"/>
      <c r="AH48" s="62"/>
      <c r="AI48" s="62"/>
      <c r="AJ48" s="61" t="s">
        <v>144</v>
      </c>
      <c r="AK48" s="61" t="s">
        <v>144</v>
      </c>
      <c r="AL48" s="61"/>
      <c r="AM48" s="58" t="str" cm="2">
        <f t="array" ref="AM48">IFERROR(LOOKUP(2, 1/SEARCH({"Black","White","Grey","Blue","Silver","Brown","Green","Blue","Purple","Red","Pink","Yellow","Gold"}, G48), {"Black","White","Grey","Blue","Silver","Brown","Green","Blue","Purple","Red","Pink","Yellow","Gold"}), "")</f>
        <v/>
      </c>
      <c r="AN48" s="58" t="str">
        <f>IFERROR(LOOKUP(2, 1/SEARCH({"8GB","16GB","32GB","64GB"}, G48), {"8GB","16GB","32GB","64GB"}), "")</f>
        <v/>
      </c>
      <c r="AO48" s="58" t="str">
        <f>IFERROR(LOOKUP(2, 1/SEARCH({"1TB","2TB","128GB","512GB","256GB"}, G48), {"1TB","2TB","128GB","512GB","256GB"}), "")</f>
        <v/>
      </c>
      <c r="AP48" s="58"/>
      <c r="AQ48" s="58" t="str">
        <f>IFERROR(LOOKUP(2, 1/SEARCH({"16-Inch","15-Inch","15.6-Inch","18-Inch","15.3-Inch","13-Inch","13.4-Inch","13.8-Inch","14-Inch","17-Inch","45-Inch","27-Inch","34-Inch","32-Inch","21.5-Inch"}, G48), {"16-Inch","15-Inch","15.6-Inch","18-Inch","15.3-Inch","13-Inch","13.4-Inch","13.8-Inch","14-Inch","17-Inch","45-Inch","27-Inch","34-Inch","32-Inch","21.5-Inch"}), "")</f>
        <v/>
      </c>
      <c r="AR48" s="58"/>
      <c r="AS48" s="91"/>
      <c r="AT48" s="93"/>
      <c r="AU48" s="93"/>
      <c r="AV48" s="93"/>
      <c r="AW48" s="93"/>
    </row>
    <row r="49" spans="1:49" ht="15" customHeight="1" x14ac:dyDescent="0.25">
      <c r="A49" s="59"/>
      <c r="B49" s="12"/>
      <c r="C49" s="12"/>
      <c r="D49" s="60"/>
      <c r="E49" s="6"/>
      <c r="F49" s="6"/>
      <c r="G49" s="12"/>
      <c r="H49" s="12" t="str" cm="2">
        <f t="array" ref="H49">IFERROR(INDEX(BrandList!$A$2:$A$50,MATCH(TRUE,ISNUMBER(SEARCH(BrandList!$A$2:$A$50,G49)),0)),"")</f>
        <v/>
      </c>
      <c r="I49" s="12" t="str" cm="2">
        <f t="array" ref="I49">IFERROR(INDEX(BrandList!$B$2:$B$200,MATCH(TRUE,ISNUMBER(SEARCH(BrandList!$B$2:$B$200,G49)),0)),"")</f>
        <v/>
      </c>
      <c r="J49" s="12"/>
      <c r="K49" s="59"/>
      <c r="L49" s="86"/>
      <c r="M49" s="86"/>
      <c r="N49" s="86"/>
      <c r="O49" s="86"/>
      <c r="P49" s="7" t="str">
        <f t="shared" si="1"/>
        <v/>
      </c>
      <c r="Q49" s="8">
        <f>IFERROR(VLOOKUP(VALUE(A49),WEEKLY_DATA!$A:$H,2,0),0)</f>
        <v>0</v>
      </c>
      <c r="R49" s="8">
        <f>IFERROR(VLOOKUP(VALUE(A49),WEEKLY_DATA!$A:$H,3,0),0)</f>
        <v>0</v>
      </c>
      <c r="S49" s="8">
        <f>IFERROR(VLOOKUP(VALUE(A49),WEEKLY_DATA!$A:$H,4,0),0)</f>
        <v>0</v>
      </c>
      <c r="T49" s="51">
        <f>IFERROR(VLOOKUP(VALUE(A49),WEEKLY_DATA!$A:$H,5,0),0)</f>
        <v>0</v>
      </c>
      <c r="U49" s="51">
        <f>IFERROR(VLOOKUP(VALUE(A49),WEEKLY_DATA!$A:$H,6,0),0)</f>
        <v>0</v>
      </c>
      <c r="V49" s="51">
        <f>IFERROR(VLOOKUP(VALUE(A49),WEEKLY_DATA!$A:$H,7,0),0)</f>
        <v>0</v>
      </c>
      <c r="W49" s="9" t="str">
        <f>IFERROR(IF(OR(Q49="",Q49=0),"",IF(VLOOKUP(VALUE($A49),WEEKLY_DATA!$A:$H,6,0)=0,"No Sales",Q49/(VLOOKUP(VALUE($A49),WEEKLY_DATA!$A:$H,6,0)/13))),"")</f>
        <v/>
      </c>
      <c r="X49" s="10">
        <f>IFERROR(VLOOKUP(VALUE(A49),WEEKLY_DATA!$A:$H,8,0),0)</f>
        <v>0</v>
      </c>
      <c r="Y49" s="13" t="str">
        <f t="shared" si="0"/>
        <v>—</v>
      </c>
      <c r="Z49" s="11"/>
      <c r="AA49" s="11"/>
      <c r="AB49" s="11"/>
      <c r="AC49" s="11"/>
      <c r="AD49" s="11"/>
      <c r="AE49" s="11"/>
      <c r="AF49" s="61" t="s">
        <v>144</v>
      </c>
      <c r="AG49" s="61"/>
      <c r="AH49" s="62"/>
      <c r="AI49" s="62"/>
      <c r="AJ49" s="61" t="s">
        <v>144</v>
      </c>
      <c r="AK49" s="61" t="s">
        <v>144</v>
      </c>
      <c r="AL49" s="61"/>
      <c r="AM49" s="58" t="str" cm="2">
        <f t="array" ref="AM49">IFERROR(LOOKUP(2, 1/SEARCH({"Black","White","Grey","Blue","Silver","Brown","Green","Blue","Purple","Red","Pink","Yellow","Gold"}, G49), {"Black","White","Grey","Blue","Silver","Brown","Green","Blue","Purple","Red","Pink","Yellow","Gold"}), "")</f>
        <v/>
      </c>
      <c r="AN49" s="58" t="str">
        <f>IFERROR(LOOKUP(2, 1/SEARCH({"8GB","16GB","32GB","64GB"}, G49), {"8GB","16GB","32GB","64GB"}), "")</f>
        <v/>
      </c>
      <c r="AO49" s="58" t="str">
        <f>IFERROR(LOOKUP(2, 1/SEARCH({"1TB","2TB","128GB","512GB","256GB"}, G49), {"1TB","2TB","128GB","512GB","256GB"}), "")</f>
        <v/>
      </c>
      <c r="AP49" s="58"/>
      <c r="AQ49" s="58" t="str">
        <f>IFERROR(LOOKUP(2, 1/SEARCH({"16-Inch","15-Inch","15.6-Inch","18-Inch","15.3-Inch","13-Inch","13.4-Inch","13.8-Inch","14-Inch","17-Inch","45-Inch","27-Inch","34-Inch","32-Inch","21.5-Inch"}, G49), {"16-Inch","15-Inch","15.6-Inch","18-Inch","15.3-Inch","13-Inch","13.4-Inch","13.8-Inch","14-Inch","17-Inch","45-Inch","27-Inch","34-Inch","32-Inch","21.5-Inch"}), "")</f>
        <v/>
      </c>
      <c r="AR49" s="58"/>
      <c r="AS49" s="91"/>
      <c r="AT49" s="93"/>
      <c r="AU49" s="93"/>
      <c r="AV49" s="93"/>
      <c r="AW49" s="93"/>
    </row>
    <row r="50" spans="1:49" ht="15" customHeight="1" x14ac:dyDescent="0.25">
      <c r="A50" s="59"/>
      <c r="B50" s="12"/>
      <c r="C50" s="12"/>
      <c r="D50" s="60"/>
      <c r="E50" s="6"/>
      <c r="F50" s="6"/>
      <c r="G50" s="12"/>
      <c r="H50" s="12" t="str" cm="2">
        <f t="array" ref="H50">IFERROR(INDEX(BrandList!$A$2:$A$50,MATCH(TRUE,ISNUMBER(SEARCH(BrandList!$A$2:$A$50,G50)),0)),"")</f>
        <v/>
      </c>
      <c r="I50" s="12" t="str" cm="2">
        <f t="array" ref="I50">IFERROR(INDEX(BrandList!$B$2:$B$200,MATCH(TRUE,ISNUMBER(SEARCH(BrandList!$B$2:$B$200,G50)),0)),"")</f>
        <v/>
      </c>
      <c r="J50" s="12"/>
      <c r="K50" s="12"/>
      <c r="L50" s="60"/>
      <c r="M50" s="60"/>
      <c r="N50" s="60"/>
      <c r="O50" s="60"/>
      <c r="P50" s="7" t="str">
        <f t="shared" si="1"/>
        <v/>
      </c>
      <c r="Q50" s="8">
        <f>IFERROR(VLOOKUP(VALUE(A50),WEEKLY_DATA!$A:$H,2,0),0)</f>
        <v>0</v>
      </c>
      <c r="R50" s="8">
        <f>IFERROR(VLOOKUP(VALUE(A50),WEEKLY_DATA!$A:$H,3,0),0)</f>
        <v>0</v>
      </c>
      <c r="S50" s="8">
        <f>IFERROR(VLOOKUP(VALUE(A50),WEEKLY_DATA!$A:$H,4,0),0)</f>
        <v>0</v>
      </c>
      <c r="T50" s="51">
        <f>IFERROR(VLOOKUP(VALUE(A50),WEEKLY_DATA!$A:$H,5,0),0)</f>
        <v>0</v>
      </c>
      <c r="U50" s="51">
        <f>IFERROR(VLOOKUP(VALUE(A50),WEEKLY_DATA!$A:$H,6,0),0)</f>
        <v>0</v>
      </c>
      <c r="V50" s="51">
        <f>IFERROR(VLOOKUP(VALUE(A50),WEEKLY_DATA!$A:$H,7,0),0)</f>
        <v>0</v>
      </c>
      <c r="W50" s="9" t="str">
        <f>IFERROR(IF(OR(Q50="",Q50=0),"",IF(VLOOKUP(VALUE($A50),WEEKLY_DATA!$A:$H,6,0)=0,"No Sales",Q50/(VLOOKUP(VALUE($A50),WEEKLY_DATA!$A:$H,6,0)/13))),"")</f>
        <v/>
      </c>
      <c r="X50" s="10">
        <f>IFERROR(VLOOKUP(VALUE(A50),WEEKLY_DATA!$A:$H,8,0),0)</f>
        <v>0</v>
      </c>
      <c r="Y50" s="13" t="str">
        <f t="shared" si="0"/>
        <v>—</v>
      </c>
      <c r="Z50" s="11"/>
      <c r="AA50" s="11"/>
      <c r="AB50" s="11"/>
      <c r="AC50" s="11"/>
      <c r="AD50" s="11"/>
      <c r="AE50" s="11"/>
      <c r="AF50" s="61" t="s">
        <v>144</v>
      </c>
      <c r="AG50" s="61"/>
      <c r="AH50" s="62"/>
      <c r="AI50" s="62"/>
      <c r="AJ50" s="61" t="s">
        <v>144</v>
      </c>
      <c r="AK50" s="61" t="s">
        <v>144</v>
      </c>
      <c r="AL50" s="61"/>
      <c r="AM50" s="58" t="str" cm="2">
        <f t="array" ref="AM50">IFERROR(LOOKUP(2, 1/SEARCH({"Black","White","Grey","Blue","Silver","Brown","Green","Blue","Purple","Red","Pink","Yellow","Gold"}, G50), {"Black","White","Grey","Blue","Silver","Brown","Green","Blue","Purple","Red","Pink","Yellow","Gold"}), "")</f>
        <v/>
      </c>
      <c r="AN50" s="58" t="str">
        <f>IFERROR(LOOKUP(2, 1/SEARCH({"8GB","16GB","32GB","64GB"}, G50), {"8GB","16GB","32GB","64GB"}), "")</f>
        <v/>
      </c>
      <c r="AO50" s="58" t="str">
        <f>IFERROR(LOOKUP(2, 1/SEARCH({"1TB","2TB","128GB","512GB","256GB"}, G50), {"1TB","2TB","128GB","512GB","256GB"}), "")</f>
        <v/>
      </c>
      <c r="AP50" s="58"/>
      <c r="AQ50" s="58" t="str">
        <f>IFERROR(LOOKUP(2, 1/SEARCH({"16-Inch","15-Inch","15.6-Inch","18-Inch","15.3-Inch","13-Inch","13.4-Inch","13.8-Inch","14-Inch","17-Inch","45-Inch","27-Inch","34-Inch","32-Inch","21.5-Inch"}, G50), {"16-Inch","15-Inch","15.6-Inch","18-Inch","15.3-Inch","13-Inch","13.4-Inch","13.8-Inch","14-Inch","17-Inch","45-Inch","27-Inch","34-Inch","32-Inch","21.5-Inch"}), "")</f>
        <v/>
      </c>
      <c r="AR50" s="58"/>
      <c r="AS50" s="91"/>
      <c r="AT50" s="93"/>
      <c r="AU50" s="93"/>
      <c r="AV50" s="93"/>
      <c r="AW50" s="93"/>
    </row>
    <row r="51" spans="1:49" ht="15" customHeight="1" x14ac:dyDescent="0.25">
      <c r="A51" s="59"/>
      <c r="B51" s="12"/>
      <c r="C51" s="12"/>
      <c r="D51" s="60"/>
      <c r="E51" s="6"/>
      <c r="F51" s="6"/>
      <c r="G51" s="12"/>
      <c r="H51" s="12" t="str" cm="2">
        <f t="array" ref="H51">IFERROR(INDEX(BrandList!$A$2:$A$50,MATCH(TRUE,ISNUMBER(SEARCH(BrandList!$A$2:$A$50,G51)),0)),"")</f>
        <v/>
      </c>
      <c r="I51" s="12" t="str" cm="2">
        <f t="array" ref="I51">IFERROR(INDEX(BrandList!$B$2:$B$200,MATCH(TRUE,ISNUMBER(SEARCH(BrandList!$B$2:$B$200,G51)),0)),"")</f>
        <v/>
      </c>
      <c r="J51" s="12"/>
      <c r="K51" s="12"/>
      <c r="L51" s="60"/>
      <c r="M51" s="60"/>
      <c r="N51" s="60"/>
      <c r="O51" s="60"/>
      <c r="P51" s="7" t="str">
        <f t="shared" si="1"/>
        <v/>
      </c>
      <c r="Q51" s="8">
        <f>IFERROR(VLOOKUP(VALUE(A51),WEEKLY_DATA!$A:$H,2,0),0)</f>
        <v>0</v>
      </c>
      <c r="R51" s="8">
        <f>IFERROR(VLOOKUP(VALUE(A51),WEEKLY_DATA!$A:$H,3,0),0)</f>
        <v>0</v>
      </c>
      <c r="S51" s="8">
        <f>IFERROR(VLOOKUP(VALUE(A51),WEEKLY_DATA!$A:$H,4,0),0)</f>
        <v>0</v>
      </c>
      <c r="T51" s="51">
        <f>IFERROR(VLOOKUP(VALUE(A51),WEEKLY_DATA!$A:$H,5,0),0)</f>
        <v>0</v>
      </c>
      <c r="U51" s="51">
        <f>IFERROR(VLOOKUP(VALUE(A51),WEEKLY_DATA!$A:$H,6,0),0)</f>
        <v>0</v>
      </c>
      <c r="V51" s="51">
        <f>IFERROR(VLOOKUP(VALUE(A51),WEEKLY_DATA!$A:$H,7,0),0)</f>
        <v>0</v>
      </c>
      <c r="W51" s="9" t="str">
        <f>IFERROR(IF(OR(Q51="",Q51=0),"",IF(VLOOKUP(VALUE($A51),WEEKLY_DATA!$A:$H,6,0)=0,"No Sales",Q51/(VLOOKUP(VALUE($A51),WEEKLY_DATA!$A:$H,6,0)/13))),"")</f>
        <v/>
      </c>
      <c r="X51" s="10">
        <f>IFERROR(VLOOKUP(VALUE(A51),WEEKLY_DATA!$A:$H,8,0),0)</f>
        <v>0</v>
      </c>
      <c r="Y51" s="13" t="str">
        <f t="shared" si="0"/>
        <v>—</v>
      </c>
      <c r="Z51" s="11"/>
      <c r="AA51" s="11"/>
      <c r="AB51" s="11"/>
      <c r="AC51" s="11"/>
      <c r="AD51" s="11"/>
      <c r="AE51" s="11"/>
      <c r="AF51" s="61" t="s">
        <v>144</v>
      </c>
      <c r="AG51" s="61"/>
      <c r="AH51" s="62"/>
      <c r="AI51" s="62"/>
      <c r="AJ51" s="61" t="s">
        <v>144</v>
      </c>
      <c r="AK51" s="61" t="s">
        <v>144</v>
      </c>
      <c r="AL51" s="61"/>
      <c r="AM51" s="58" t="str" cm="2">
        <f t="array" ref="AM51">IFERROR(LOOKUP(2, 1/SEARCH({"Black","White","Grey","Blue","Silver","Brown","Green","Blue","Purple","Red","Pink","Yellow","Gold"}, G51), {"Black","White","Grey","Blue","Silver","Brown","Green","Blue","Purple","Red","Pink","Yellow","Gold"}), "")</f>
        <v/>
      </c>
      <c r="AN51" s="58" t="str">
        <f>IFERROR(LOOKUP(2, 1/SEARCH({"8GB","16GB","32GB","64GB"}, G51), {"8GB","16GB","32GB","64GB"}), "")</f>
        <v/>
      </c>
      <c r="AO51" s="58" t="str">
        <f>IFERROR(LOOKUP(2, 1/SEARCH({"1TB","2TB","128GB","512GB","256GB"}, G51), {"1TB","2TB","128GB","512GB","256GB"}), "")</f>
        <v/>
      </c>
      <c r="AP51" s="58"/>
      <c r="AQ51" s="58" t="str">
        <f>IFERROR(LOOKUP(2, 1/SEARCH({"16-Inch","15-Inch","15.6-Inch","18-Inch","15.3-Inch","13-Inch","13.4-Inch","13.8-Inch","14-Inch","17-Inch","45-Inch","27-Inch","34-Inch","32-Inch","21.5-Inch"}, G51), {"16-Inch","15-Inch","15.6-Inch","18-Inch","15.3-Inch","13-Inch","13.4-Inch","13.8-Inch","14-Inch","17-Inch","45-Inch","27-Inch","34-Inch","32-Inch","21.5-Inch"}), "")</f>
        <v/>
      </c>
      <c r="AR51" s="58"/>
      <c r="AS51" s="91"/>
      <c r="AT51" s="93"/>
      <c r="AU51" s="93"/>
      <c r="AV51" s="93"/>
      <c r="AW51" s="93"/>
    </row>
    <row r="52" spans="1:49" ht="15" customHeight="1" x14ac:dyDescent="0.25">
      <c r="A52" s="59"/>
      <c r="B52" s="12"/>
      <c r="C52" s="12"/>
      <c r="D52" s="60"/>
      <c r="E52" s="6"/>
      <c r="F52" s="6"/>
      <c r="G52" s="12"/>
      <c r="H52" s="12" t="str" cm="2">
        <f t="array" ref="H52">IFERROR(INDEX(BrandList!$A$2:$A$50,MATCH(TRUE,ISNUMBER(SEARCH(BrandList!$A$2:$A$50,G52)),0)),"")</f>
        <v/>
      </c>
      <c r="I52" s="12" t="str" cm="2">
        <f t="array" ref="I52">IFERROR(INDEX(BrandList!$B$2:$B$200,MATCH(TRUE,ISNUMBER(SEARCH(BrandList!$B$2:$B$200,G52)),0)),"")</f>
        <v/>
      </c>
      <c r="J52" s="12"/>
      <c r="K52" s="12"/>
      <c r="L52" s="60"/>
      <c r="M52" s="60"/>
      <c r="N52" s="60"/>
      <c r="O52" s="60"/>
      <c r="P52" s="7" t="str">
        <f t="shared" si="1"/>
        <v/>
      </c>
      <c r="Q52" s="8">
        <f>IFERROR(VLOOKUP(VALUE(A52),WEEKLY_DATA!$A:$H,2,0),0)</f>
        <v>0</v>
      </c>
      <c r="R52" s="8">
        <f>IFERROR(VLOOKUP(VALUE(A52),WEEKLY_DATA!$A:$H,3,0),0)</f>
        <v>0</v>
      </c>
      <c r="S52" s="8">
        <f>IFERROR(VLOOKUP(VALUE(A52),WEEKLY_DATA!$A:$H,4,0),0)</f>
        <v>0</v>
      </c>
      <c r="T52" s="51">
        <f>IFERROR(VLOOKUP(VALUE(A52),WEEKLY_DATA!$A:$H,5,0),0)</f>
        <v>0</v>
      </c>
      <c r="U52" s="51">
        <f>IFERROR(VLOOKUP(VALUE(A52),WEEKLY_DATA!$A:$H,6,0),0)</f>
        <v>0</v>
      </c>
      <c r="V52" s="51">
        <f>IFERROR(VLOOKUP(VALUE(A52),WEEKLY_DATA!$A:$H,7,0),0)</f>
        <v>0</v>
      </c>
      <c r="W52" s="9" t="str">
        <f>IFERROR(IF(OR(Q52="",Q52=0),"",IF(VLOOKUP(VALUE($A52),WEEKLY_DATA!$A:$H,6,0)=0,"No Sales",Q52/(VLOOKUP(VALUE($A52),WEEKLY_DATA!$A:$H,6,0)/13))),"")</f>
        <v/>
      </c>
      <c r="X52" s="10">
        <f>IFERROR(VLOOKUP(VALUE(A52),WEEKLY_DATA!$A:$H,8,0),0)</f>
        <v>0</v>
      </c>
      <c r="Y52" s="13" t="str">
        <f t="shared" si="0"/>
        <v>—</v>
      </c>
      <c r="Z52" s="11"/>
      <c r="AA52" s="11"/>
      <c r="AB52" s="11"/>
      <c r="AC52" s="11"/>
      <c r="AD52" s="11"/>
      <c r="AE52" s="11"/>
      <c r="AF52" s="61" t="s">
        <v>144</v>
      </c>
      <c r="AG52" s="61"/>
      <c r="AH52" s="62"/>
      <c r="AI52" s="62"/>
      <c r="AJ52" s="61" t="s">
        <v>144</v>
      </c>
      <c r="AK52" s="61" t="s">
        <v>144</v>
      </c>
      <c r="AL52" s="61"/>
      <c r="AM52" s="58" t="str" cm="2">
        <f t="array" ref="AM52">IFERROR(LOOKUP(2, 1/SEARCH({"Black","White","Grey","Blue","Silver","Brown","Green","Blue","Purple","Red","Pink","Yellow","Gold"}, G52), {"Black","White","Grey","Blue","Silver","Brown","Green","Blue","Purple","Red","Pink","Yellow","Gold"}), "")</f>
        <v/>
      </c>
      <c r="AN52" s="58" t="str">
        <f>IFERROR(LOOKUP(2, 1/SEARCH({"8GB","16GB","32GB","64GB"}, G52), {"8GB","16GB","32GB","64GB"}), "")</f>
        <v/>
      </c>
      <c r="AO52" s="58" t="str">
        <f>IFERROR(LOOKUP(2, 1/SEARCH({"1TB","2TB","128GB","512GB","256GB"}, G52), {"1TB","2TB","128GB","512GB","256GB"}), "")</f>
        <v/>
      </c>
      <c r="AP52" s="58"/>
      <c r="AQ52" s="58" t="str">
        <f>IFERROR(LOOKUP(2, 1/SEARCH({"16-Inch","15-Inch","15.6-Inch","18-Inch","15.3-Inch","13-Inch","13.4-Inch","13.8-Inch","14-Inch","17-Inch","45-Inch","27-Inch","34-Inch","32-Inch","21.5-Inch"}, G52), {"16-Inch","15-Inch","15.6-Inch","18-Inch","15.3-Inch","13-Inch","13.4-Inch","13.8-Inch","14-Inch","17-Inch","45-Inch","27-Inch","34-Inch","32-Inch","21.5-Inch"}), "")</f>
        <v/>
      </c>
      <c r="AR52" s="58"/>
      <c r="AS52" s="91"/>
      <c r="AT52" s="93"/>
      <c r="AU52" s="93"/>
      <c r="AV52" s="93"/>
      <c r="AW52" s="93"/>
    </row>
    <row r="53" spans="1:49" ht="15" customHeight="1" x14ac:dyDescent="0.25">
      <c r="A53" s="59"/>
      <c r="B53" s="12"/>
      <c r="C53" s="12"/>
      <c r="D53" s="60"/>
      <c r="E53" s="6"/>
      <c r="F53" s="6"/>
      <c r="G53" s="12"/>
      <c r="H53" s="12" t="str" cm="2">
        <f t="array" ref="H53">IFERROR(INDEX(BrandList!$A$2:$A$50,MATCH(TRUE,ISNUMBER(SEARCH(BrandList!$A$2:$A$50,G53)),0)),"")</f>
        <v/>
      </c>
      <c r="I53" s="12" t="str" cm="2">
        <f t="array" ref="I53">IFERROR(INDEX(BrandList!$B$2:$B$200,MATCH(TRUE,ISNUMBER(SEARCH(BrandList!$B$2:$B$200,G53)),0)),"")</f>
        <v/>
      </c>
      <c r="J53" s="12"/>
      <c r="K53" s="12"/>
      <c r="L53" s="60"/>
      <c r="M53" s="60"/>
      <c r="N53" s="60"/>
      <c r="O53" s="60"/>
      <c r="P53" s="7" t="str">
        <f t="shared" si="1"/>
        <v/>
      </c>
      <c r="Q53" s="8">
        <f>IFERROR(VLOOKUP(VALUE(A53),WEEKLY_DATA!$A:$H,2,0),0)</f>
        <v>0</v>
      </c>
      <c r="R53" s="8">
        <f>IFERROR(VLOOKUP(VALUE(A53),WEEKLY_DATA!$A:$H,3,0),0)</f>
        <v>0</v>
      </c>
      <c r="S53" s="8">
        <f>IFERROR(VLOOKUP(VALUE(A53),WEEKLY_DATA!$A:$H,4,0),0)</f>
        <v>0</v>
      </c>
      <c r="T53" s="51">
        <f>IFERROR(VLOOKUP(VALUE(A53),WEEKLY_DATA!$A:$H,5,0),0)</f>
        <v>0</v>
      </c>
      <c r="U53" s="51">
        <f>IFERROR(VLOOKUP(VALUE(A53),WEEKLY_DATA!$A:$H,6,0),0)</f>
        <v>0</v>
      </c>
      <c r="V53" s="51">
        <f>IFERROR(VLOOKUP(VALUE(A53),WEEKLY_DATA!$A:$H,7,0),0)</f>
        <v>0</v>
      </c>
      <c r="W53" s="9" t="str">
        <f>IFERROR(IF(OR(Q53="",Q53=0),"",IF(VLOOKUP(VALUE($A53),WEEKLY_DATA!$A:$H,6,0)=0,"No Sales",Q53/(VLOOKUP(VALUE($A53),WEEKLY_DATA!$A:$H,6,0)/13))),"")</f>
        <v/>
      </c>
      <c r="X53" s="10">
        <f>IFERROR(VLOOKUP(VALUE(A53),WEEKLY_DATA!$A:$H,8,0),0)</f>
        <v>0</v>
      </c>
      <c r="Y53" s="13" t="str">
        <f t="shared" si="0"/>
        <v>—</v>
      </c>
      <c r="Z53" s="11"/>
      <c r="AA53" s="11"/>
      <c r="AB53" s="11"/>
      <c r="AC53" s="11"/>
      <c r="AD53" s="11"/>
      <c r="AE53" s="11"/>
      <c r="AF53" s="61" t="s">
        <v>144</v>
      </c>
      <c r="AG53" s="61"/>
      <c r="AH53" s="62"/>
      <c r="AI53" s="62"/>
      <c r="AJ53" s="61" t="s">
        <v>144</v>
      </c>
      <c r="AK53" s="61" t="s">
        <v>144</v>
      </c>
      <c r="AL53" s="61"/>
      <c r="AM53" s="58" t="str" cm="2">
        <f t="array" ref="AM53">IFERROR(LOOKUP(2, 1/SEARCH({"Black","White","Grey","Blue","Silver","Brown","Green","Blue","Purple","Red","Pink","Yellow","Gold"}, G53), {"Black","White","Grey","Blue","Silver","Brown","Green","Blue","Purple","Red","Pink","Yellow","Gold"}), "")</f>
        <v/>
      </c>
      <c r="AN53" s="58" t="str">
        <f>IFERROR(LOOKUP(2, 1/SEARCH({"8GB","16GB","32GB","64GB"}, G53), {"8GB","16GB","32GB","64GB"}), "")</f>
        <v/>
      </c>
      <c r="AO53" s="58" t="str">
        <f>IFERROR(LOOKUP(2, 1/SEARCH({"1TB","2TB","128GB","512GB","256GB"}, G53), {"1TB","2TB","128GB","512GB","256GB"}), "")</f>
        <v/>
      </c>
      <c r="AP53" s="58"/>
      <c r="AQ53" s="58" t="str">
        <f>IFERROR(LOOKUP(2, 1/SEARCH({"16-Inch","15-Inch","15.6-Inch","18-Inch","15.3-Inch","13-Inch","13.4-Inch","13.8-Inch","14-Inch","17-Inch","45-Inch","27-Inch","34-Inch","32-Inch","21.5-Inch"}, G53), {"16-Inch","15-Inch","15.6-Inch","18-Inch","15.3-Inch","13-Inch","13.4-Inch","13.8-Inch","14-Inch","17-Inch","45-Inch","27-Inch","34-Inch","32-Inch","21.5-Inch"}), "")</f>
        <v/>
      </c>
      <c r="AR53" s="58"/>
      <c r="AS53" s="91"/>
      <c r="AT53" s="93"/>
      <c r="AU53" s="93"/>
      <c r="AV53" s="93"/>
      <c r="AW53" s="93"/>
    </row>
    <row r="54" spans="1:49" ht="15" customHeight="1" x14ac:dyDescent="0.25">
      <c r="A54" s="64"/>
      <c r="B54" s="12"/>
      <c r="C54" s="12"/>
      <c r="D54" s="60"/>
      <c r="E54" s="6"/>
      <c r="F54" s="6"/>
      <c r="G54" s="12"/>
      <c r="H54" s="12" t="str" cm="2">
        <f t="array" ref="H54">IFERROR(INDEX(BrandList!$A$2:$A$50,MATCH(TRUE,ISNUMBER(SEARCH(BrandList!$A$2:$A$50,G54)),0)),"")</f>
        <v/>
      </c>
      <c r="I54" s="12" t="str" cm="2">
        <f t="array" ref="I54">IFERROR(INDEX(BrandList!$B$2:$B$200,MATCH(TRUE,ISNUMBER(SEARCH(BrandList!$B$2:$B$200,G54)),0)),"")</f>
        <v/>
      </c>
      <c r="J54" s="12"/>
      <c r="K54" s="12"/>
      <c r="L54" s="60"/>
      <c r="M54" s="60"/>
      <c r="N54" s="60"/>
      <c r="O54" s="60"/>
      <c r="P54" s="7" t="str">
        <f t="shared" si="1"/>
        <v/>
      </c>
      <c r="Q54" s="8">
        <f>IFERROR(VLOOKUP(VALUE(A54),WEEKLY_DATA!$A:$H,2,0),0)</f>
        <v>0</v>
      </c>
      <c r="R54" s="8">
        <f>IFERROR(VLOOKUP(VALUE(A54),WEEKLY_DATA!$A:$H,3,0),0)</f>
        <v>0</v>
      </c>
      <c r="S54" s="8">
        <f>IFERROR(VLOOKUP(VALUE(A54),WEEKLY_DATA!$A:$H,4,0),0)</f>
        <v>0</v>
      </c>
      <c r="T54" s="51">
        <f>IFERROR(VLOOKUP(VALUE(A54),WEEKLY_DATA!$A:$H,5,0),0)</f>
        <v>0</v>
      </c>
      <c r="U54" s="51">
        <f>IFERROR(VLOOKUP(VALUE(A54),WEEKLY_DATA!$A:$H,6,0),0)</f>
        <v>0</v>
      </c>
      <c r="V54" s="51">
        <f>IFERROR(VLOOKUP(VALUE(A54),WEEKLY_DATA!$A:$H,7,0),0)</f>
        <v>0</v>
      </c>
      <c r="W54" s="9" t="str">
        <f>IFERROR(IF(OR(Q54="",Q54=0),"",IF(VLOOKUP(VALUE($A54),WEEKLY_DATA!$A:$H,6,0)=0,"No Sales",Q54/(VLOOKUP(VALUE($A54),WEEKLY_DATA!$A:$H,6,0)/13))),"")</f>
        <v/>
      </c>
      <c r="X54" s="10">
        <f>IFERROR(VLOOKUP(VALUE(A54),WEEKLY_DATA!$A:$H,8,0),0)</f>
        <v>0</v>
      </c>
      <c r="Y54" s="13" t="str">
        <f t="shared" si="0"/>
        <v>—</v>
      </c>
      <c r="Z54" s="11"/>
      <c r="AA54" s="11"/>
      <c r="AB54" s="11"/>
      <c r="AC54" s="11"/>
      <c r="AD54" s="11"/>
      <c r="AE54" s="11"/>
      <c r="AF54" s="61"/>
      <c r="AG54" s="61"/>
      <c r="AH54" s="62"/>
      <c r="AI54" s="62"/>
      <c r="AJ54" s="61"/>
      <c r="AK54" s="61"/>
      <c r="AL54" s="61"/>
      <c r="AM54" s="58" t="str" cm="2">
        <f t="array" ref="AM54">IFERROR(LOOKUP(2, 1/SEARCH({"Black","White","Grey","Blue","Silver","Brown","Green","Blue","Purple","Red","Pink","Yellow","Gold"}, G54), {"Black","White","Grey","Blue","Silver","Brown","Green","Blue","Purple","Red","Pink","Yellow","Gold"}), "")</f>
        <v/>
      </c>
      <c r="AN54" s="58" t="str">
        <f>IFERROR(LOOKUP(2, 1/SEARCH({"8GB","16GB","32GB","64GB"}, G54), {"8GB","16GB","32GB","64GB"}), "")</f>
        <v/>
      </c>
      <c r="AO54" s="58" t="str">
        <f>IFERROR(LOOKUP(2, 1/SEARCH({"1TB","2TB","128GB","512GB","256GB"}, G54), {"1TB","2TB","128GB","512GB","256GB"}), "")</f>
        <v/>
      </c>
      <c r="AP54" s="58"/>
      <c r="AQ54" s="58" t="str">
        <f>IFERROR(LOOKUP(2, 1/SEARCH({"16-Inch","15-Inch","15.6-Inch","18-Inch","15.3-Inch","13-Inch","13.4-Inch","13.8-Inch","14-Inch","17-Inch","45-Inch","27-Inch","34-Inch","32-Inch","21.5-Inch"}, G54), {"16-Inch","15-Inch","15.6-Inch","18-Inch","15.3-Inch","13-Inch","13.4-Inch","13.8-Inch","14-Inch","17-Inch","45-Inch","27-Inch","34-Inch","32-Inch","21.5-Inch"}), "")</f>
        <v/>
      </c>
      <c r="AR54" s="58"/>
      <c r="AS54" s="91"/>
      <c r="AT54" s="93"/>
      <c r="AU54" s="93"/>
      <c r="AV54" s="93"/>
      <c r="AW54" s="93"/>
    </row>
    <row r="55" spans="1:49" ht="15" customHeight="1" x14ac:dyDescent="0.25">
      <c r="A55" s="59"/>
      <c r="B55" s="12"/>
      <c r="C55" s="12"/>
      <c r="D55" s="60"/>
      <c r="E55" s="6"/>
      <c r="F55" s="6"/>
      <c r="G55" s="12"/>
      <c r="H55" s="12" t="str" cm="2">
        <f t="array" ref="H55">IFERROR(INDEX(BrandList!$A$2:$A$50,MATCH(TRUE,ISNUMBER(SEARCH(BrandList!$A$2:$A$50,G55)),0)),"")</f>
        <v/>
      </c>
      <c r="I55" s="12" t="str" cm="2">
        <f t="array" ref="I55">IFERROR(INDEX(BrandList!$B$2:$B$200,MATCH(TRUE,ISNUMBER(SEARCH(BrandList!$B$2:$B$200,G55)),0)),"")</f>
        <v/>
      </c>
      <c r="J55" s="12"/>
      <c r="K55" s="12"/>
      <c r="L55" s="60"/>
      <c r="M55" s="60"/>
      <c r="N55" s="60"/>
      <c r="O55" s="60"/>
      <c r="P55" s="7" t="str">
        <f t="shared" si="1"/>
        <v/>
      </c>
      <c r="Q55" s="8">
        <f>IFERROR(VLOOKUP(VALUE(A55),WEEKLY_DATA!$A:$H,2,0),0)</f>
        <v>0</v>
      </c>
      <c r="R55" s="8">
        <f>IFERROR(VLOOKUP(VALUE(A55),WEEKLY_DATA!$A:$H,3,0),0)</f>
        <v>0</v>
      </c>
      <c r="S55" s="8">
        <f>IFERROR(VLOOKUP(VALUE(A55),WEEKLY_DATA!$A:$H,4,0),0)</f>
        <v>0</v>
      </c>
      <c r="T55" s="51">
        <f>IFERROR(VLOOKUP(VALUE(A55),WEEKLY_DATA!$A:$H,5,0),0)</f>
        <v>0</v>
      </c>
      <c r="U55" s="51">
        <f>IFERROR(VLOOKUP(VALUE(A55),WEEKLY_DATA!$A:$H,6,0),0)</f>
        <v>0</v>
      </c>
      <c r="V55" s="51">
        <f>IFERROR(VLOOKUP(VALUE(A55),WEEKLY_DATA!$A:$H,7,0),0)</f>
        <v>0</v>
      </c>
      <c r="W55" s="9" t="str">
        <f>IFERROR(IF(OR(Q55="",Q55=0),"",IF(VLOOKUP(VALUE($A55),WEEKLY_DATA!$A:$H,6,0)=0,"No Sales",Q55/(VLOOKUP(VALUE($A55),WEEKLY_DATA!$A:$H,6,0)/13))),"")</f>
        <v/>
      </c>
      <c r="X55" s="10">
        <f>IFERROR(VLOOKUP(VALUE(A55),WEEKLY_DATA!$A:$H,8,0),0)</f>
        <v>0</v>
      </c>
      <c r="Y55" s="13" t="str">
        <f t="shared" si="0"/>
        <v>—</v>
      </c>
      <c r="Z55" s="11"/>
      <c r="AA55" s="11"/>
      <c r="AB55" s="11"/>
      <c r="AC55" s="11"/>
      <c r="AD55" s="11"/>
      <c r="AE55" s="11"/>
      <c r="AF55" s="61"/>
      <c r="AG55" s="61"/>
      <c r="AH55" s="62"/>
      <c r="AI55" s="62"/>
      <c r="AJ55" s="61"/>
      <c r="AK55" s="61"/>
      <c r="AL55" s="61"/>
      <c r="AM55" s="58" t="str" cm="2">
        <f t="array" ref="AM55">IFERROR(LOOKUP(2, 1/SEARCH({"Black","White","Grey","Blue","Silver","Brown","Green","Blue","Purple","Red","Pink","Yellow","Gold"}, G55), {"Black","White","Grey","Blue","Silver","Brown","Green","Blue","Purple","Red","Pink","Yellow","Gold"}), "")</f>
        <v/>
      </c>
      <c r="AN55" s="58" t="str">
        <f>IFERROR(LOOKUP(2, 1/SEARCH({"8GB","16GB","32GB","64GB"}, G55), {"8GB","16GB","32GB","64GB"}), "")</f>
        <v/>
      </c>
      <c r="AO55" s="58" t="str">
        <f>IFERROR(LOOKUP(2, 1/SEARCH({"1TB","2TB","128GB","512GB","256GB"}, G55), {"1TB","2TB","128GB","512GB","256GB"}), "")</f>
        <v/>
      </c>
      <c r="AP55" s="58"/>
      <c r="AQ55" s="58" t="str">
        <f>IFERROR(LOOKUP(2, 1/SEARCH({"16-Inch","15-Inch","15.6-Inch","18-Inch","15.3-Inch","13-Inch","13.4-Inch","13.8-Inch","14-Inch","17-Inch","45-Inch","27-Inch","34-Inch","32-Inch","21.5-Inch"}, G55), {"16-Inch","15-Inch","15.6-Inch","18-Inch","15.3-Inch","13-Inch","13.4-Inch","13.8-Inch","14-Inch","17-Inch","45-Inch","27-Inch","34-Inch","32-Inch","21.5-Inch"}), "")</f>
        <v/>
      </c>
      <c r="AR55" s="58"/>
      <c r="AS55" s="91"/>
      <c r="AT55" s="93"/>
      <c r="AU55" s="93"/>
      <c r="AV55" s="93"/>
      <c r="AW55" s="93"/>
    </row>
    <row r="56" spans="1:49" ht="15" customHeight="1" x14ac:dyDescent="0.25">
      <c r="A56" s="59"/>
      <c r="B56" s="12"/>
      <c r="C56" s="12"/>
      <c r="D56" s="60"/>
      <c r="E56" s="6"/>
      <c r="F56" s="6"/>
      <c r="G56" s="12"/>
      <c r="H56" s="12" t="str" cm="2">
        <f t="array" ref="H56">IFERROR(INDEX(BrandList!$A$2:$A$50,MATCH(TRUE,ISNUMBER(SEARCH(BrandList!$A$2:$A$50,G56)),0)),"")</f>
        <v/>
      </c>
      <c r="I56" s="12" t="str" cm="2">
        <f t="array" ref="I56">IFERROR(INDEX(BrandList!$B$2:$B$200,MATCH(TRUE,ISNUMBER(SEARCH(BrandList!$B$2:$B$200,G56)),0)),"")</f>
        <v/>
      </c>
      <c r="J56" s="12"/>
      <c r="K56" s="12"/>
      <c r="L56" s="60"/>
      <c r="M56" s="60"/>
      <c r="N56" s="60"/>
      <c r="O56" s="60"/>
      <c r="P56" s="7" t="str">
        <f t="shared" si="1"/>
        <v/>
      </c>
      <c r="Q56" s="8">
        <f>IFERROR(VLOOKUP(VALUE(A56),WEEKLY_DATA!$A:$H,2,0),0)</f>
        <v>0</v>
      </c>
      <c r="R56" s="8">
        <f>IFERROR(VLOOKUP(VALUE(A56),WEEKLY_DATA!$A:$H,3,0),0)</f>
        <v>0</v>
      </c>
      <c r="S56" s="8">
        <f>IFERROR(VLOOKUP(VALUE(A56),WEEKLY_DATA!$A:$H,4,0),0)</f>
        <v>0</v>
      </c>
      <c r="T56" s="51">
        <f>IFERROR(VLOOKUP(VALUE(A56),WEEKLY_DATA!$A:$H,5,0),0)</f>
        <v>0</v>
      </c>
      <c r="U56" s="51">
        <f>IFERROR(VLOOKUP(VALUE(A56),WEEKLY_DATA!$A:$H,6,0),0)</f>
        <v>0</v>
      </c>
      <c r="V56" s="51">
        <f>IFERROR(VLOOKUP(VALUE(A56),WEEKLY_DATA!$A:$H,7,0),0)</f>
        <v>0</v>
      </c>
      <c r="W56" s="9" t="str">
        <f>IFERROR(IF(OR(Q56="",Q56=0),"",IF(VLOOKUP(VALUE($A56),WEEKLY_DATA!$A:$H,6,0)=0,"No Sales",Q56/(VLOOKUP(VALUE($A56),WEEKLY_DATA!$A:$H,6,0)/13))),"")</f>
        <v/>
      </c>
      <c r="X56" s="10">
        <f>IFERROR(VLOOKUP(VALUE(A56),WEEKLY_DATA!$A:$H,8,0),0)</f>
        <v>0</v>
      </c>
      <c r="Y56" s="13" t="str">
        <f t="shared" si="0"/>
        <v>—</v>
      </c>
      <c r="Z56" s="11"/>
      <c r="AA56" s="11"/>
      <c r="AB56" s="11"/>
      <c r="AC56" s="11"/>
      <c r="AD56" s="11"/>
      <c r="AE56" s="11"/>
      <c r="AF56" s="61" t="s">
        <v>144</v>
      </c>
      <c r="AG56" s="61"/>
      <c r="AH56" s="62"/>
      <c r="AI56" s="62"/>
      <c r="AJ56" s="61" t="s">
        <v>144</v>
      </c>
      <c r="AK56" s="61" t="s">
        <v>144</v>
      </c>
      <c r="AL56" s="61"/>
      <c r="AM56" s="58" t="str" cm="2">
        <f t="array" ref="AM56">IFERROR(LOOKUP(2, 1/SEARCH({"Black","White","Grey","Blue","Silver","Brown","Green","Blue","Purple","Red","Pink","Yellow","Gold"}, G56), {"Black","White","Grey","Blue","Silver","Brown","Green","Blue","Purple","Red","Pink","Yellow","Gold"}), "")</f>
        <v/>
      </c>
      <c r="AN56" s="58" t="str">
        <f>IFERROR(LOOKUP(2, 1/SEARCH({"8GB","16GB","32GB","64GB"}, G56), {"8GB","16GB","32GB","64GB"}), "")</f>
        <v/>
      </c>
      <c r="AO56" s="58" t="str">
        <f>IFERROR(LOOKUP(2, 1/SEARCH({"1TB","2TB","128GB","512GB","256GB"}, G56), {"1TB","2TB","128GB","512GB","256GB"}), "")</f>
        <v/>
      </c>
      <c r="AP56" s="58"/>
      <c r="AQ56" s="58" t="str">
        <f>IFERROR(LOOKUP(2, 1/SEARCH({"16-Inch","15-Inch","15.6-Inch","18-Inch","15.3-Inch","13-Inch","13.4-Inch","13.8-Inch","14-Inch","17-Inch","45-Inch","27-Inch","34-Inch","32-Inch","21.5-Inch"}, G56), {"16-Inch","15-Inch","15.6-Inch","18-Inch","15.3-Inch","13-Inch","13.4-Inch","13.8-Inch","14-Inch","17-Inch","45-Inch","27-Inch","34-Inch","32-Inch","21.5-Inch"}), "")</f>
        <v/>
      </c>
      <c r="AR56" s="58"/>
      <c r="AS56" s="91"/>
      <c r="AT56" s="93"/>
      <c r="AU56" s="93"/>
      <c r="AV56" s="93"/>
      <c r="AW56" s="93"/>
    </row>
    <row r="57" spans="1:49" ht="15" customHeight="1" x14ac:dyDescent="0.25">
      <c r="A57" s="59"/>
      <c r="B57" s="12"/>
      <c r="C57" s="12"/>
      <c r="D57" s="60"/>
      <c r="E57" s="6"/>
      <c r="F57" s="6"/>
      <c r="G57" s="12"/>
      <c r="H57" s="12" t="str" cm="2">
        <f t="array" ref="H57">IFERROR(INDEX(BrandList!$A$2:$A$50,MATCH(TRUE,ISNUMBER(SEARCH(BrandList!$A$2:$A$50,G57)),0)),"")</f>
        <v/>
      </c>
      <c r="I57" s="12" t="str" cm="2">
        <f t="array" ref="I57">IFERROR(INDEX(BrandList!$B$2:$B$200,MATCH(TRUE,ISNUMBER(SEARCH(BrandList!$B$2:$B$200,G57)),0)),"")</f>
        <v/>
      </c>
      <c r="J57" s="12"/>
      <c r="K57" s="12"/>
      <c r="L57" s="60"/>
      <c r="M57" s="60"/>
      <c r="N57" s="60"/>
      <c r="O57" s="60"/>
      <c r="P57" s="7" t="str">
        <f t="shared" si="1"/>
        <v/>
      </c>
      <c r="Q57" s="8">
        <f>IFERROR(VLOOKUP(VALUE(A57),WEEKLY_DATA!$A:$H,2,0),0)</f>
        <v>0</v>
      </c>
      <c r="R57" s="8">
        <f>IFERROR(VLOOKUP(VALUE(A57),WEEKLY_DATA!$A:$H,3,0),0)</f>
        <v>0</v>
      </c>
      <c r="S57" s="8">
        <f>IFERROR(VLOOKUP(VALUE(A57),WEEKLY_DATA!$A:$H,4,0),0)</f>
        <v>0</v>
      </c>
      <c r="T57" s="51">
        <f>IFERROR(VLOOKUP(VALUE(A57),WEEKLY_DATA!$A:$H,5,0),0)</f>
        <v>0</v>
      </c>
      <c r="U57" s="51">
        <f>IFERROR(VLOOKUP(VALUE(A57),WEEKLY_DATA!$A:$H,6,0),0)</f>
        <v>0</v>
      </c>
      <c r="V57" s="51">
        <f>IFERROR(VLOOKUP(VALUE(A57),WEEKLY_DATA!$A:$H,7,0),0)</f>
        <v>0</v>
      </c>
      <c r="W57" s="9" t="str">
        <f>IFERROR(IF(OR(Q57="",Q57=0),"",IF(VLOOKUP(VALUE($A57),WEEKLY_DATA!$A:$H,6,0)=0,"No Sales",Q57/(VLOOKUP(VALUE($A57),WEEKLY_DATA!$A:$H,6,0)/13))),"")</f>
        <v/>
      </c>
      <c r="X57" s="10">
        <f>IFERROR(VLOOKUP(VALUE(A57),WEEKLY_DATA!$A:$H,8,0),0)</f>
        <v>0</v>
      </c>
      <c r="Y57" s="13" t="str">
        <f t="shared" si="0"/>
        <v>—</v>
      </c>
      <c r="Z57" s="11"/>
      <c r="AA57" s="11"/>
      <c r="AB57" s="11"/>
      <c r="AC57" s="11"/>
      <c r="AD57" s="11"/>
      <c r="AE57" s="11"/>
      <c r="AF57" s="61" t="s">
        <v>144</v>
      </c>
      <c r="AG57" s="61"/>
      <c r="AH57" s="62"/>
      <c r="AI57" s="62"/>
      <c r="AJ57" s="61" t="s">
        <v>144</v>
      </c>
      <c r="AK57" s="61" t="s">
        <v>144</v>
      </c>
      <c r="AL57" s="61"/>
      <c r="AM57" s="58" t="str" cm="2">
        <f t="array" ref="AM57">IFERROR(LOOKUP(2, 1/SEARCH({"Black","White","Grey","Blue","Silver","Brown","Green","Blue","Purple","Red","Pink","Yellow","Gold"}, G57), {"Black","White","Grey","Blue","Silver","Brown","Green","Blue","Purple","Red","Pink","Yellow","Gold"}), "")</f>
        <v/>
      </c>
      <c r="AN57" s="58" t="str">
        <f>IFERROR(LOOKUP(2, 1/SEARCH({"8GB","16GB","32GB","64GB"}, G57), {"8GB","16GB","32GB","64GB"}), "")</f>
        <v/>
      </c>
      <c r="AO57" s="58" t="str">
        <f>IFERROR(LOOKUP(2, 1/SEARCH({"1TB","2TB","128GB","512GB","256GB"}, G57), {"1TB","2TB","128GB","512GB","256GB"}), "")</f>
        <v/>
      </c>
      <c r="AP57" s="58"/>
      <c r="AQ57" s="58" t="str">
        <f>IFERROR(LOOKUP(2, 1/SEARCH({"16-Inch","15-Inch","15.6-Inch","18-Inch","15.3-Inch","13-Inch","13.4-Inch","13.8-Inch","14-Inch","17-Inch","45-Inch","27-Inch","34-Inch","32-Inch","21.5-Inch"}, G57), {"16-Inch","15-Inch","15.6-Inch","18-Inch","15.3-Inch","13-Inch","13.4-Inch","13.8-Inch","14-Inch","17-Inch","45-Inch","27-Inch","34-Inch","32-Inch","21.5-Inch"}), "")</f>
        <v/>
      </c>
      <c r="AR57" s="58"/>
      <c r="AS57" s="91"/>
      <c r="AT57" s="93"/>
      <c r="AU57" s="93"/>
      <c r="AV57" s="93"/>
      <c r="AW57" s="93"/>
    </row>
    <row r="58" spans="1:49" ht="15" customHeight="1" x14ac:dyDescent="0.25">
      <c r="A58" s="59"/>
      <c r="B58" s="12"/>
      <c r="C58" s="12"/>
      <c r="D58" s="60"/>
      <c r="E58" s="6"/>
      <c r="F58" s="6"/>
      <c r="G58" s="12"/>
      <c r="H58" s="12" t="str" cm="2">
        <f t="array" ref="H58">IFERROR(INDEX(BrandList!$A$2:$A$50,MATCH(TRUE,ISNUMBER(SEARCH(BrandList!$A$2:$A$50,G58)),0)),"")</f>
        <v/>
      </c>
      <c r="I58" s="12" t="str" cm="2">
        <f t="array" ref="I58">IFERROR(INDEX(BrandList!$B$2:$B$200,MATCH(TRUE,ISNUMBER(SEARCH(BrandList!$B$2:$B$200,G58)),0)),"")</f>
        <v/>
      </c>
      <c r="J58" s="12"/>
      <c r="K58" s="12"/>
      <c r="L58" s="60"/>
      <c r="M58" s="60"/>
      <c r="N58" s="60"/>
      <c r="O58" s="60"/>
      <c r="P58" s="7" t="str">
        <f t="shared" si="1"/>
        <v/>
      </c>
      <c r="Q58" s="8">
        <f>IFERROR(VLOOKUP(VALUE(A58),WEEKLY_DATA!$A:$H,2,0),0)</f>
        <v>0</v>
      </c>
      <c r="R58" s="8">
        <f>IFERROR(VLOOKUP(VALUE(A58),WEEKLY_DATA!$A:$H,3,0),0)</f>
        <v>0</v>
      </c>
      <c r="S58" s="8">
        <f>IFERROR(VLOOKUP(VALUE(A58),WEEKLY_DATA!$A:$H,4,0),0)</f>
        <v>0</v>
      </c>
      <c r="T58" s="51">
        <f>IFERROR(VLOOKUP(VALUE(A58),WEEKLY_DATA!$A:$H,5,0),0)</f>
        <v>0</v>
      </c>
      <c r="U58" s="51">
        <f>IFERROR(VLOOKUP(VALUE(A58),WEEKLY_DATA!$A:$H,6,0),0)</f>
        <v>0</v>
      </c>
      <c r="V58" s="51">
        <f>IFERROR(VLOOKUP(VALUE(A58),WEEKLY_DATA!$A:$H,7,0),0)</f>
        <v>0</v>
      </c>
      <c r="W58" s="9" t="str">
        <f>IFERROR(IF(OR(Q58="",Q58=0),"",IF(VLOOKUP(VALUE($A58),WEEKLY_DATA!$A:$H,6,0)=0,"No Sales",Q58/(VLOOKUP(VALUE($A58),WEEKLY_DATA!$A:$H,6,0)/13))),"")</f>
        <v/>
      </c>
      <c r="X58" s="10">
        <f>IFERROR(VLOOKUP(VALUE(A58),WEEKLY_DATA!$A:$H,8,0),0)</f>
        <v>0</v>
      </c>
      <c r="Y58" s="13" t="str">
        <f t="shared" si="0"/>
        <v>—</v>
      </c>
      <c r="Z58" s="11"/>
      <c r="AA58" s="11"/>
      <c r="AB58" s="11"/>
      <c r="AC58" s="11"/>
      <c r="AD58" s="11"/>
      <c r="AE58" s="11"/>
      <c r="AF58" s="61" t="s">
        <v>144</v>
      </c>
      <c r="AG58" s="61"/>
      <c r="AH58" s="62"/>
      <c r="AI58" s="62"/>
      <c r="AJ58" s="61" t="s">
        <v>144</v>
      </c>
      <c r="AK58" s="61" t="s">
        <v>144</v>
      </c>
      <c r="AL58" s="61"/>
      <c r="AM58" s="58" t="str" cm="2">
        <f t="array" ref="AM58">IFERROR(LOOKUP(2, 1/SEARCH({"Black","White","Grey","Blue","Silver","Brown","Green","Blue","Purple","Red","Pink","Yellow","Gold"}, G58), {"Black","White","Grey","Blue","Silver","Brown","Green","Blue","Purple","Red","Pink","Yellow","Gold"}), "")</f>
        <v/>
      </c>
      <c r="AN58" s="58" t="str">
        <f>IFERROR(LOOKUP(2, 1/SEARCH({"8GB","16GB","32GB","64GB"}, G58), {"8GB","16GB","32GB","64GB"}), "")</f>
        <v/>
      </c>
      <c r="AO58" s="58" t="str">
        <f>IFERROR(LOOKUP(2, 1/SEARCH({"1TB","2TB","128GB","512GB","256GB"}, G58), {"1TB","2TB","128GB","512GB","256GB"}), "")</f>
        <v/>
      </c>
      <c r="AP58" s="58"/>
      <c r="AQ58" s="58" t="str">
        <f>IFERROR(LOOKUP(2, 1/SEARCH({"16-Inch","15-Inch","15.6-Inch","18-Inch","15.3-Inch","13-Inch","13.4-Inch","13.8-Inch","14-Inch","17-Inch","45-Inch","27-Inch","34-Inch","32-Inch","21.5-Inch"}, G58), {"16-Inch","15-Inch","15.6-Inch","18-Inch","15.3-Inch","13-Inch","13.4-Inch","13.8-Inch","14-Inch","17-Inch","45-Inch","27-Inch","34-Inch","32-Inch","21.5-Inch"}), "")</f>
        <v/>
      </c>
      <c r="AR58" s="58"/>
      <c r="AS58" s="91"/>
      <c r="AT58" s="93"/>
      <c r="AU58" s="93"/>
      <c r="AV58" s="93"/>
      <c r="AW58" s="93"/>
    </row>
    <row r="59" spans="1:49" ht="15" customHeight="1" x14ac:dyDescent="0.25">
      <c r="A59" s="59"/>
      <c r="B59" s="12"/>
      <c r="C59" s="12"/>
      <c r="D59" s="60"/>
      <c r="E59" s="6"/>
      <c r="F59" s="6"/>
      <c r="G59" s="12"/>
      <c r="H59" s="12" t="str" cm="2">
        <f t="array" ref="H59">IFERROR(INDEX(BrandList!$A$2:$A$50,MATCH(TRUE,ISNUMBER(SEARCH(BrandList!$A$2:$A$50,G59)),0)),"")</f>
        <v/>
      </c>
      <c r="I59" s="12" t="str" cm="2">
        <f t="array" ref="I59">IFERROR(INDEX(BrandList!$B$2:$B$200,MATCH(TRUE,ISNUMBER(SEARCH(BrandList!$B$2:$B$200,G59)),0)),"")</f>
        <v/>
      </c>
      <c r="J59" s="12"/>
      <c r="K59" s="59"/>
      <c r="L59" s="86"/>
      <c r="M59" s="86"/>
      <c r="N59" s="86"/>
      <c r="O59" s="86"/>
      <c r="P59" s="7" t="str">
        <f t="shared" si="1"/>
        <v/>
      </c>
      <c r="Q59" s="8">
        <f>IFERROR(VLOOKUP(VALUE(A59),WEEKLY_DATA!$A:$H,2,0),0)</f>
        <v>0</v>
      </c>
      <c r="R59" s="8">
        <f>IFERROR(VLOOKUP(VALUE(A59),WEEKLY_DATA!$A:$H,3,0),0)</f>
        <v>0</v>
      </c>
      <c r="S59" s="8">
        <f>IFERROR(VLOOKUP(VALUE(A59),WEEKLY_DATA!$A:$H,4,0),0)</f>
        <v>0</v>
      </c>
      <c r="T59" s="51">
        <f>IFERROR(VLOOKUP(VALUE(A59),WEEKLY_DATA!$A:$H,5,0),0)</f>
        <v>0</v>
      </c>
      <c r="U59" s="51">
        <f>IFERROR(VLOOKUP(VALUE(A59),WEEKLY_DATA!$A:$H,6,0),0)</f>
        <v>0</v>
      </c>
      <c r="V59" s="51">
        <f>IFERROR(VLOOKUP(VALUE(A59),WEEKLY_DATA!$A:$H,7,0),0)</f>
        <v>0</v>
      </c>
      <c r="W59" s="9" t="str">
        <f>IFERROR(IF(OR(Q59="",Q59=0),"",IF(VLOOKUP(VALUE($A59),WEEKLY_DATA!$A:$H,6,0)=0,"No Sales",Q59/(VLOOKUP(VALUE($A59),WEEKLY_DATA!$A:$H,6,0)/13))),"")</f>
        <v/>
      </c>
      <c r="X59" s="10">
        <f>IFERROR(VLOOKUP(VALUE(A59),WEEKLY_DATA!$A:$H,8,0),0)</f>
        <v>0</v>
      </c>
      <c r="Y59" s="13" t="str">
        <f t="shared" si="0"/>
        <v>—</v>
      </c>
      <c r="Z59" s="11"/>
      <c r="AA59" s="11"/>
      <c r="AB59" s="11"/>
      <c r="AC59" s="11"/>
      <c r="AD59" s="11"/>
      <c r="AE59" s="11"/>
      <c r="AF59" s="61" t="s">
        <v>144</v>
      </c>
      <c r="AG59" s="61"/>
      <c r="AH59" s="62"/>
      <c r="AI59" s="62"/>
      <c r="AJ59" s="61" t="s">
        <v>144</v>
      </c>
      <c r="AK59" s="61" t="s">
        <v>144</v>
      </c>
      <c r="AL59" s="61"/>
      <c r="AM59" s="58" t="str" cm="2">
        <f t="array" ref="AM59">IFERROR(LOOKUP(2, 1/SEARCH({"Black","White","Grey","Blue","Silver","Brown","Green","Blue","Purple","Red","Pink","Yellow","Gold"}, G59), {"Black","White","Grey","Blue","Silver","Brown","Green","Blue","Purple","Red","Pink","Yellow","Gold"}), "")</f>
        <v/>
      </c>
      <c r="AN59" s="58" t="str">
        <f>IFERROR(LOOKUP(2, 1/SEARCH({"8GB","16GB","32GB","64GB"}, G59), {"8GB","16GB","32GB","64GB"}), "")</f>
        <v/>
      </c>
      <c r="AO59" s="58" t="str">
        <f>IFERROR(LOOKUP(2, 1/SEARCH({"1TB","2TB","128GB","512GB","256GB"}, G59), {"1TB","2TB","128GB","512GB","256GB"}), "")</f>
        <v/>
      </c>
      <c r="AP59" s="58"/>
      <c r="AQ59" s="58" t="str">
        <f>IFERROR(LOOKUP(2, 1/SEARCH({"16-Inch","15-Inch","15.6-Inch","18-Inch","15.3-Inch","13-Inch","13.4-Inch","13.8-Inch","14-Inch","17-Inch","45-Inch","27-Inch","34-Inch","32-Inch","21.5-Inch"}, G59), {"16-Inch","15-Inch","15.6-Inch","18-Inch","15.3-Inch","13-Inch","13.4-Inch","13.8-Inch","14-Inch","17-Inch","45-Inch","27-Inch","34-Inch","32-Inch","21.5-Inch"}), "")</f>
        <v/>
      </c>
      <c r="AR59" s="58"/>
      <c r="AS59" s="91"/>
      <c r="AT59" s="93"/>
      <c r="AU59" s="93"/>
      <c r="AV59" s="93"/>
      <c r="AW59" s="93"/>
    </row>
    <row r="60" spans="1:49" ht="15" customHeight="1" x14ac:dyDescent="0.25">
      <c r="A60" s="59"/>
      <c r="B60" s="12"/>
      <c r="C60" s="12"/>
      <c r="D60" s="60"/>
      <c r="E60" s="6"/>
      <c r="F60" s="6"/>
      <c r="G60" s="12"/>
      <c r="H60" s="12" t="str" cm="2">
        <f t="array" ref="H60">IFERROR(INDEX(BrandList!$A$2:$A$50,MATCH(TRUE,ISNUMBER(SEARCH(BrandList!$A$2:$A$50,G60)),0)),"")</f>
        <v/>
      </c>
      <c r="I60" s="12" t="str" cm="2">
        <f t="array" ref="I60">IFERROR(INDEX(BrandList!$B$2:$B$200,MATCH(TRUE,ISNUMBER(SEARCH(BrandList!$B$2:$B$200,G60)),0)),"")</f>
        <v/>
      </c>
      <c r="J60" s="12"/>
      <c r="K60" s="12"/>
      <c r="L60" s="60"/>
      <c r="M60" s="60"/>
      <c r="N60" s="60"/>
      <c r="O60" s="60"/>
      <c r="P60" s="7" t="str">
        <f t="shared" si="1"/>
        <v/>
      </c>
      <c r="Q60" s="8">
        <f>IFERROR(VLOOKUP(VALUE(A60),WEEKLY_DATA!$A:$H,2,0),0)</f>
        <v>0</v>
      </c>
      <c r="R60" s="8">
        <f>IFERROR(VLOOKUP(VALUE(A60),WEEKLY_DATA!$A:$H,3,0),0)</f>
        <v>0</v>
      </c>
      <c r="S60" s="8">
        <f>IFERROR(VLOOKUP(VALUE(A60),WEEKLY_DATA!$A:$H,4,0),0)</f>
        <v>0</v>
      </c>
      <c r="T60" s="51">
        <f>IFERROR(VLOOKUP(VALUE(A60),WEEKLY_DATA!$A:$H,5,0),0)</f>
        <v>0</v>
      </c>
      <c r="U60" s="51">
        <f>IFERROR(VLOOKUP(VALUE(A60),WEEKLY_DATA!$A:$H,6,0),0)</f>
        <v>0</v>
      </c>
      <c r="V60" s="51">
        <f>IFERROR(VLOOKUP(VALUE(A60),WEEKLY_DATA!$A:$H,7,0),0)</f>
        <v>0</v>
      </c>
      <c r="W60" s="9" t="str">
        <f>IFERROR(IF(OR(Q60="",Q60=0),"",IF(VLOOKUP(VALUE($A60),WEEKLY_DATA!$A:$H,6,0)=0,"No Sales",Q60/(VLOOKUP(VALUE($A60),WEEKLY_DATA!$A:$H,6,0)/13))),"")</f>
        <v/>
      </c>
      <c r="X60" s="10">
        <f>IFERROR(VLOOKUP(VALUE(A60),WEEKLY_DATA!$A:$H,8,0),0)</f>
        <v>0</v>
      </c>
      <c r="Y60" s="13" t="str">
        <f t="shared" si="0"/>
        <v>—</v>
      </c>
      <c r="Z60" s="11"/>
      <c r="AA60" s="11"/>
      <c r="AB60" s="11"/>
      <c r="AC60" s="11"/>
      <c r="AD60" s="11"/>
      <c r="AE60" s="11"/>
      <c r="AF60" s="61" t="s">
        <v>144</v>
      </c>
      <c r="AG60" s="61"/>
      <c r="AH60" s="62"/>
      <c r="AI60" s="62"/>
      <c r="AJ60" s="61" t="s">
        <v>144</v>
      </c>
      <c r="AK60" s="61" t="s">
        <v>144</v>
      </c>
      <c r="AL60" s="61"/>
      <c r="AM60" s="58" t="str" cm="2">
        <f t="array" ref="AM60">IFERROR(LOOKUP(2, 1/SEARCH({"Black","White","Grey","Blue","Silver","Brown","Green","Blue","Purple","Red","Pink","Yellow","Gold"}, G60), {"Black","White","Grey","Blue","Silver","Brown","Green","Blue","Purple","Red","Pink","Yellow","Gold"}), "")</f>
        <v/>
      </c>
      <c r="AN60" s="58" t="str">
        <f>IFERROR(LOOKUP(2, 1/SEARCH({"8GB","16GB","32GB","64GB"}, G60), {"8GB","16GB","32GB","64GB"}), "")</f>
        <v/>
      </c>
      <c r="AO60" s="58" t="str">
        <f>IFERROR(LOOKUP(2, 1/SEARCH({"1TB","2TB","128GB","512GB","256GB"}, G60), {"1TB","2TB","128GB","512GB","256GB"}), "")</f>
        <v/>
      </c>
      <c r="AP60" s="58"/>
      <c r="AQ60" s="58" t="str">
        <f>IFERROR(LOOKUP(2, 1/SEARCH({"16-Inch","15-Inch","15.6-Inch","18-Inch","15.3-Inch","13-Inch","13.4-Inch","13.8-Inch","14-Inch","17-Inch","45-Inch","27-Inch","34-Inch","32-Inch","21.5-Inch"}, G60), {"16-Inch","15-Inch","15.6-Inch","18-Inch","15.3-Inch","13-Inch","13.4-Inch","13.8-Inch","14-Inch","17-Inch","45-Inch","27-Inch","34-Inch","32-Inch","21.5-Inch"}), "")</f>
        <v/>
      </c>
      <c r="AR60" s="58"/>
      <c r="AS60" s="91"/>
      <c r="AT60" s="93"/>
      <c r="AU60" s="93"/>
      <c r="AV60" s="93"/>
      <c r="AW60" s="93"/>
    </row>
    <row r="61" spans="1:49" ht="15" customHeight="1" x14ac:dyDescent="0.25">
      <c r="A61" s="59"/>
      <c r="B61" s="12"/>
      <c r="C61" s="12"/>
      <c r="D61" s="60"/>
      <c r="E61" s="6"/>
      <c r="F61" s="6"/>
      <c r="G61" s="12"/>
      <c r="H61" s="12" t="str" cm="2">
        <f t="array" ref="H61">IFERROR(INDEX(BrandList!$A$2:$A$50,MATCH(TRUE,ISNUMBER(SEARCH(BrandList!$A$2:$A$50,G61)),0)),"")</f>
        <v/>
      </c>
      <c r="I61" s="12" t="str" cm="2">
        <f t="array" ref="I61">IFERROR(INDEX(BrandList!$B$2:$B$200,MATCH(TRUE,ISNUMBER(SEARCH(BrandList!$B$2:$B$200,G61)),0)),"")</f>
        <v/>
      </c>
      <c r="J61" s="12"/>
      <c r="K61" s="12"/>
      <c r="L61" s="60"/>
      <c r="M61" s="60"/>
      <c r="N61" s="60"/>
      <c r="O61" s="60"/>
      <c r="P61" s="7" t="str">
        <f t="shared" si="1"/>
        <v/>
      </c>
      <c r="Q61" s="8">
        <f>IFERROR(VLOOKUP(VALUE(A61),WEEKLY_DATA!$A:$H,2,0),0)</f>
        <v>0</v>
      </c>
      <c r="R61" s="8">
        <f>IFERROR(VLOOKUP(VALUE(A61),WEEKLY_DATA!$A:$H,3,0),0)</f>
        <v>0</v>
      </c>
      <c r="S61" s="8">
        <f>IFERROR(VLOOKUP(VALUE(A61),WEEKLY_DATA!$A:$H,4,0),0)</f>
        <v>0</v>
      </c>
      <c r="T61" s="51">
        <f>IFERROR(VLOOKUP(VALUE(A61),WEEKLY_DATA!$A:$H,5,0),0)</f>
        <v>0</v>
      </c>
      <c r="U61" s="51">
        <f>IFERROR(VLOOKUP(VALUE(A61),WEEKLY_DATA!$A:$H,6,0),0)</f>
        <v>0</v>
      </c>
      <c r="V61" s="51">
        <f>IFERROR(VLOOKUP(VALUE(A61),WEEKLY_DATA!$A:$H,7,0),0)</f>
        <v>0</v>
      </c>
      <c r="W61" s="9" t="str">
        <f>IFERROR(IF(OR(Q61="",Q61=0),"",IF(VLOOKUP(VALUE($A61),WEEKLY_DATA!$A:$H,6,0)=0,"No Sales",Q61/(VLOOKUP(VALUE($A61),WEEKLY_DATA!$A:$H,6,0)/13))),"")</f>
        <v/>
      </c>
      <c r="X61" s="10">
        <f>IFERROR(VLOOKUP(VALUE(A61),WEEKLY_DATA!$A:$H,8,0),0)</f>
        <v>0</v>
      </c>
      <c r="Y61" s="13" t="str">
        <f t="shared" si="0"/>
        <v>—</v>
      </c>
      <c r="Z61" s="11"/>
      <c r="AA61" s="11"/>
      <c r="AB61" s="11"/>
      <c r="AC61" s="11"/>
      <c r="AD61" s="11"/>
      <c r="AE61" s="11"/>
      <c r="AF61" s="61" t="s">
        <v>144</v>
      </c>
      <c r="AG61" s="61"/>
      <c r="AH61" s="62"/>
      <c r="AI61" s="62"/>
      <c r="AJ61" s="61" t="s">
        <v>144</v>
      </c>
      <c r="AK61" s="61" t="s">
        <v>144</v>
      </c>
      <c r="AL61" s="61"/>
      <c r="AM61" s="58" t="str" cm="2">
        <f t="array" ref="AM61">IFERROR(LOOKUP(2, 1/SEARCH({"Black","White","Grey","Blue","Silver","Brown","Green","Blue","Purple","Red","Pink","Yellow","Gold"}, G61), {"Black","White","Grey","Blue","Silver","Brown","Green","Blue","Purple","Red","Pink","Yellow","Gold"}), "")</f>
        <v/>
      </c>
      <c r="AN61" s="58" t="str">
        <f>IFERROR(LOOKUP(2, 1/SEARCH({"8GB","16GB","32GB","64GB"}, G61), {"8GB","16GB","32GB","64GB"}), "")</f>
        <v/>
      </c>
      <c r="AO61" s="58" t="str">
        <f>IFERROR(LOOKUP(2, 1/SEARCH({"1TB","2TB","128GB","512GB","256GB"}, G61), {"1TB","2TB","128GB","512GB","256GB"}), "")</f>
        <v/>
      </c>
      <c r="AP61" s="58"/>
      <c r="AQ61" s="58" t="str">
        <f>IFERROR(LOOKUP(2, 1/SEARCH({"16-Inch","15-Inch","15.6-Inch","18-Inch","15.3-Inch","13-Inch","13.4-Inch","13.8-Inch","14-Inch","17-Inch","45-Inch","27-Inch","34-Inch","32-Inch","21.5-Inch"}, G61), {"16-Inch","15-Inch","15.6-Inch","18-Inch","15.3-Inch","13-Inch","13.4-Inch","13.8-Inch","14-Inch","17-Inch","45-Inch","27-Inch","34-Inch","32-Inch","21.5-Inch"}), "")</f>
        <v/>
      </c>
      <c r="AR61" s="58"/>
      <c r="AS61" s="91"/>
      <c r="AT61" s="93"/>
      <c r="AU61" s="93"/>
      <c r="AV61" s="93"/>
      <c r="AW61" s="93"/>
    </row>
    <row r="62" spans="1:49" ht="15" customHeight="1" x14ac:dyDescent="0.25">
      <c r="A62" s="59"/>
      <c r="B62" s="12"/>
      <c r="C62" s="12"/>
      <c r="D62" s="60"/>
      <c r="E62" s="6"/>
      <c r="F62" s="6"/>
      <c r="G62" s="12"/>
      <c r="H62" s="12" t="str" cm="2">
        <f t="array" ref="H62">IFERROR(INDEX(BrandList!$A$2:$A$50,MATCH(TRUE,ISNUMBER(SEARCH(BrandList!$A$2:$A$50,G62)),0)),"")</f>
        <v/>
      </c>
      <c r="I62" s="12" t="str" cm="2">
        <f t="array" ref="I62">IFERROR(INDEX(BrandList!$B$2:$B$200,MATCH(TRUE,ISNUMBER(SEARCH(BrandList!$B$2:$B$200,G62)),0)),"")</f>
        <v/>
      </c>
      <c r="J62" s="12"/>
      <c r="K62" s="12"/>
      <c r="L62" s="60"/>
      <c r="M62" s="60"/>
      <c r="N62" s="60"/>
      <c r="O62" s="60"/>
      <c r="P62" s="7" t="str">
        <f t="shared" si="1"/>
        <v/>
      </c>
      <c r="Q62" s="8">
        <f>IFERROR(VLOOKUP(VALUE(A62),WEEKLY_DATA!$A:$H,2,0),0)</f>
        <v>0</v>
      </c>
      <c r="R62" s="8">
        <f>IFERROR(VLOOKUP(VALUE(A62),WEEKLY_DATA!$A:$H,3,0),0)</f>
        <v>0</v>
      </c>
      <c r="S62" s="8">
        <f>IFERROR(VLOOKUP(VALUE(A62),WEEKLY_DATA!$A:$H,4,0),0)</f>
        <v>0</v>
      </c>
      <c r="T62" s="51">
        <f>IFERROR(VLOOKUP(VALUE(A62),WEEKLY_DATA!$A:$H,5,0),0)</f>
        <v>0</v>
      </c>
      <c r="U62" s="51">
        <f>IFERROR(VLOOKUP(VALUE(A62),WEEKLY_DATA!$A:$H,6,0),0)</f>
        <v>0</v>
      </c>
      <c r="V62" s="51">
        <f>IFERROR(VLOOKUP(VALUE(A62),WEEKLY_DATA!$A:$H,7,0),0)</f>
        <v>0</v>
      </c>
      <c r="W62" s="9" t="str">
        <f>IFERROR(IF(OR(Q62="",Q62=0),"",IF(VLOOKUP(VALUE($A62),WEEKLY_DATA!$A:$H,6,0)=0,"No Sales",Q62/(VLOOKUP(VALUE($A62),WEEKLY_DATA!$A:$H,6,0)/13))),"")</f>
        <v/>
      </c>
      <c r="X62" s="10">
        <f>IFERROR(VLOOKUP(VALUE(A62),WEEKLY_DATA!$A:$H,8,0),0)</f>
        <v>0</v>
      </c>
      <c r="Y62" s="13" t="str">
        <f t="shared" si="0"/>
        <v>—</v>
      </c>
      <c r="Z62" s="11"/>
      <c r="AA62" s="11"/>
      <c r="AB62" s="11"/>
      <c r="AC62" s="11"/>
      <c r="AD62" s="11"/>
      <c r="AE62" s="11"/>
      <c r="AF62" s="61" t="s">
        <v>144</v>
      </c>
      <c r="AG62" s="61"/>
      <c r="AH62" s="62"/>
      <c r="AI62" s="62"/>
      <c r="AJ62" s="61" t="s">
        <v>144</v>
      </c>
      <c r="AK62" s="61" t="s">
        <v>144</v>
      </c>
      <c r="AL62" s="61"/>
      <c r="AM62" s="58" t="str" cm="2">
        <f t="array" ref="AM62">IFERROR(LOOKUP(2, 1/SEARCH({"Black","White","Grey","Blue","Silver","Brown","Green","Blue","Purple","Red","Pink","Yellow","Gold"}, G62), {"Black","White","Grey","Blue","Silver","Brown","Green","Blue","Purple","Red","Pink","Yellow","Gold"}), "")</f>
        <v/>
      </c>
      <c r="AN62" s="58" t="str">
        <f>IFERROR(LOOKUP(2, 1/SEARCH({"8GB","16GB","32GB","64GB"}, G62), {"8GB","16GB","32GB","64GB"}), "")</f>
        <v/>
      </c>
      <c r="AO62" s="58" t="str">
        <f>IFERROR(LOOKUP(2, 1/SEARCH({"1TB","2TB","128GB","512GB","256GB"}, G62), {"1TB","2TB","128GB","512GB","256GB"}), "")</f>
        <v/>
      </c>
      <c r="AP62" s="58"/>
      <c r="AQ62" s="58" t="str">
        <f>IFERROR(LOOKUP(2, 1/SEARCH({"16-Inch","15-Inch","15.6-Inch","18-Inch","15.3-Inch","13-Inch","13.4-Inch","13.8-Inch","14-Inch","17-Inch","45-Inch","27-Inch","34-Inch","32-Inch","21.5-Inch"}, G62), {"16-Inch","15-Inch","15.6-Inch","18-Inch","15.3-Inch","13-Inch","13.4-Inch","13.8-Inch","14-Inch","17-Inch","45-Inch","27-Inch","34-Inch","32-Inch","21.5-Inch"}), "")</f>
        <v/>
      </c>
      <c r="AR62" s="58"/>
      <c r="AS62" s="91"/>
      <c r="AT62" s="93"/>
      <c r="AU62" s="93"/>
      <c r="AV62" s="93"/>
      <c r="AW62" s="93"/>
    </row>
    <row r="63" spans="1:49" ht="15" customHeight="1" x14ac:dyDescent="0.25">
      <c r="A63" s="59"/>
      <c r="B63" s="12"/>
      <c r="C63" s="12"/>
      <c r="D63" s="60"/>
      <c r="E63" s="6"/>
      <c r="F63" s="6"/>
      <c r="G63" s="12"/>
      <c r="H63" s="12" t="str" cm="2">
        <f t="array" ref="H63">IFERROR(INDEX(BrandList!$A$2:$A$50,MATCH(TRUE,ISNUMBER(SEARCH(BrandList!$A$2:$A$50,G63)),0)),"")</f>
        <v/>
      </c>
      <c r="I63" s="12" t="str" cm="2">
        <f t="array" ref="I63">IFERROR(INDEX(BrandList!$B$2:$B$200,MATCH(TRUE,ISNUMBER(SEARCH(BrandList!$B$2:$B$200,G63)),0)),"")</f>
        <v/>
      </c>
      <c r="J63" s="12"/>
      <c r="K63" s="12"/>
      <c r="L63" s="60"/>
      <c r="M63" s="60"/>
      <c r="N63" s="60"/>
      <c r="O63" s="60"/>
      <c r="P63" s="7" t="str">
        <f t="shared" si="1"/>
        <v/>
      </c>
      <c r="Q63" s="8">
        <f>IFERROR(VLOOKUP(VALUE(A63),WEEKLY_DATA!$A:$H,2,0),0)</f>
        <v>0</v>
      </c>
      <c r="R63" s="8">
        <f>IFERROR(VLOOKUP(VALUE(A63),WEEKLY_DATA!$A:$H,3,0),0)</f>
        <v>0</v>
      </c>
      <c r="S63" s="8">
        <f>IFERROR(VLOOKUP(VALUE(A63),WEEKLY_DATA!$A:$H,4,0),0)</f>
        <v>0</v>
      </c>
      <c r="T63" s="51">
        <f>IFERROR(VLOOKUP(VALUE(A63),WEEKLY_DATA!$A:$H,5,0),0)</f>
        <v>0</v>
      </c>
      <c r="U63" s="51">
        <f>IFERROR(VLOOKUP(VALUE(A63),WEEKLY_DATA!$A:$H,6,0),0)</f>
        <v>0</v>
      </c>
      <c r="V63" s="51">
        <f>IFERROR(VLOOKUP(VALUE(A63),WEEKLY_DATA!$A:$H,7,0),0)</f>
        <v>0</v>
      </c>
      <c r="W63" s="9" t="str">
        <f>IFERROR(IF(OR(Q63="",Q63=0),"",IF(VLOOKUP(VALUE($A63),WEEKLY_DATA!$A:$H,6,0)=0,"No Sales",Q63/(VLOOKUP(VALUE($A63),WEEKLY_DATA!$A:$H,6,0)/13))),"")</f>
        <v/>
      </c>
      <c r="X63" s="10">
        <f>IFERROR(VLOOKUP(VALUE(A63),WEEKLY_DATA!$A:$H,8,0),0)</f>
        <v>0</v>
      </c>
      <c r="Y63" s="13" t="str">
        <f t="shared" si="0"/>
        <v>—</v>
      </c>
      <c r="Z63" s="11"/>
      <c r="AA63" s="11"/>
      <c r="AB63" s="11"/>
      <c r="AC63" s="11"/>
      <c r="AD63" s="11"/>
      <c r="AE63" s="11"/>
      <c r="AF63" s="61" t="s">
        <v>144</v>
      </c>
      <c r="AG63" s="61"/>
      <c r="AH63" s="62"/>
      <c r="AI63" s="62"/>
      <c r="AJ63" s="61" t="s">
        <v>144</v>
      </c>
      <c r="AK63" s="61" t="s">
        <v>144</v>
      </c>
      <c r="AL63" s="61"/>
      <c r="AM63" s="58" t="str" cm="2">
        <f t="array" ref="AM63">IFERROR(LOOKUP(2, 1/SEARCH({"Black","White","Grey","Blue","Silver","Brown","Green","Blue","Purple","Red","Pink","Yellow","Gold"}, G63), {"Black","White","Grey","Blue","Silver","Brown","Green","Blue","Purple","Red","Pink","Yellow","Gold"}), "")</f>
        <v/>
      </c>
      <c r="AN63" s="58" t="str">
        <f>IFERROR(LOOKUP(2, 1/SEARCH({"8GB","16GB","32GB","64GB"}, G63), {"8GB","16GB","32GB","64GB"}), "")</f>
        <v/>
      </c>
      <c r="AO63" s="58" t="str">
        <f>IFERROR(LOOKUP(2, 1/SEARCH({"1TB","2TB","128GB","512GB","256GB"}, G63), {"1TB","2TB","128GB","512GB","256GB"}), "")</f>
        <v/>
      </c>
      <c r="AP63" s="58"/>
      <c r="AQ63" s="58" t="str">
        <f>IFERROR(LOOKUP(2, 1/SEARCH({"16-Inch","15-Inch","15.6-Inch","18-Inch","15.3-Inch","13-Inch","13.4-Inch","13.8-Inch","14-Inch","17-Inch","45-Inch","27-Inch","34-Inch","32-Inch","21.5-Inch"}, G63), {"16-Inch","15-Inch","15.6-Inch","18-Inch","15.3-Inch","13-Inch","13.4-Inch","13.8-Inch","14-Inch","17-Inch","45-Inch","27-Inch","34-Inch","32-Inch","21.5-Inch"}), "")</f>
        <v/>
      </c>
      <c r="AR63" s="58"/>
      <c r="AS63" s="91"/>
      <c r="AT63" s="93"/>
      <c r="AU63" s="93"/>
      <c r="AV63" s="93"/>
      <c r="AW63" s="93"/>
    </row>
    <row r="64" spans="1:49" ht="15" customHeight="1" x14ac:dyDescent="0.25">
      <c r="A64" s="59"/>
      <c r="B64" s="12"/>
      <c r="C64" s="12"/>
      <c r="D64" s="60"/>
      <c r="E64" s="6"/>
      <c r="F64" s="6"/>
      <c r="G64" s="12"/>
      <c r="H64" s="12" t="str" cm="2">
        <f t="array" ref="H64">IFERROR(INDEX(BrandList!$A$2:$A$50,MATCH(TRUE,ISNUMBER(SEARCH(BrandList!$A$2:$A$50,G64)),0)),"")</f>
        <v/>
      </c>
      <c r="I64" s="12" t="str" cm="2">
        <f t="array" ref="I64">IFERROR(INDEX(BrandList!$B$2:$B$200,MATCH(TRUE,ISNUMBER(SEARCH(BrandList!$B$2:$B$200,G64)),0)),"")</f>
        <v/>
      </c>
      <c r="J64" s="12"/>
      <c r="K64" s="12"/>
      <c r="L64" s="60"/>
      <c r="M64" s="60"/>
      <c r="N64" s="60"/>
      <c r="O64" s="60"/>
      <c r="P64" s="7" t="str">
        <f t="shared" si="1"/>
        <v/>
      </c>
      <c r="Q64" s="8">
        <f>IFERROR(VLOOKUP(VALUE(A64),WEEKLY_DATA!$A:$H,2,0),0)</f>
        <v>0</v>
      </c>
      <c r="R64" s="8">
        <f>IFERROR(VLOOKUP(VALUE(A64),WEEKLY_DATA!$A:$H,3,0),0)</f>
        <v>0</v>
      </c>
      <c r="S64" s="8">
        <f>IFERROR(VLOOKUP(VALUE(A64),WEEKLY_DATA!$A:$H,4,0),0)</f>
        <v>0</v>
      </c>
      <c r="T64" s="51">
        <f>IFERROR(VLOOKUP(VALUE(A64),WEEKLY_DATA!$A:$H,5,0),0)</f>
        <v>0</v>
      </c>
      <c r="U64" s="51">
        <f>IFERROR(VLOOKUP(VALUE(A64),WEEKLY_DATA!$A:$H,6,0),0)</f>
        <v>0</v>
      </c>
      <c r="V64" s="51">
        <f>IFERROR(VLOOKUP(VALUE(A64),WEEKLY_DATA!$A:$H,7,0),0)</f>
        <v>0</v>
      </c>
      <c r="W64" s="9" t="str">
        <f>IFERROR(IF(OR(Q64="",Q64=0),"",IF(VLOOKUP(VALUE($A64),WEEKLY_DATA!$A:$H,6,0)=0,"No Sales",Q64/(VLOOKUP(VALUE($A64),WEEKLY_DATA!$A:$H,6,0)/13))),"")</f>
        <v/>
      </c>
      <c r="X64" s="10">
        <f>IFERROR(VLOOKUP(VALUE(A64),WEEKLY_DATA!$A:$H,8,0),0)</f>
        <v>0</v>
      </c>
      <c r="Y64" s="13" t="str">
        <f t="shared" si="0"/>
        <v>—</v>
      </c>
      <c r="Z64" s="11"/>
      <c r="AA64" s="11"/>
      <c r="AB64" s="11"/>
      <c r="AC64" s="11"/>
      <c r="AD64" s="11"/>
      <c r="AE64" s="11"/>
      <c r="AF64" s="61" t="s">
        <v>144</v>
      </c>
      <c r="AG64" s="61"/>
      <c r="AH64" s="62"/>
      <c r="AI64" s="62"/>
      <c r="AJ64" s="61" t="s">
        <v>144</v>
      </c>
      <c r="AK64" s="61" t="s">
        <v>144</v>
      </c>
      <c r="AL64" s="61"/>
      <c r="AM64" s="58" t="str" cm="2">
        <f t="array" ref="AM64">IFERROR(LOOKUP(2, 1/SEARCH({"Black","White","Grey","Blue","Silver","Brown","Green","Blue","Purple","Red","Pink","Yellow","Gold"}, G64), {"Black","White","Grey","Blue","Silver","Brown","Green","Blue","Purple","Red","Pink","Yellow","Gold"}), "")</f>
        <v/>
      </c>
      <c r="AN64" s="58" t="str">
        <f>IFERROR(LOOKUP(2, 1/SEARCH({"8GB","16GB","32GB","64GB"}, G64), {"8GB","16GB","32GB","64GB"}), "")</f>
        <v/>
      </c>
      <c r="AO64" s="58" t="str">
        <f>IFERROR(LOOKUP(2, 1/SEARCH({"1TB","2TB","128GB","512GB","256GB"}, G64), {"1TB","2TB","128GB","512GB","256GB"}), "")</f>
        <v/>
      </c>
      <c r="AP64" s="58"/>
      <c r="AQ64" s="58" t="str">
        <f>IFERROR(LOOKUP(2, 1/SEARCH({"16-Inch","15-Inch","15.6-Inch","18-Inch","15.3-Inch","13-Inch","13.4-Inch","13.8-Inch","14-Inch","17-Inch","45-Inch","27-Inch","34-Inch","32-Inch","21.5-Inch"}, G64), {"16-Inch","15-Inch","15.6-Inch","18-Inch","15.3-Inch","13-Inch","13.4-Inch","13.8-Inch","14-Inch","17-Inch","45-Inch","27-Inch","34-Inch","32-Inch","21.5-Inch"}), "")</f>
        <v/>
      </c>
      <c r="AR64" s="58"/>
      <c r="AS64" s="91"/>
      <c r="AT64" s="93"/>
      <c r="AU64" s="93"/>
      <c r="AV64" s="93"/>
      <c r="AW64" s="93"/>
    </row>
    <row r="65" spans="1:49" ht="15" customHeight="1" x14ac:dyDescent="0.25">
      <c r="A65" s="59"/>
      <c r="B65" s="12"/>
      <c r="C65" s="12"/>
      <c r="D65" s="60"/>
      <c r="E65" s="6"/>
      <c r="F65" s="6"/>
      <c r="G65" s="12"/>
      <c r="H65" s="12" t="str" cm="2">
        <f t="array" ref="H65">IFERROR(INDEX(BrandList!$A$2:$A$50,MATCH(TRUE,ISNUMBER(SEARCH(BrandList!$A$2:$A$50,G65)),0)),"")</f>
        <v/>
      </c>
      <c r="I65" s="12" t="str" cm="2">
        <f t="array" ref="I65">IFERROR(INDEX(BrandList!$B$2:$B$200,MATCH(TRUE,ISNUMBER(SEARCH(BrandList!$B$2:$B$200,G65)),0)),"")</f>
        <v/>
      </c>
      <c r="J65" s="12"/>
      <c r="K65" s="12"/>
      <c r="L65" s="60"/>
      <c r="M65" s="60"/>
      <c r="N65" s="60"/>
      <c r="O65" s="60"/>
      <c r="P65" s="7" t="str">
        <f t="shared" si="1"/>
        <v/>
      </c>
      <c r="Q65" s="8">
        <f>IFERROR(VLOOKUP(VALUE(A65),WEEKLY_DATA!$A:$H,2,0),0)</f>
        <v>0</v>
      </c>
      <c r="R65" s="8">
        <f>IFERROR(VLOOKUP(VALUE(A65),WEEKLY_DATA!$A:$H,3,0),0)</f>
        <v>0</v>
      </c>
      <c r="S65" s="8">
        <f>IFERROR(VLOOKUP(VALUE(A65),WEEKLY_DATA!$A:$H,4,0),0)</f>
        <v>0</v>
      </c>
      <c r="T65" s="51">
        <f>IFERROR(VLOOKUP(VALUE(A65),WEEKLY_DATA!$A:$H,5,0),0)</f>
        <v>0</v>
      </c>
      <c r="U65" s="51">
        <f>IFERROR(VLOOKUP(VALUE(A65),WEEKLY_DATA!$A:$H,6,0),0)</f>
        <v>0</v>
      </c>
      <c r="V65" s="51">
        <f>IFERROR(VLOOKUP(VALUE(A65),WEEKLY_DATA!$A:$H,7,0),0)</f>
        <v>0</v>
      </c>
      <c r="W65" s="9" t="str">
        <f>IFERROR(IF(OR(Q65="",Q65=0),"",IF(VLOOKUP(VALUE($A65),WEEKLY_DATA!$A:$H,6,0)=0,"No Sales",Q65/(VLOOKUP(VALUE($A65),WEEKLY_DATA!$A:$H,6,0)/13))),"")</f>
        <v/>
      </c>
      <c r="X65" s="10">
        <f>IFERROR(VLOOKUP(VALUE(A65),WEEKLY_DATA!$A:$H,8,0),0)</f>
        <v>0</v>
      </c>
      <c r="Y65" s="13" t="str">
        <f t="shared" si="0"/>
        <v>—</v>
      </c>
      <c r="Z65" s="11"/>
      <c r="AA65" s="11"/>
      <c r="AB65" s="11"/>
      <c r="AC65" s="11"/>
      <c r="AD65" s="11"/>
      <c r="AE65" s="11"/>
      <c r="AF65" s="61" t="s">
        <v>144</v>
      </c>
      <c r="AG65" s="61"/>
      <c r="AH65" s="62"/>
      <c r="AI65" s="62"/>
      <c r="AJ65" s="61" t="s">
        <v>144</v>
      </c>
      <c r="AK65" s="61" t="s">
        <v>144</v>
      </c>
      <c r="AL65" s="61"/>
      <c r="AM65" s="58" t="str" cm="2">
        <f t="array" ref="AM65">IFERROR(LOOKUP(2, 1/SEARCH({"Black","White","Grey","Blue","Silver","Brown","Green","Blue","Purple","Red","Pink","Yellow","Gold"}, G65), {"Black","White","Grey","Blue","Silver","Brown","Green","Blue","Purple","Red","Pink","Yellow","Gold"}), "")</f>
        <v/>
      </c>
      <c r="AN65" s="58" t="str">
        <f>IFERROR(LOOKUP(2, 1/SEARCH({"8GB","16GB","32GB","64GB"}, G65), {"8GB","16GB","32GB","64GB"}), "")</f>
        <v/>
      </c>
      <c r="AO65" s="58" t="str">
        <f>IFERROR(LOOKUP(2, 1/SEARCH({"1TB","2TB","128GB","512GB","256GB"}, G65), {"1TB","2TB","128GB","512GB","256GB"}), "")</f>
        <v/>
      </c>
      <c r="AP65" s="58"/>
      <c r="AQ65" s="58" t="str">
        <f>IFERROR(LOOKUP(2, 1/SEARCH({"16-Inch","15-Inch","15.6-Inch","18-Inch","15.3-Inch","13-Inch","13.4-Inch","13.8-Inch","14-Inch","17-Inch","45-Inch","27-Inch","34-Inch","32-Inch","21.5-Inch"}, G65), {"16-Inch","15-Inch","15.6-Inch","18-Inch","15.3-Inch","13-Inch","13.4-Inch","13.8-Inch","14-Inch","17-Inch","45-Inch","27-Inch","34-Inch","32-Inch","21.5-Inch"}), "")</f>
        <v/>
      </c>
      <c r="AR65" s="58"/>
      <c r="AS65" s="91"/>
      <c r="AT65" s="93"/>
      <c r="AU65" s="93"/>
      <c r="AV65" s="93"/>
      <c r="AW65" s="93"/>
    </row>
    <row r="66" spans="1:49" ht="15" customHeight="1" x14ac:dyDescent="0.25">
      <c r="A66" s="59"/>
      <c r="B66" s="12"/>
      <c r="C66" s="12"/>
      <c r="D66" s="60"/>
      <c r="E66" s="6"/>
      <c r="F66" s="6"/>
      <c r="G66" s="12"/>
      <c r="H66" s="12" t="str" cm="2">
        <f t="array" ref="H66">IFERROR(INDEX(BrandList!$A$2:$A$50,MATCH(TRUE,ISNUMBER(SEARCH(BrandList!$A$2:$A$50,G66)),0)),"")</f>
        <v/>
      </c>
      <c r="I66" s="12" t="str" cm="2">
        <f t="array" ref="I66">IFERROR(INDEX(BrandList!$B$2:$B$200,MATCH(TRUE,ISNUMBER(SEARCH(BrandList!$B$2:$B$200,G66)),0)),"")</f>
        <v/>
      </c>
      <c r="J66" s="12"/>
      <c r="K66" s="12"/>
      <c r="L66" s="60"/>
      <c r="M66" s="60"/>
      <c r="N66" s="60"/>
      <c r="O66" s="60"/>
      <c r="P66" s="7" t="str">
        <f t="shared" si="1"/>
        <v/>
      </c>
      <c r="Q66" s="8">
        <f>IFERROR(VLOOKUP(VALUE(A66),WEEKLY_DATA!$A:$H,2,0),0)</f>
        <v>0</v>
      </c>
      <c r="R66" s="8">
        <f>IFERROR(VLOOKUP(VALUE(A66),WEEKLY_DATA!$A:$H,3,0),0)</f>
        <v>0</v>
      </c>
      <c r="S66" s="8">
        <f>IFERROR(VLOOKUP(VALUE(A66),WEEKLY_DATA!$A:$H,4,0),0)</f>
        <v>0</v>
      </c>
      <c r="T66" s="51">
        <f>IFERROR(VLOOKUP(VALUE(A66),WEEKLY_DATA!$A:$H,5,0),0)</f>
        <v>0</v>
      </c>
      <c r="U66" s="51">
        <f>IFERROR(VLOOKUP(VALUE(A66),WEEKLY_DATA!$A:$H,6,0),0)</f>
        <v>0</v>
      </c>
      <c r="V66" s="51">
        <f>IFERROR(VLOOKUP(VALUE(A66),WEEKLY_DATA!$A:$H,7,0),0)</f>
        <v>0</v>
      </c>
      <c r="W66" s="9" t="str">
        <f>IFERROR(IF(OR(Q66="",Q66=0),"",IF(VLOOKUP(VALUE($A66),WEEKLY_DATA!$A:$H,6,0)=0,"No Sales",Q66/(VLOOKUP(VALUE($A66),WEEKLY_DATA!$A:$H,6,0)/13))),"")</f>
        <v/>
      </c>
      <c r="X66" s="10">
        <f>IFERROR(VLOOKUP(VALUE(A66),WEEKLY_DATA!$A:$H,8,0),0)</f>
        <v>0</v>
      </c>
      <c r="Y66" s="13" t="str">
        <f t="shared" si="0"/>
        <v>—</v>
      </c>
      <c r="Z66" s="11"/>
      <c r="AA66" s="11"/>
      <c r="AB66" s="11"/>
      <c r="AC66" s="11"/>
      <c r="AD66" s="11"/>
      <c r="AE66" s="11"/>
      <c r="AF66" s="61" t="s">
        <v>144</v>
      </c>
      <c r="AG66" s="61"/>
      <c r="AH66" s="62"/>
      <c r="AI66" s="62"/>
      <c r="AJ66" s="61" t="s">
        <v>144</v>
      </c>
      <c r="AK66" s="61" t="s">
        <v>144</v>
      </c>
      <c r="AL66" s="61"/>
      <c r="AM66" s="58" t="str" cm="2">
        <f t="array" ref="AM66">IFERROR(LOOKUP(2, 1/SEARCH({"Black","White","Grey","Blue","Silver","Brown","Green","Blue","Purple","Red","Pink","Yellow","Gold"}, G66), {"Black","White","Grey","Blue","Silver","Brown","Green","Blue","Purple","Red","Pink","Yellow","Gold"}), "")</f>
        <v/>
      </c>
      <c r="AN66" s="58" t="str">
        <f>IFERROR(LOOKUP(2, 1/SEARCH({"8GB","16GB","32GB","64GB"}, G66), {"8GB","16GB","32GB","64GB"}), "")</f>
        <v/>
      </c>
      <c r="AO66" s="58" t="str">
        <f>IFERROR(LOOKUP(2, 1/SEARCH({"1TB","2TB","128GB","512GB","256GB"}, G66), {"1TB","2TB","128GB","512GB","256GB"}), "")</f>
        <v/>
      </c>
      <c r="AP66" s="58"/>
      <c r="AQ66" s="58" t="str">
        <f>IFERROR(LOOKUP(2, 1/SEARCH({"16-Inch","15-Inch","15.6-Inch","18-Inch","15.3-Inch","13-Inch","13.4-Inch","13.8-Inch","14-Inch","17-Inch","45-Inch","27-Inch","34-Inch","32-Inch","21.5-Inch"}, G66), {"16-Inch","15-Inch","15.6-Inch","18-Inch","15.3-Inch","13-Inch","13.4-Inch","13.8-Inch","14-Inch","17-Inch","45-Inch","27-Inch","34-Inch","32-Inch","21.5-Inch"}), "")</f>
        <v/>
      </c>
      <c r="AR66" s="58"/>
      <c r="AS66" s="91"/>
      <c r="AT66" s="93"/>
      <c r="AU66" s="93"/>
      <c r="AV66" s="93"/>
      <c r="AW66" s="93"/>
    </row>
    <row r="67" spans="1:49" ht="15" customHeight="1" x14ac:dyDescent="0.25">
      <c r="A67" s="59"/>
      <c r="B67" s="12"/>
      <c r="C67" s="12"/>
      <c r="D67" s="60"/>
      <c r="E67" s="6"/>
      <c r="F67" s="6"/>
      <c r="G67" s="12"/>
      <c r="H67" s="12" t="str" cm="2">
        <f t="array" ref="H67">IFERROR(INDEX(BrandList!$A$2:$A$50,MATCH(TRUE,ISNUMBER(SEARCH(BrandList!$A$2:$A$50,G67)),0)),"")</f>
        <v/>
      </c>
      <c r="I67" s="12" t="str" cm="2">
        <f t="array" ref="I67">IFERROR(INDEX(BrandList!$B$2:$B$200,MATCH(TRUE,ISNUMBER(SEARCH(BrandList!$B$2:$B$200,G67)),0)),"")</f>
        <v/>
      </c>
      <c r="J67" s="12"/>
      <c r="K67" s="12"/>
      <c r="L67" s="60"/>
      <c r="M67" s="60"/>
      <c r="N67" s="60"/>
      <c r="O67" s="60"/>
      <c r="P67" s="7" t="str">
        <f t="shared" si="1"/>
        <v/>
      </c>
      <c r="Q67" s="8">
        <f>IFERROR(VLOOKUP(VALUE(A67),WEEKLY_DATA!$A:$H,2,0),0)</f>
        <v>0</v>
      </c>
      <c r="R67" s="8">
        <f>IFERROR(VLOOKUP(VALUE(A67),WEEKLY_DATA!$A:$H,3,0),0)</f>
        <v>0</v>
      </c>
      <c r="S67" s="8">
        <f>IFERROR(VLOOKUP(VALUE(A67),WEEKLY_DATA!$A:$H,4,0),0)</f>
        <v>0</v>
      </c>
      <c r="T67" s="51">
        <f>IFERROR(VLOOKUP(VALUE(A67),WEEKLY_DATA!$A:$H,5,0),0)</f>
        <v>0</v>
      </c>
      <c r="U67" s="51">
        <f>IFERROR(VLOOKUP(VALUE(A67),WEEKLY_DATA!$A:$H,6,0),0)</f>
        <v>0</v>
      </c>
      <c r="V67" s="51">
        <f>IFERROR(VLOOKUP(VALUE(A67),WEEKLY_DATA!$A:$H,7,0),0)</f>
        <v>0</v>
      </c>
      <c r="W67" s="9" t="str">
        <f>IFERROR(IF(OR(Q67="",Q67=0),"",IF(VLOOKUP(VALUE($A67),WEEKLY_DATA!$A:$H,6,0)=0,"No Sales",Q67/(VLOOKUP(VALUE($A67),WEEKLY_DATA!$A:$H,6,0)/13))),"")</f>
        <v/>
      </c>
      <c r="X67" s="10">
        <f>IFERROR(VLOOKUP(VALUE(A67),WEEKLY_DATA!$A:$H,8,0),0)</f>
        <v>0</v>
      </c>
      <c r="Y67" s="13" t="str">
        <f t="shared" si="0"/>
        <v>—</v>
      </c>
      <c r="Z67" s="11"/>
      <c r="AA67" s="11"/>
      <c r="AB67" s="11"/>
      <c r="AC67" s="11"/>
      <c r="AD67" s="11"/>
      <c r="AE67" s="11"/>
      <c r="AF67" s="61" t="s">
        <v>144</v>
      </c>
      <c r="AG67" s="61"/>
      <c r="AH67" s="62"/>
      <c r="AI67" s="62"/>
      <c r="AJ67" s="61" t="s">
        <v>144</v>
      </c>
      <c r="AK67" s="61" t="s">
        <v>144</v>
      </c>
      <c r="AL67" s="61"/>
      <c r="AM67" s="58" t="str" cm="2">
        <f t="array" ref="AM67">IFERROR(LOOKUP(2, 1/SEARCH({"Black","White","Grey","Blue","Silver","Brown","Green","Blue","Purple","Red","Pink","Yellow","Gold"}, G67), {"Black","White","Grey","Blue","Silver","Brown","Green","Blue","Purple","Red","Pink","Yellow","Gold"}), "")</f>
        <v/>
      </c>
      <c r="AN67" s="58" t="str">
        <f>IFERROR(LOOKUP(2, 1/SEARCH({"8GB","16GB","32GB","64GB"}, G67), {"8GB","16GB","32GB","64GB"}), "")</f>
        <v/>
      </c>
      <c r="AO67" s="58" t="str">
        <f>IFERROR(LOOKUP(2, 1/SEARCH({"1TB","2TB","128GB","512GB","256GB"}, G67), {"1TB","2TB","128GB","512GB","256GB"}), "")</f>
        <v/>
      </c>
      <c r="AP67" s="58"/>
      <c r="AQ67" s="58" t="str">
        <f>IFERROR(LOOKUP(2, 1/SEARCH({"16-Inch","15-Inch","15.6-Inch","18-Inch","15.3-Inch","13-Inch","13.4-Inch","13.8-Inch","14-Inch","17-Inch","45-Inch","27-Inch","34-Inch","32-Inch","21.5-Inch"}, G67), {"16-Inch","15-Inch","15.6-Inch","18-Inch","15.3-Inch","13-Inch","13.4-Inch","13.8-Inch","14-Inch","17-Inch","45-Inch","27-Inch","34-Inch","32-Inch","21.5-Inch"}), "")</f>
        <v/>
      </c>
      <c r="AR67" s="58"/>
      <c r="AS67" s="91"/>
      <c r="AT67" s="93"/>
      <c r="AU67" s="93"/>
      <c r="AV67" s="93"/>
      <c r="AW67" s="93"/>
    </row>
    <row r="68" spans="1:49" ht="15" customHeight="1" x14ac:dyDescent="0.25">
      <c r="A68" s="59"/>
      <c r="B68" s="12"/>
      <c r="C68" s="12"/>
      <c r="D68" s="60"/>
      <c r="E68" s="6"/>
      <c r="F68" s="6"/>
      <c r="G68" s="12"/>
      <c r="H68" s="12" t="str" cm="2">
        <f t="array" ref="H68">IFERROR(INDEX(BrandList!$A$2:$A$50,MATCH(TRUE,ISNUMBER(SEARCH(BrandList!$A$2:$A$50,G68)),0)),"")</f>
        <v/>
      </c>
      <c r="I68" s="12" t="str" cm="2">
        <f t="array" ref="I68">IFERROR(INDEX(BrandList!$B$2:$B$200,MATCH(TRUE,ISNUMBER(SEARCH(BrandList!$B$2:$B$200,G68)),0)),"")</f>
        <v/>
      </c>
      <c r="J68" s="12"/>
      <c r="K68" s="12"/>
      <c r="L68" s="60"/>
      <c r="M68" s="60"/>
      <c r="N68" s="60"/>
      <c r="O68" s="60"/>
      <c r="P68" s="7" t="str">
        <f t="shared" si="1"/>
        <v/>
      </c>
      <c r="Q68" s="8">
        <f>IFERROR(VLOOKUP(VALUE(A68),WEEKLY_DATA!$A:$H,2,0),0)</f>
        <v>0</v>
      </c>
      <c r="R68" s="8">
        <f>IFERROR(VLOOKUP(VALUE(A68),WEEKLY_DATA!$A:$H,3,0),0)</f>
        <v>0</v>
      </c>
      <c r="S68" s="8">
        <f>IFERROR(VLOOKUP(VALUE(A68),WEEKLY_DATA!$A:$H,4,0),0)</f>
        <v>0</v>
      </c>
      <c r="T68" s="51">
        <f>IFERROR(VLOOKUP(VALUE(A68),WEEKLY_DATA!$A:$H,5,0),0)</f>
        <v>0</v>
      </c>
      <c r="U68" s="51">
        <f>IFERROR(VLOOKUP(VALUE(A68),WEEKLY_DATA!$A:$H,6,0),0)</f>
        <v>0</v>
      </c>
      <c r="V68" s="51">
        <f>IFERROR(VLOOKUP(VALUE(A68),WEEKLY_DATA!$A:$H,7,0),0)</f>
        <v>0</v>
      </c>
      <c r="W68" s="9" t="str">
        <f>IFERROR(IF(OR(Q68="",Q68=0),"",IF(VLOOKUP(VALUE($A68),WEEKLY_DATA!$A:$H,6,0)=0,"No Sales",Q68/(VLOOKUP(VALUE($A68),WEEKLY_DATA!$A:$H,6,0)/13))),"")</f>
        <v/>
      </c>
      <c r="X68" s="10">
        <f>IFERROR(VLOOKUP(VALUE(A68),WEEKLY_DATA!$A:$H,8,0),0)</f>
        <v>0</v>
      </c>
      <c r="Y68" s="13" t="str">
        <f t="shared" si="0"/>
        <v>—</v>
      </c>
      <c r="Z68" s="11"/>
      <c r="AA68" s="11"/>
      <c r="AB68" s="11"/>
      <c r="AC68" s="11"/>
      <c r="AD68" s="11"/>
      <c r="AE68" s="11"/>
      <c r="AF68" s="61" t="s">
        <v>144</v>
      </c>
      <c r="AG68" s="61"/>
      <c r="AH68" s="62"/>
      <c r="AI68" s="62"/>
      <c r="AJ68" s="61" t="s">
        <v>144</v>
      </c>
      <c r="AK68" s="61" t="s">
        <v>144</v>
      </c>
      <c r="AL68" s="61"/>
      <c r="AM68" s="58" t="str" cm="2">
        <f t="array" ref="AM68">IFERROR(LOOKUP(2, 1/SEARCH({"Black","White","Grey","Blue","Silver","Brown","Green","Blue","Purple","Red","Pink","Yellow","Gold"}, G68), {"Black","White","Grey","Blue","Silver","Brown","Green","Blue","Purple","Red","Pink","Yellow","Gold"}), "")</f>
        <v/>
      </c>
      <c r="AN68" s="58" t="str">
        <f>IFERROR(LOOKUP(2, 1/SEARCH({"8GB","16GB","32GB","64GB"}, G68), {"8GB","16GB","32GB","64GB"}), "")</f>
        <v/>
      </c>
      <c r="AO68" s="58" t="str">
        <f>IFERROR(LOOKUP(2, 1/SEARCH({"1TB","2TB","128GB","512GB","256GB"}, G68), {"1TB","2TB","128GB","512GB","256GB"}), "")</f>
        <v/>
      </c>
      <c r="AP68" s="58"/>
      <c r="AQ68" s="58" t="str">
        <f>IFERROR(LOOKUP(2, 1/SEARCH({"16-Inch","15-Inch","15.6-Inch","18-Inch","15.3-Inch","13-Inch","13.4-Inch","13.8-Inch","14-Inch","17-Inch","45-Inch","27-Inch","34-Inch","32-Inch","21.5-Inch"}, G68), {"16-Inch","15-Inch","15.6-Inch","18-Inch","15.3-Inch","13-Inch","13.4-Inch","13.8-Inch","14-Inch","17-Inch","45-Inch","27-Inch","34-Inch","32-Inch","21.5-Inch"}), "")</f>
        <v/>
      </c>
      <c r="AR68" s="58"/>
      <c r="AS68" s="91"/>
      <c r="AT68" s="93"/>
      <c r="AU68" s="93"/>
      <c r="AV68" s="93"/>
      <c r="AW68" s="93"/>
    </row>
    <row r="69" spans="1:49" ht="15" customHeight="1" x14ac:dyDescent="0.25">
      <c r="A69" s="59"/>
      <c r="B69" s="12"/>
      <c r="C69" s="12"/>
      <c r="D69" s="60"/>
      <c r="E69" s="6"/>
      <c r="F69" s="6"/>
      <c r="G69" s="12"/>
      <c r="H69" s="12" t="str" cm="2">
        <f t="array" ref="H69">IFERROR(INDEX(BrandList!$A$2:$A$50,MATCH(TRUE,ISNUMBER(SEARCH(BrandList!$A$2:$A$50,G69)),0)),"")</f>
        <v/>
      </c>
      <c r="I69" s="12" t="str" cm="2">
        <f t="array" ref="I69">IFERROR(INDEX(BrandList!$B$2:$B$200,MATCH(TRUE,ISNUMBER(SEARCH(BrandList!$B$2:$B$200,G69)),0)),"")</f>
        <v/>
      </c>
      <c r="J69" s="12"/>
      <c r="K69" s="12"/>
      <c r="L69" s="60"/>
      <c r="M69" s="60"/>
      <c r="N69" s="60"/>
      <c r="O69" s="60"/>
      <c r="P69" s="7" t="str">
        <f t="shared" si="1"/>
        <v/>
      </c>
      <c r="Q69" s="8">
        <f>IFERROR(VLOOKUP(VALUE(A69),WEEKLY_DATA!$A:$H,2,0),0)</f>
        <v>0</v>
      </c>
      <c r="R69" s="8">
        <f>IFERROR(VLOOKUP(VALUE(A69),WEEKLY_DATA!$A:$H,3,0),0)</f>
        <v>0</v>
      </c>
      <c r="S69" s="8">
        <f>IFERROR(VLOOKUP(VALUE(A69),WEEKLY_DATA!$A:$H,4,0),0)</f>
        <v>0</v>
      </c>
      <c r="T69" s="51">
        <f>IFERROR(VLOOKUP(VALUE(A69),WEEKLY_DATA!$A:$H,5,0),0)</f>
        <v>0</v>
      </c>
      <c r="U69" s="51">
        <f>IFERROR(VLOOKUP(VALUE(A69),WEEKLY_DATA!$A:$H,6,0),0)</f>
        <v>0</v>
      </c>
      <c r="V69" s="51">
        <f>IFERROR(VLOOKUP(VALUE(A69),WEEKLY_DATA!$A:$H,7,0),0)</f>
        <v>0</v>
      </c>
      <c r="W69" s="9" t="str">
        <f>IFERROR(IF(OR(Q69="",Q69=0),"",IF(VLOOKUP(VALUE($A69),WEEKLY_DATA!$A:$H,6,0)=0,"No Sales",Q69/(VLOOKUP(VALUE($A69),WEEKLY_DATA!$A:$H,6,0)/13))),"")</f>
        <v/>
      </c>
      <c r="X69" s="10">
        <f>IFERROR(VLOOKUP(VALUE(A69),WEEKLY_DATA!$A:$H,8,0),0)</f>
        <v>0</v>
      </c>
      <c r="Y69" s="13" t="str">
        <f t="shared" si="0"/>
        <v>—</v>
      </c>
      <c r="Z69" s="11"/>
      <c r="AA69" s="11"/>
      <c r="AB69" s="11"/>
      <c r="AC69" s="11"/>
      <c r="AD69" s="11"/>
      <c r="AE69" s="65"/>
      <c r="AF69" s="61" t="s">
        <v>144</v>
      </c>
      <c r="AG69" s="61"/>
      <c r="AH69" s="62"/>
      <c r="AI69" s="62"/>
      <c r="AJ69" s="61" t="s">
        <v>144</v>
      </c>
      <c r="AK69" s="61" t="s">
        <v>144</v>
      </c>
      <c r="AL69" s="61"/>
      <c r="AM69" s="58" t="str" cm="2">
        <f t="array" ref="AM69">IFERROR(LOOKUP(2, 1/SEARCH({"Black","White","Grey","Blue","Silver","Brown","Green","Blue","Purple","Red","Pink","Yellow","Gold"}, G69), {"Black","White","Grey","Blue","Silver","Brown","Green","Blue","Purple","Red","Pink","Yellow","Gold"}), "")</f>
        <v/>
      </c>
      <c r="AN69" s="58" t="str">
        <f>IFERROR(LOOKUP(2, 1/SEARCH({"8GB","16GB","32GB","64GB"}, G69), {"8GB","16GB","32GB","64GB"}), "")</f>
        <v/>
      </c>
      <c r="AO69" s="58" t="str">
        <f>IFERROR(LOOKUP(2, 1/SEARCH({"1TB","2TB","128GB","512GB","256GB"}, G69), {"1TB","2TB","128GB","512GB","256GB"}), "")</f>
        <v/>
      </c>
      <c r="AP69" s="58"/>
      <c r="AQ69" s="58" t="str">
        <f>IFERROR(LOOKUP(2, 1/SEARCH({"16-Inch","15-Inch","15.6-Inch","18-Inch","15.3-Inch","13-Inch","13.4-Inch","13.8-Inch","14-Inch","17-Inch","45-Inch","27-Inch","34-Inch","32-Inch","21.5-Inch"}, G69), {"16-Inch","15-Inch","15.6-Inch","18-Inch","15.3-Inch","13-Inch","13.4-Inch","13.8-Inch","14-Inch","17-Inch","45-Inch","27-Inch","34-Inch","32-Inch","21.5-Inch"}), "")</f>
        <v/>
      </c>
      <c r="AR69" s="58"/>
      <c r="AS69" s="91"/>
      <c r="AT69" s="93"/>
      <c r="AU69" s="93"/>
      <c r="AV69" s="93"/>
      <c r="AW69" s="93"/>
    </row>
    <row r="70" spans="1:49" ht="15" customHeight="1" x14ac:dyDescent="0.25">
      <c r="A70" s="59"/>
      <c r="B70" s="12"/>
      <c r="C70" s="12"/>
      <c r="D70" s="60"/>
      <c r="E70" s="6"/>
      <c r="F70" s="6"/>
      <c r="G70" s="12"/>
      <c r="H70" s="12" t="str" cm="2">
        <f t="array" ref="H70">IFERROR(INDEX(BrandList!$A$2:$A$50,MATCH(TRUE,ISNUMBER(SEARCH(BrandList!$A$2:$A$50,G70)),0)),"")</f>
        <v/>
      </c>
      <c r="I70" s="12" t="str" cm="2">
        <f t="array" ref="I70">IFERROR(INDEX(BrandList!$B$2:$B$200,MATCH(TRUE,ISNUMBER(SEARCH(BrandList!$B$2:$B$200,G70)),0)),"")</f>
        <v/>
      </c>
      <c r="J70" s="12"/>
      <c r="K70" s="59"/>
      <c r="L70" s="86"/>
      <c r="M70" s="86"/>
      <c r="N70" s="86"/>
      <c r="O70" s="86"/>
      <c r="P70" s="7" t="str">
        <f t="shared" si="1"/>
        <v/>
      </c>
      <c r="Q70" s="8">
        <f>IFERROR(VLOOKUP(VALUE(A70),WEEKLY_DATA!$A:$H,2,0),0)</f>
        <v>0</v>
      </c>
      <c r="R70" s="8">
        <f>IFERROR(VLOOKUP(VALUE(A70),WEEKLY_DATA!$A:$H,3,0),0)</f>
        <v>0</v>
      </c>
      <c r="S70" s="8">
        <f>IFERROR(VLOOKUP(VALUE(A70),WEEKLY_DATA!$A:$H,4,0),0)</f>
        <v>0</v>
      </c>
      <c r="T70" s="51">
        <f>IFERROR(VLOOKUP(VALUE(A70),WEEKLY_DATA!$A:$H,5,0),0)</f>
        <v>0</v>
      </c>
      <c r="U70" s="51">
        <f>IFERROR(VLOOKUP(VALUE(A70),WEEKLY_DATA!$A:$H,6,0),0)</f>
        <v>0</v>
      </c>
      <c r="V70" s="51">
        <f>IFERROR(VLOOKUP(VALUE(A70),WEEKLY_DATA!$A:$H,7,0),0)</f>
        <v>0</v>
      </c>
      <c r="W70" s="9" t="str">
        <f>IFERROR(IF(OR(Q70="",Q70=0),"",IF(VLOOKUP(VALUE($A70),WEEKLY_DATA!$A:$H,6,0)=0,"No Sales",Q70/(VLOOKUP(VALUE($A70),WEEKLY_DATA!$A:$H,6,0)/13))),"")</f>
        <v/>
      </c>
      <c r="X70" s="10">
        <f>IFERROR(VLOOKUP(VALUE(A70),WEEKLY_DATA!$A:$H,8,0),0)</f>
        <v>0</v>
      </c>
      <c r="Y70" s="13" t="str">
        <f t="shared" ref="Y70:Y133" si="2">IFERROR(
IF(J70="Discontinued","🔴 EOL",
IF(J70="Drop Ship","📦 Drop Ship",
IF(J70="New","🆕 New",
IF(W70="","—",
IF(W70&lt;2,"🔴 Critical",
IF(W70&lt;4,"🟡 Low",
IF(W70&gt;26,"🔵 Overstock","🟢 Healthy")
)))))),"")</f>
        <v>—</v>
      </c>
      <c r="Z70" s="11"/>
      <c r="AA70" s="11"/>
      <c r="AB70" s="11"/>
      <c r="AC70" s="11"/>
      <c r="AD70" s="11"/>
      <c r="AE70" s="11"/>
      <c r="AF70" s="61" t="s">
        <v>144</v>
      </c>
      <c r="AG70" s="61"/>
      <c r="AH70" s="62" t="s">
        <v>144</v>
      </c>
      <c r="AI70" s="62"/>
      <c r="AJ70" s="61" t="s">
        <v>144</v>
      </c>
      <c r="AK70" s="61" t="s">
        <v>144</v>
      </c>
      <c r="AL70" s="61"/>
      <c r="AM70" s="58" t="str" cm="2">
        <f t="array" ref="AM70">IFERROR(LOOKUP(2, 1/SEARCH({"Black","White","Grey","Blue","Silver","Brown","Green","Blue","Purple","Red","Pink","Yellow","Gold"}, G70), {"Black","White","Grey","Blue","Silver","Brown","Green","Blue","Purple","Red","Pink","Yellow","Gold"}), "")</f>
        <v/>
      </c>
      <c r="AN70" s="58" t="str">
        <f>IFERROR(LOOKUP(2, 1/SEARCH({"8GB","16GB","32GB","64GB"}, G70), {"8GB","16GB","32GB","64GB"}), "")</f>
        <v/>
      </c>
      <c r="AO70" s="58" t="str">
        <f>IFERROR(LOOKUP(2, 1/SEARCH({"1TB","2TB","128GB","512GB","256GB"}, G70), {"1TB","2TB","128GB","512GB","256GB"}), "")</f>
        <v/>
      </c>
      <c r="AP70" s="58"/>
      <c r="AQ70" s="58" t="str">
        <f>IFERROR(LOOKUP(2, 1/SEARCH({"16-Inch","15-Inch","15.6-Inch","18-Inch","15.3-Inch","13-Inch","13.4-Inch","13.8-Inch","14-Inch","17-Inch","45-Inch","27-Inch","34-Inch","32-Inch","21.5-Inch"}, G70), {"16-Inch","15-Inch","15.6-Inch","18-Inch","15.3-Inch","13-Inch","13.4-Inch","13.8-Inch","14-Inch","17-Inch","45-Inch","27-Inch","34-Inch","32-Inch","21.5-Inch"}), "")</f>
        <v/>
      </c>
      <c r="AR70" s="58"/>
      <c r="AS70" s="91"/>
      <c r="AT70" s="93"/>
      <c r="AU70" s="93"/>
      <c r="AV70" s="93"/>
      <c r="AW70" s="93"/>
    </row>
    <row r="71" spans="1:49" ht="15" customHeight="1" x14ac:dyDescent="0.25">
      <c r="A71" s="59"/>
      <c r="B71" s="12"/>
      <c r="C71" s="12"/>
      <c r="D71" s="60"/>
      <c r="E71" s="6"/>
      <c r="F71" s="6"/>
      <c r="G71" s="12"/>
      <c r="H71" s="12" t="str" cm="2">
        <f t="array" ref="H71">IFERROR(INDEX(BrandList!$A$2:$A$50,MATCH(TRUE,ISNUMBER(SEARCH(BrandList!$A$2:$A$50,G71)),0)),"")</f>
        <v/>
      </c>
      <c r="I71" s="12" t="str" cm="2">
        <f t="array" ref="I71">IFERROR(INDEX(BrandList!$B$2:$B$200,MATCH(TRUE,ISNUMBER(SEARCH(BrandList!$B$2:$B$200,G71)),0)),"")</f>
        <v/>
      </c>
      <c r="J71" s="12"/>
      <c r="K71" s="12"/>
      <c r="L71" s="60"/>
      <c r="M71" s="60"/>
      <c r="N71" s="60"/>
      <c r="O71" s="60"/>
      <c r="P71" s="7" t="str">
        <f t="shared" ref="P71:P134" si="3">IFERROR(IF(OR(E71="",F71="",F71=0),"",(F71-E71)/F71),"")</f>
        <v/>
      </c>
      <c r="Q71" s="8">
        <f>IFERROR(VLOOKUP(VALUE(A71),WEEKLY_DATA!$A:$H,2,0),0)</f>
        <v>0</v>
      </c>
      <c r="R71" s="8">
        <f>IFERROR(VLOOKUP(VALUE(A71),WEEKLY_DATA!$A:$H,3,0),0)</f>
        <v>0</v>
      </c>
      <c r="S71" s="8">
        <f>IFERROR(VLOOKUP(VALUE(A71),WEEKLY_DATA!$A:$H,4,0),0)</f>
        <v>0</v>
      </c>
      <c r="T71" s="51">
        <f>IFERROR(VLOOKUP(VALUE(A71),WEEKLY_DATA!$A:$H,5,0),0)</f>
        <v>0</v>
      </c>
      <c r="U71" s="51">
        <f>IFERROR(VLOOKUP(VALUE(A71),WEEKLY_DATA!$A:$H,6,0),0)</f>
        <v>0</v>
      </c>
      <c r="V71" s="51">
        <f>IFERROR(VLOOKUP(VALUE(A71),WEEKLY_DATA!$A:$H,7,0),0)</f>
        <v>0</v>
      </c>
      <c r="W71" s="9" t="str">
        <f>IFERROR(IF(OR(Q71="",Q71=0),"",IF(VLOOKUP(VALUE($A71),WEEKLY_DATA!$A:$H,6,0)=0,"No Sales",Q71/(VLOOKUP(VALUE($A71),WEEKLY_DATA!$A:$H,6,0)/13))),"")</f>
        <v/>
      </c>
      <c r="X71" s="10">
        <f>IFERROR(VLOOKUP(VALUE(A71),WEEKLY_DATA!$A:$H,8,0),0)</f>
        <v>0</v>
      </c>
      <c r="Y71" s="13" t="str">
        <f t="shared" si="2"/>
        <v>—</v>
      </c>
      <c r="Z71" s="11"/>
      <c r="AA71" s="11"/>
      <c r="AB71" s="11"/>
      <c r="AC71" s="11"/>
      <c r="AD71" s="11"/>
      <c r="AE71" s="11"/>
      <c r="AF71" s="61" t="s">
        <v>144</v>
      </c>
      <c r="AG71" s="61"/>
      <c r="AH71" s="62"/>
      <c r="AI71" s="62"/>
      <c r="AJ71" s="61" t="s">
        <v>144</v>
      </c>
      <c r="AK71" s="61" t="s">
        <v>144</v>
      </c>
      <c r="AL71" s="61"/>
      <c r="AM71" s="58" t="str" cm="2">
        <f t="array" ref="AM71">IFERROR(LOOKUP(2, 1/SEARCH({"Black","White","Grey","Blue","Silver","Brown","Green","Blue","Purple","Red","Pink","Yellow","Gold"}, G71), {"Black","White","Grey","Blue","Silver","Brown","Green","Blue","Purple","Red","Pink","Yellow","Gold"}), "")</f>
        <v/>
      </c>
      <c r="AN71" s="58" t="str">
        <f>IFERROR(LOOKUP(2, 1/SEARCH({"8GB","16GB","32GB","64GB"}, G71), {"8GB","16GB","32GB","64GB"}), "")</f>
        <v/>
      </c>
      <c r="AO71" s="58" t="str">
        <f>IFERROR(LOOKUP(2, 1/SEARCH({"1TB","2TB","128GB","512GB","256GB"}, G71), {"1TB","2TB","128GB","512GB","256GB"}), "")</f>
        <v/>
      </c>
      <c r="AP71" s="58"/>
      <c r="AQ71" s="58" t="str">
        <f>IFERROR(LOOKUP(2, 1/SEARCH({"16-Inch","15-Inch","15.6-Inch","18-Inch","15.3-Inch","13-Inch","13.4-Inch","13.8-Inch","14-Inch","17-Inch","45-Inch","27-Inch","34-Inch","32-Inch","21.5-Inch"}, G71), {"16-Inch","15-Inch","15.6-Inch","18-Inch","15.3-Inch","13-Inch","13.4-Inch","13.8-Inch","14-Inch","17-Inch","45-Inch","27-Inch","34-Inch","32-Inch","21.5-Inch"}), "")</f>
        <v/>
      </c>
      <c r="AR71" s="58"/>
      <c r="AS71" s="91"/>
      <c r="AT71" s="93"/>
      <c r="AU71" s="93"/>
      <c r="AV71" s="93"/>
      <c r="AW71" s="93"/>
    </row>
    <row r="72" spans="1:49" ht="15" customHeight="1" x14ac:dyDescent="0.25">
      <c r="A72" s="59"/>
      <c r="B72" s="12"/>
      <c r="C72" s="12"/>
      <c r="D72" s="60"/>
      <c r="E72" s="6"/>
      <c r="F72" s="6"/>
      <c r="G72" s="12"/>
      <c r="H72" s="12" t="str" cm="2">
        <f t="array" ref="H72">IFERROR(INDEX(BrandList!$A$2:$A$50,MATCH(TRUE,ISNUMBER(SEARCH(BrandList!$A$2:$A$50,G72)),0)),"")</f>
        <v/>
      </c>
      <c r="I72" s="12" t="str" cm="2">
        <f t="array" ref="I72">IFERROR(INDEX(BrandList!$B$2:$B$200,MATCH(TRUE,ISNUMBER(SEARCH(BrandList!$B$2:$B$200,G72)),0)),"")</f>
        <v/>
      </c>
      <c r="J72" s="12"/>
      <c r="K72" s="12"/>
      <c r="L72" s="60"/>
      <c r="M72" s="60"/>
      <c r="N72" s="60"/>
      <c r="O72" s="60"/>
      <c r="P72" s="7" t="str">
        <f t="shared" si="3"/>
        <v/>
      </c>
      <c r="Q72" s="8">
        <f>IFERROR(VLOOKUP(VALUE(A72),WEEKLY_DATA!$A:$H,2,0),0)</f>
        <v>0</v>
      </c>
      <c r="R72" s="8">
        <f>IFERROR(VLOOKUP(VALUE(A72),WEEKLY_DATA!$A:$H,3,0),0)</f>
        <v>0</v>
      </c>
      <c r="S72" s="8">
        <f>IFERROR(VLOOKUP(VALUE(A72),WEEKLY_DATA!$A:$H,4,0),0)</f>
        <v>0</v>
      </c>
      <c r="T72" s="51">
        <f>IFERROR(VLOOKUP(VALUE(A72),WEEKLY_DATA!$A:$H,5,0),0)</f>
        <v>0</v>
      </c>
      <c r="U72" s="51">
        <f>IFERROR(VLOOKUP(VALUE(A72),WEEKLY_DATA!$A:$H,6,0),0)</f>
        <v>0</v>
      </c>
      <c r="V72" s="51">
        <f>IFERROR(VLOOKUP(VALUE(A72),WEEKLY_DATA!$A:$H,7,0),0)</f>
        <v>0</v>
      </c>
      <c r="W72" s="9" t="str">
        <f>IFERROR(IF(OR(Q72="",Q72=0),"",IF(VLOOKUP(VALUE($A72),WEEKLY_DATA!$A:$H,6,0)=0,"No Sales",Q72/(VLOOKUP(VALUE($A72),WEEKLY_DATA!$A:$H,6,0)/13))),"")</f>
        <v/>
      </c>
      <c r="X72" s="10">
        <f>IFERROR(VLOOKUP(VALUE(A72),WEEKLY_DATA!$A:$H,8,0),0)</f>
        <v>0</v>
      </c>
      <c r="Y72" s="13" t="str">
        <f t="shared" si="2"/>
        <v>—</v>
      </c>
      <c r="Z72" s="11"/>
      <c r="AA72" s="11"/>
      <c r="AB72" s="11"/>
      <c r="AC72" s="11"/>
      <c r="AD72" s="11"/>
      <c r="AE72" s="11"/>
      <c r="AF72" s="61" t="s">
        <v>144</v>
      </c>
      <c r="AG72" s="61"/>
      <c r="AH72" s="62"/>
      <c r="AI72" s="62"/>
      <c r="AJ72" s="61" t="s">
        <v>144</v>
      </c>
      <c r="AK72" s="61" t="s">
        <v>144</v>
      </c>
      <c r="AL72" s="61"/>
      <c r="AM72" s="58" t="str" cm="2">
        <f t="array" ref="AM72">IFERROR(LOOKUP(2, 1/SEARCH({"Black","White","Grey","Blue","Silver","Brown","Green","Blue","Purple","Red","Pink","Yellow","Gold"}, G72), {"Black","White","Grey","Blue","Silver","Brown","Green","Blue","Purple","Red","Pink","Yellow","Gold"}), "")</f>
        <v/>
      </c>
      <c r="AN72" s="58" t="str">
        <f>IFERROR(LOOKUP(2, 1/SEARCH({"8GB","16GB","32GB","64GB"}, G72), {"8GB","16GB","32GB","64GB"}), "")</f>
        <v/>
      </c>
      <c r="AO72" s="58" t="str">
        <f>IFERROR(LOOKUP(2, 1/SEARCH({"1TB","2TB","128GB","512GB","256GB"}, G72), {"1TB","2TB","128GB","512GB","256GB"}), "")</f>
        <v/>
      </c>
      <c r="AP72" s="58"/>
      <c r="AQ72" s="58" t="str">
        <f>IFERROR(LOOKUP(2, 1/SEARCH({"16-Inch","15-Inch","15.6-Inch","18-Inch","15.3-Inch","13-Inch","13.4-Inch","13.8-Inch","14-Inch","17-Inch","45-Inch","27-Inch","34-Inch","32-Inch","21.5-Inch"}, G72), {"16-Inch","15-Inch","15.6-Inch","18-Inch","15.3-Inch","13-Inch","13.4-Inch","13.8-Inch","14-Inch","17-Inch","45-Inch","27-Inch","34-Inch","32-Inch","21.5-Inch"}), "")</f>
        <v/>
      </c>
      <c r="AR72" s="58"/>
      <c r="AS72" s="91"/>
      <c r="AT72" s="93"/>
      <c r="AU72" s="93"/>
      <c r="AV72" s="93"/>
      <c r="AW72" s="93"/>
    </row>
    <row r="73" spans="1:49" ht="15" customHeight="1" x14ac:dyDescent="0.25">
      <c r="A73" s="59"/>
      <c r="B73" s="12"/>
      <c r="C73" s="12"/>
      <c r="D73" s="60"/>
      <c r="E73" s="6"/>
      <c r="F73" s="6"/>
      <c r="G73" s="12"/>
      <c r="H73" s="12" t="str" cm="2">
        <f t="array" ref="H73">IFERROR(INDEX(BrandList!$A$2:$A$50,MATCH(TRUE,ISNUMBER(SEARCH(BrandList!$A$2:$A$50,G73)),0)),"")</f>
        <v/>
      </c>
      <c r="I73" s="12" t="str" cm="2">
        <f t="array" ref="I73">IFERROR(INDEX(BrandList!$B$2:$B$200,MATCH(TRUE,ISNUMBER(SEARCH(BrandList!$B$2:$B$200,G73)),0)),"")</f>
        <v/>
      </c>
      <c r="J73" s="12"/>
      <c r="K73" s="12"/>
      <c r="L73" s="60"/>
      <c r="M73" s="60"/>
      <c r="N73" s="60"/>
      <c r="O73" s="60"/>
      <c r="P73" s="7" t="str">
        <f t="shared" si="3"/>
        <v/>
      </c>
      <c r="Q73" s="8">
        <f>IFERROR(VLOOKUP(VALUE(A73),WEEKLY_DATA!$A:$H,2,0),0)</f>
        <v>0</v>
      </c>
      <c r="R73" s="8">
        <f>IFERROR(VLOOKUP(VALUE(A73),WEEKLY_DATA!$A:$H,3,0),0)</f>
        <v>0</v>
      </c>
      <c r="S73" s="8">
        <f>IFERROR(VLOOKUP(VALUE(A73),WEEKLY_DATA!$A:$H,4,0),0)</f>
        <v>0</v>
      </c>
      <c r="T73" s="51">
        <f>IFERROR(VLOOKUP(VALUE(A73),WEEKLY_DATA!$A:$H,5,0),0)</f>
        <v>0</v>
      </c>
      <c r="U73" s="51">
        <f>IFERROR(VLOOKUP(VALUE(A73),WEEKLY_DATA!$A:$H,6,0),0)</f>
        <v>0</v>
      </c>
      <c r="V73" s="51">
        <f>IFERROR(VLOOKUP(VALUE(A73),WEEKLY_DATA!$A:$H,7,0),0)</f>
        <v>0</v>
      </c>
      <c r="W73" s="9" t="str">
        <f>IFERROR(IF(OR(Q73="",Q73=0),"",IF(VLOOKUP(VALUE($A73),WEEKLY_DATA!$A:$H,6,0)=0,"No Sales",Q73/(VLOOKUP(VALUE($A73),WEEKLY_DATA!$A:$H,6,0)/13))),"")</f>
        <v/>
      </c>
      <c r="X73" s="10">
        <f>IFERROR(VLOOKUP(VALUE(A73),WEEKLY_DATA!$A:$H,8,0),0)</f>
        <v>0</v>
      </c>
      <c r="Y73" s="13" t="str">
        <f t="shared" si="2"/>
        <v>—</v>
      </c>
      <c r="Z73" s="11"/>
      <c r="AA73" s="11"/>
      <c r="AB73" s="11"/>
      <c r="AC73" s="11"/>
      <c r="AD73" s="11"/>
      <c r="AE73" s="11"/>
      <c r="AF73" s="61" t="s">
        <v>144</v>
      </c>
      <c r="AG73" s="61"/>
      <c r="AH73" s="62" t="s">
        <v>144</v>
      </c>
      <c r="AI73" s="62"/>
      <c r="AJ73" s="61" t="s">
        <v>144</v>
      </c>
      <c r="AK73" s="61" t="s">
        <v>144</v>
      </c>
      <c r="AL73" s="61"/>
      <c r="AM73" s="58" t="str" cm="2">
        <f t="array" ref="AM73">IFERROR(LOOKUP(2, 1/SEARCH({"Black","White","Grey","Blue","Silver","Brown","Green","Blue","Purple","Red","Pink","Yellow","Gold"}, G73), {"Black","White","Grey","Blue","Silver","Brown","Green","Blue","Purple","Red","Pink","Yellow","Gold"}), "")</f>
        <v/>
      </c>
      <c r="AN73" s="58" t="str">
        <f>IFERROR(LOOKUP(2, 1/SEARCH({"8GB","16GB","32GB","64GB"}, G73), {"8GB","16GB","32GB","64GB"}), "")</f>
        <v/>
      </c>
      <c r="AO73" s="58" t="str">
        <f>IFERROR(LOOKUP(2, 1/SEARCH({"1TB","2TB","128GB","512GB","256GB"}, G73), {"1TB","2TB","128GB","512GB","256GB"}), "")</f>
        <v/>
      </c>
      <c r="AP73" s="58"/>
      <c r="AQ73" s="58" t="str">
        <f>IFERROR(LOOKUP(2, 1/SEARCH({"16-Inch","15-Inch","15.6-Inch","18-Inch","15.3-Inch","13-Inch","13.4-Inch","13.8-Inch","14-Inch","17-Inch","45-Inch","27-Inch","34-Inch","32-Inch","21.5-Inch"}, G73), {"16-Inch","15-Inch","15.6-Inch","18-Inch","15.3-Inch","13-Inch","13.4-Inch","13.8-Inch","14-Inch","17-Inch","45-Inch","27-Inch","34-Inch","32-Inch","21.5-Inch"}), "")</f>
        <v/>
      </c>
      <c r="AR73" s="58"/>
      <c r="AS73" s="91"/>
      <c r="AT73" s="93"/>
      <c r="AU73" s="93"/>
      <c r="AV73" s="93"/>
      <c r="AW73" s="93"/>
    </row>
    <row r="74" spans="1:49" ht="15" customHeight="1" x14ac:dyDescent="0.25">
      <c r="A74" s="59"/>
      <c r="B74" s="12"/>
      <c r="C74" s="12"/>
      <c r="D74" s="60"/>
      <c r="E74" s="6"/>
      <c r="F74" s="6"/>
      <c r="G74" s="12"/>
      <c r="H74" s="12" t="str" cm="2">
        <f t="array" ref="H74">IFERROR(INDEX(BrandList!$A$2:$A$50,MATCH(TRUE,ISNUMBER(SEARCH(BrandList!$A$2:$A$50,G74)),0)),"")</f>
        <v/>
      </c>
      <c r="I74" s="12" t="str" cm="2">
        <f t="array" ref="I74">IFERROR(INDEX(BrandList!$B$2:$B$200,MATCH(TRUE,ISNUMBER(SEARCH(BrandList!$B$2:$B$200,G74)),0)),"")</f>
        <v/>
      </c>
      <c r="J74" s="12"/>
      <c r="K74" s="59"/>
      <c r="L74" s="86"/>
      <c r="M74" s="86"/>
      <c r="N74" s="86"/>
      <c r="O74" s="86"/>
      <c r="P74" s="7" t="str">
        <f t="shared" si="3"/>
        <v/>
      </c>
      <c r="Q74" s="8">
        <f>IFERROR(VLOOKUP(VALUE(A74),WEEKLY_DATA!$A:$H,2,0),0)</f>
        <v>0</v>
      </c>
      <c r="R74" s="8">
        <f>IFERROR(VLOOKUP(VALUE(A74),WEEKLY_DATA!$A:$H,3,0),0)</f>
        <v>0</v>
      </c>
      <c r="S74" s="8">
        <f>IFERROR(VLOOKUP(VALUE(A74),WEEKLY_DATA!$A:$H,4,0),0)</f>
        <v>0</v>
      </c>
      <c r="T74" s="51">
        <f>IFERROR(VLOOKUP(VALUE(A74),WEEKLY_DATA!$A:$H,5,0),0)</f>
        <v>0</v>
      </c>
      <c r="U74" s="51">
        <f>IFERROR(VLOOKUP(VALUE(A74),WEEKLY_DATA!$A:$H,6,0),0)</f>
        <v>0</v>
      </c>
      <c r="V74" s="51">
        <f>IFERROR(VLOOKUP(VALUE(A74),WEEKLY_DATA!$A:$H,7,0),0)</f>
        <v>0</v>
      </c>
      <c r="W74" s="9" t="str">
        <f>IFERROR(IF(OR(Q74="",Q74=0),"",IF(VLOOKUP(VALUE($A74),WEEKLY_DATA!$A:$H,6,0)=0,"No Sales",Q74/(VLOOKUP(VALUE($A74),WEEKLY_DATA!$A:$H,6,0)/13))),"")</f>
        <v/>
      </c>
      <c r="X74" s="10">
        <f>IFERROR(VLOOKUP(VALUE(A74),WEEKLY_DATA!$A:$H,8,0),0)</f>
        <v>0</v>
      </c>
      <c r="Y74" s="13" t="str">
        <f t="shared" si="2"/>
        <v>—</v>
      </c>
      <c r="Z74" s="11"/>
      <c r="AA74" s="11"/>
      <c r="AB74" s="11"/>
      <c r="AC74" s="11"/>
      <c r="AD74" s="11"/>
      <c r="AE74" s="11"/>
      <c r="AF74" s="61" t="s">
        <v>144</v>
      </c>
      <c r="AG74" s="61"/>
      <c r="AH74" s="62"/>
      <c r="AI74" s="62"/>
      <c r="AJ74" s="61" t="s">
        <v>144</v>
      </c>
      <c r="AK74" s="61" t="s">
        <v>144</v>
      </c>
      <c r="AL74" s="61"/>
      <c r="AM74" s="58" t="str" cm="2">
        <f t="array" ref="AM74">IFERROR(LOOKUP(2, 1/SEARCH({"Black","White","Grey","Blue","Silver","Brown","Green","Blue","Purple","Red","Pink","Yellow","Gold"}, G74), {"Black","White","Grey","Blue","Silver","Brown","Green","Blue","Purple","Red","Pink","Yellow","Gold"}), "")</f>
        <v/>
      </c>
      <c r="AN74" s="58" t="str">
        <f>IFERROR(LOOKUP(2, 1/SEARCH({"8GB","16GB","32GB","64GB"}, G74), {"8GB","16GB","32GB","64GB"}), "")</f>
        <v/>
      </c>
      <c r="AO74" s="58" t="str">
        <f>IFERROR(LOOKUP(2, 1/SEARCH({"1TB","2TB","128GB","512GB","256GB"}, G74), {"1TB","2TB","128GB","512GB","256GB"}), "")</f>
        <v/>
      </c>
      <c r="AP74" s="58"/>
      <c r="AQ74" s="58" t="str">
        <f>IFERROR(LOOKUP(2, 1/SEARCH({"16-Inch","15-Inch","15.6-Inch","18-Inch","15.3-Inch","13-Inch","13.4-Inch","13.8-Inch","14-Inch","17-Inch","45-Inch","27-Inch","34-Inch","32-Inch","21.5-Inch"}, G74), {"16-Inch","15-Inch","15.6-Inch","18-Inch","15.3-Inch","13-Inch","13.4-Inch","13.8-Inch","14-Inch","17-Inch","45-Inch","27-Inch","34-Inch","32-Inch","21.5-Inch"}), "")</f>
        <v/>
      </c>
      <c r="AR74" s="58"/>
      <c r="AS74" s="91"/>
      <c r="AT74" s="93"/>
      <c r="AU74" s="93"/>
      <c r="AV74" s="93"/>
      <c r="AW74" s="93"/>
    </row>
    <row r="75" spans="1:49" ht="15" customHeight="1" x14ac:dyDescent="0.25">
      <c r="A75" s="59"/>
      <c r="B75" s="12"/>
      <c r="C75" s="12"/>
      <c r="D75" s="60"/>
      <c r="E75" s="6"/>
      <c r="F75" s="6"/>
      <c r="G75" s="12"/>
      <c r="H75" s="12" t="str" cm="2">
        <f t="array" ref="H75">IFERROR(INDEX(BrandList!$A$2:$A$50,MATCH(TRUE,ISNUMBER(SEARCH(BrandList!$A$2:$A$50,G75)),0)),"")</f>
        <v/>
      </c>
      <c r="I75" s="12" t="str" cm="2">
        <f t="array" ref="I75">IFERROR(INDEX(BrandList!$B$2:$B$200,MATCH(TRUE,ISNUMBER(SEARCH(BrandList!$B$2:$B$200,G75)),0)),"")</f>
        <v/>
      </c>
      <c r="J75" s="12"/>
      <c r="K75" s="12"/>
      <c r="L75" s="60"/>
      <c r="M75" s="60"/>
      <c r="N75" s="60"/>
      <c r="O75" s="60"/>
      <c r="P75" s="7" t="str">
        <f t="shared" si="3"/>
        <v/>
      </c>
      <c r="Q75" s="8">
        <f>IFERROR(VLOOKUP(VALUE(A75),WEEKLY_DATA!$A:$H,2,0),0)</f>
        <v>0</v>
      </c>
      <c r="R75" s="8">
        <f>IFERROR(VLOOKUP(VALUE(A75),WEEKLY_DATA!$A:$H,3,0),0)</f>
        <v>0</v>
      </c>
      <c r="S75" s="8">
        <f>IFERROR(VLOOKUP(VALUE(A75),WEEKLY_DATA!$A:$H,4,0),0)</f>
        <v>0</v>
      </c>
      <c r="T75" s="51">
        <f>IFERROR(VLOOKUP(VALUE(A75),WEEKLY_DATA!$A:$H,5,0),0)</f>
        <v>0</v>
      </c>
      <c r="U75" s="51">
        <f>IFERROR(VLOOKUP(VALUE(A75),WEEKLY_DATA!$A:$H,6,0),0)</f>
        <v>0</v>
      </c>
      <c r="V75" s="51">
        <f>IFERROR(VLOOKUP(VALUE(A75),WEEKLY_DATA!$A:$H,7,0),0)</f>
        <v>0</v>
      </c>
      <c r="W75" s="9" t="str">
        <f>IFERROR(IF(OR(Q75="",Q75=0),"",IF(VLOOKUP(VALUE($A75),WEEKLY_DATA!$A:$H,6,0)=0,"No Sales",Q75/(VLOOKUP(VALUE($A75),WEEKLY_DATA!$A:$H,6,0)/13))),"")</f>
        <v/>
      </c>
      <c r="X75" s="10">
        <f>IFERROR(VLOOKUP(VALUE(A75),WEEKLY_DATA!$A:$H,8,0),0)</f>
        <v>0</v>
      </c>
      <c r="Y75" s="13" t="str">
        <f t="shared" si="2"/>
        <v>—</v>
      </c>
      <c r="Z75" s="11"/>
      <c r="AA75" s="11"/>
      <c r="AB75" s="11"/>
      <c r="AC75" s="11"/>
      <c r="AD75" s="11"/>
      <c r="AE75" s="11"/>
      <c r="AF75" s="61" t="s">
        <v>144</v>
      </c>
      <c r="AG75" s="61"/>
      <c r="AH75" s="62"/>
      <c r="AI75" s="62"/>
      <c r="AJ75" s="61" t="s">
        <v>144</v>
      </c>
      <c r="AK75" s="61" t="s">
        <v>144</v>
      </c>
      <c r="AL75" s="61"/>
      <c r="AM75" s="58" t="str" cm="2">
        <f t="array" ref="AM75">IFERROR(LOOKUP(2, 1/SEARCH({"Black","White","Grey","Blue","Silver","Brown","Green","Blue","Purple","Red","Pink","Yellow","Gold"}, G75), {"Black","White","Grey","Blue","Silver","Brown","Green","Blue","Purple","Red","Pink","Yellow","Gold"}), "")</f>
        <v/>
      </c>
      <c r="AN75" s="58" t="str">
        <f>IFERROR(LOOKUP(2, 1/SEARCH({"8GB","16GB","32GB","64GB"}, G75), {"8GB","16GB","32GB","64GB"}), "")</f>
        <v/>
      </c>
      <c r="AO75" s="58" t="str">
        <f>IFERROR(LOOKUP(2, 1/SEARCH({"1TB","2TB","128GB","512GB","256GB"}, G75), {"1TB","2TB","128GB","512GB","256GB"}), "")</f>
        <v/>
      </c>
      <c r="AP75" s="58"/>
      <c r="AQ75" s="58" t="str">
        <f>IFERROR(LOOKUP(2, 1/SEARCH({"16-Inch","15-Inch","15.6-Inch","18-Inch","15.3-Inch","13-Inch","13.4-Inch","13.8-Inch","14-Inch","17-Inch","45-Inch","27-Inch","34-Inch","32-Inch","21.5-Inch"}, G75), {"16-Inch","15-Inch","15.6-Inch","18-Inch","15.3-Inch","13-Inch","13.4-Inch","13.8-Inch","14-Inch","17-Inch","45-Inch","27-Inch","34-Inch","32-Inch","21.5-Inch"}), "")</f>
        <v/>
      </c>
      <c r="AR75" s="58"/>
      <c r="AS75" s="91"/>
      <c r="AT75" s="93"/>
      <c r="AU75" s="93"/>
      <c r="AV75" s="93"/>
      <c r="AW75" s="93"/>
    </row>
    <row r="76" spans="1:49" ht="15" customHeight="1" x14ac:dyDescent="0.25">
      <c r="A76" s="59"/>
      <c r="B76" s="12"/>
      <c r="C76" s="12"/>
      <c r="D76" s="60"/>
      <c r="E76" s="6"/>
      <c r="F76" s="6"/>
      <c r="G76" s="12"/>
      <c r="H76" s="12" t="str" cm="2">
        <f t="array" ref="H76">IFERROR(INDEX(BrandList!$A$2:$A$50,MATCH(TRUE,ISNUMBER(SEARCH(BrandList!$A$2:$A$50,G76)),0)),"")</f>
        <v/>
      </c>
      <c r="I76" s="12" t="str" cm="2">
        <f t="array" ref="I76">IFERROR(INDEX(BrandList!$B$2:$B$200,MATCH(TRUE,ISNUMBER(SEARCH(BrandList!$B$2:$B$200,G76)),0)),"")</f>
        <v/>
      </c>
      <c r="J76" s="12"/>
      <c r="K76" s="12"/>
      <c r="L76" s="60"/>
      <c r="M76" s="60"/>
      <c r="N76" s="60"/>
      <c r="O76" s="60"/>
      <c r="P76" s="7" t="str">
        <f t="shared" si="3"/>
        <v/>
      </c>
      <c r="Q76" s="8">
        <f>IFERROR(VLOOKUP(VALUE(A76),WEEKLY_DATA!$A:$H,2,0),0)</f>
        <v>0</v>
      </c>
      <c r="R76" s="8">
        <f>IFERROR(VLOOKUP(VALUE(A76),WEEKLY_DATA!$A:$H,3,0),0)</f>
        <v>0</v>
      </c>
      <c r="S76" s="8">
        <f>IFERROR(VLOOKUP(VALUE(A76),WEEKLY_DATA!$A:$H,4,0),0)</f>
        <v>0</v>
      </c>
      <c r="T76" s="51">
        <f>IFERROR(VLOOKUP(VALUE(A76),WEEKLY_DATA!$A:$H,5,0),0)</f>
        <v>0</v>
      </c>
      <c r="U76" s="51">
        <f>IFERROR(VLOOKUP(VALUE(A76),WEEKLY_DATA!$A:$H,6,0),0)</f>
        <v>0</v>
      </c>
      <c r="V76" s="51">
        <f>IFERROR(VLOOKUP(VALUE(A76),WEEKLY_DATA!$A:$H,7,0),0)</f>
        <v>0</v>
      </c>
      <c r="W76" s="9" t="str">
        <f>IFERROR(IF(OR(Q76="",Q76=0),"",IF(VLOOKUP(VALUE($A76),WEEKLY_DATA!$A:$H,6,0)=0,"No Sales",Q76/(VLOOKUP(VALUE($A76),WEEKLY_DATA!$A:$H,6,0)/13))),"")</f>
        <v/>
      </c>
      <c r="X76" s="10">
        <f>IFERROR(VLOOKUP(VALUE(A76),WEEKLY_DATA!$A:$H,8,0),0)</f>
        <v>0</v>
      </c>
      <c r="Y76" s="13" t="str">
        <f t="shared" si="2"/>
        <v>—</v>
      </c>
      <c r="Z76" s="11"/>
      <c r="AA76" s="11"/>
      <c r="AB76" s="11"/>
      <c r="AC76" s="11"/>
      <c r="AD76" s="11"/>
      <c r="AE76" s="11"/>
      <c r="AF76" s="61" t="s">
        <v>144</v>
      </c>
      <c r="AG76" s="61"/>
      <c r="AH76" s="62"/>
      <c r="AI76" s="62"/>
      <c r="AJ76" s="61" t="s">
        <v>144</v>
      </c>
      <c r="AK76" s="61" t="s">
        <v>144</v>
      </c>
      <c r="AL76" s="61"/>
      <c r="AM76" s="58" t="str" cm="2">
        <f t="array" ref="AM76">IFERROR(LOOKUP(2, 1/SEARCH({"Black","White","Grey","Blue","Silver","Brown","Green","Blue","Purple","Red","Pink","Yellow","Gold"}, G76), {"Black","White","Grey","Blue","Silver","Brown","Green","Blue","Purple","Red","Pink","Yellow","Gold"}), "")</f>
        <v/>
      </c>
      <c r="AN76" s="58" t="str">
        <f>IFERROR(LOOKUP(2, 1/SEARCH({"8GB","16GB","32GB","64GB"}, G76), {"8GB","16GB","32GB","64GB"}), "")</f>
        <v/>
      </c>
      <c r="AO76" s="58" t="str">
        <f>IFERROR(LOOKUP(2, 1/SEARCH({"1TB","2TB","128GB","512GB","256GB"}, G76), {"1TB","2TB","128GB","512GB","256GB"}), "")</f>
        <v/>
      </c>
      <c r="AP76" s="58"/>
      <c r="AQ76" s="58" t="str">
        <f>IFERROR(LOOKUP(2, 1/SEARCH({"16-Inch","15-Inch","15.6-Inch","18-Inch","15.3-Inch","13-Inch","13.4-Inch","13.8-Inch","14-Inch","17-Inch","45-Inch","27-Inch","34-Inch","32-Inch","21.5-Inch"}, G76), {"16-Inch","15-Inch","15.6-Inch","18-Inch","15.3-Inch","13-Inch","13.4-Inch","13.8-Inch","14-Inch","17-Inch","45-Inch","27-Inch","34-Inch","32-Inch","21.5-Inch"}), "")</f>
        <v/>
      </c>
      <c r="AR76" s="58"/>
      <c r="AS76" s="91"/>
      <c r="AT76" s="93"/>
      <c r="AU76" s="93"/>
      <c r="AV76" s="93"/>
      <c r="AW76" s="93"/>
    </row>
    <row r="77" spans="1:49" ht="15" customHeight="1" x14ac:dyDescent="0.25">
      <c r="A77" s="59"/>
      <c r="B77" s="12"/>
      <c r="C77" s="12"/>
      <c r="D77" s="60"/>
      <c r="E77" s="6"/>
      <c r="F77" s="6"/>
      <c r="G77" s="12"/>
      <c r="H77" s="12" t="str" cm="2">
        <f t="array" ref="H77">IFERROR(INDEX(BrandList!$A$2:$A$50,MATCH(TRUE,ISNUMBER(SEARCH(BrandList!$A$2:$A$50,G77)),0)),"")</f>
        <v/>
      </c>
      <c r="I77" s="12" t="str" cm="2">
        <f t="array" ref="I77">IFERROR(INDEX(BrandList!$B$2:$B$200,MATCH(TRUE,ISNUMBER(SEARCH(BrandList!$B$2:$B$200,G77)),0)),"")</f>
        <v/>
      </c>
      <c r="J77" s="12"/>
      <c r="K77" s="12"/>
      <c r="L77" s="60"/>
      <c r="M77" s="60"/>
      <c r="N77" s="60"/>
      <c r="O77" s="60"/>
      <c r="P77" s="7" t="str">
        <f t="shared" si="3"/>
        <v/>
      </c>
      <c r="Q77" s="8">
        <f>IFERROR(VLOOKUP(VALUE(A77),WEEKLY_DATA!$A:$H,2,0),0)</f>
        <v>0</v>
      </c>
      <c r="R77" s="8">
        <f>IFERROR(VLOOKUP(VALUE(A77),WEEKLY_DATA!$A:$H,3,0),0)</f>
        <v>0</v>
      </c>
      <c r="S77" s="8">
        <f>IFERROR(VLOOKUP(VALUE(A77),WEEKLY_DATA!$A:$H,4,0),0)</f>
        <v>0</v>
      </c>
      <c r="T77" s="51">
        <f>IFERROR(VLOOKUP(VALUE(A77),WEEKLY_DATA!$A:$H,5,0),0)</f>
        <v>0</v>
      </c>
      <c r="U77" s="51">
        <f>IFERROR(VLOOKUP(VALUE(A77),WEEKLY_DATA!$A:$H,6,0),0)</f>
        <v>0</v>
      </c>
      <c r="V77" s="51">
        <f>IFERROR(VLOOKUP(VALUE(A77),WEEKLY_DATA!$A:$H,7,0),0)</f>
        <v>0</v>
      </c>
      <c r="W77" s="9" t="str">
        <f>IFERROR(IF(OR(Q77="",Q77=0),"",IF(VLOOKUP(VALUE($A77),WEEKLY_DATA!$A:$H,6,0)=0,"No Sales",Q77/(VLOOKUP(VALUE($A77),WEEKLY_DATA!$A:$H,6,0)/13))),"")</f>
        <v/>
      </c>
      <c r="X77" s="10">
        <f>IFERROR(VLOOKUP(VALUE(A77),WEEKLY_DATA!$A:$H,8,0),0)</f>
        <v>0</v>
      </c>
      <c r="Y77" s="13" t="str">
        <f t="shared" si="2"/>
        <v>—</v>
      </c>
      <c r="Z77" s="11"/>
      <c r="AA77" s="11"/>
      <c r="AB77" s="11"/>
      <c r="AC77" s="11"/>
      <c r="AD77" s="11"/>
      <c r="AE77" s="11"/>
      <c r="AF77" s="61" t="s">
        <v>144</v>
      </c>
      <c r="AG77" s="61"/>
      <c r="AH77" s="62"/>
      <c r="AI77" s="62"/>
      <c r="AJ77" s="61" t="s">
        <v>144</v>
      </c>
      <c r="AK77" s="61" t="s">
        <v>144</v>
      </c>
      <c r="AL77" s="61"/>
      <c r="AM77" s="58" t="str" cm="2">
        <f t="array" ref="AM77">IFERROR(LOOKUP(2, 1/SEARCH({"Black","White","Grey","Blue","Silver","Brown","Green","Blue","Purple","Red","Pink","Yellow","Gold"}, G77), {"Black","White","Grey","Blue","Silver","Brown","Green","Blue","Purple","Red","Pink","Yellow","Gold"}), "")</f>
        <v/>
      </c>
      <c r="AN77" s="58" t="str">
        <f>IFERROR(LOOKUP(2, 1/SEARCH({"8GB","16GB","32GB","64GB"}, G77), {"8GB","16GB","32GB","64GB"}), "")</f>
        <v/>
      </c>
      <c r="AO77" s="58" t="str">
        <f>IFERROR(LOOKUP(2, 1/SEARCH({"1TB","2TB","128GB","512GB","256GB"}, G77), {"1TB","2TB","128GB","512GB","256GB"}), "")</f>
        <v/>
      </c>
      <c r="AP77" s="58"/>
      <c r="AQ77" s="58" t="str">
        <f>IFERROR(LOOKUP(2, 1/SEARCH({"16-Inch","15-Inch","15.6-Inch","18-Inch","15.3-Inch","13-Inch","13.4-Inch","13.8-Inch","14-Inch","17-Inch","45-Inch","27-Inch","34-Inch","32-Inch","21.5-Inch"}, G77), {"16-Inch","15-Inch","15.6-Inch","18-Inch","15.3-Inch","13-Inch","13.4-Inch","13.8-Inch","14-Inch","17-Inch","45-Inch","27-Inch","34-Inch","32-Inch","21.5-Inch"}), "")</f>
        <v/>
      </c>
      <c r="AR77" s="58"/>
      <c r="AS77" s="91"/>
      <c r="AT77" s="93"/>
      <c r="AU77" s="93"/>
      <c r="AV77" s="93"/>
      <c r="AW77" s="93"/>
    </row>
    <row r="78" spans="1:49" ht="15" customHeight="1" x14ac:dyDescent="0.25">
      <c r="A78" s="59"/>
      <c r="B78" s="12"/>
      <c r="C78" s="12"/>
      <c r="D78" s="60"/>
      <c r="E78" s="6"/>
      <c r="F78" s="6"/>
      <c r="G78" s="12"/>
      <c r="H78" s="12" t="str" cm="2">
        <f t="array" ref="H78">IFERROR(INDEX(BrandList!$A$2:$A$50,MATCH(TRUE,ISNUMBER(SEARCH(BrandList!$A$2:$A$50,G78)),0)),"")</f>
        <v/>
      </c>
      <c r="I78" s="12" t="str" cm="2">
        <f t="array" ref="I78">IFERROR(INDEX(BrandList!$B$2:$B$200,MATCH(TRUE,ISNUMBER(SEARCH(BrandList!$B$2:$B$200,G78)),0)),"")</f>
        <v/>
      </c>
      <c r="J78" s="12"/>
      <c r="K78" s="12"/>
      <c r="L78" s="60"/>
      <c r="M78" s="60"/>
      <c r="N78" s="60"/>
      <c r="O78" s="60"/>
      <c r="P78" s="7" t="str">
        <f t="shared" si="3"/>
        <v/>
      </c>
      <c r="Q78" s="8">
        <f>IFERROR(VLOOKUP(VALUE(A78),WEEKLY_DATA!$A:$H,2,0),0)</f>
        <v>0</v>
      </c>
      <c r="R78" s="8">
        <f>IFERROR(VLOOKUP(VALUE(A78),WEEKLY_DATA!$A:$H,3,0),0)</f>
        <v>0</v>
      </c>
      <c r="S78" s="8">
        <f>IFERROR(VLOOKUP(VALUE(A78),WEEKLY_DATA!$A:$H,4,0),0)</f>
        <v>0</v>
      </c>
      <c r="T78" s="51">
        <f>IFERROR(VLOOKUP(VALUE(A78),WEEKLY_DATA!$A:$H,5,0),0)</f>
        <v>0</v>
      </c>
      <c r="U78" s="51">
        <f>IFERROR(VLOOKUP(VALUE(A78),WEEKLY_DATA!$A:$H,6,0),0)</f>
        <v>0</v>
      </c>
      <c r="V78" s="51">
        <f>IFERROR(VLOOKUP(VALUE(A78),WEEKLY_DATA!$A:$H,7,0),0)</f>
        <v>0</v>
      </c>
      <c r="W78" s="9" t="str">
        <f>IFERROR(IF(OR(Q78="",Q78=0),"",IF(VLOOKUP(VALUE($A78),WEEKLY_DATA!$A:$H,6,0)=0,"No Sales",Q78/(VLOOKUP(VALUE($A78),WEEKLY_DATA!$A:$H,6,0)/13))),"")</f>
        <v/>
      </c>
      <c r="X78" s="10">
        <f>IFERROR(VLOOKUP(VALUE(A78),WEEKLY_DATA!$A:$H,8,0),0)</f>
        <v>0</v>
      </c>
      <c r="Y78" s="13" t="str">
        <f t="shared" si="2"/>
        <v>—</v>
      </c>
      <c r="Z78" s="11"/>
      <c r="AA78" s="11"/>
      <c r="AB78" s="11"/>
      <c r="AC78" s="11"/>
      <c r="AD78" s="11"/>
      <c r="AE78" s="11"/>
      <c r="AF78" s="61" t="s">
        <v>144</v>
      </c>
      <c r="AG78" s="61"/>
      <c r="AH78" s="62"/>
      <c r="AI78" s="62"/>
      <c r="AJ78" s="61" t="s">
        <v>144</v>
      </c>
      <c r="AK78" s="61" t="s">
        <v>144</v>
      </c>
      <c r="AL78" s="61"/>
      <c r="AM78" s="58" t="str" cm="2">
        <f t="array" ref="AM78">IFERROR(LOOKUP(2, 1/SEARCH({"Black","White","Grey","Blue","Silver","Brown","Green","Blue","Purple","Red","Pink","Yellow","Gold"}, G78), {"Black","White","Grey","Blue","Silver","Brown","Green","Blue","Purple","Red","Pink","Yellow","Gold"}), "")</f>
        <v/>
      </c>
      <c r="AN78" s="58" t="str">
        <f>IFERROR(LOOKUP(2, 1/SEARCH({"8GB","16GB","32GB","64GB"}, G78), {"8GB","16GB","32GB","64GB"}), "")</f>
        <v/>
      </c>
      <c r="AO78" s="58" t="str">
        <f>IFERROR(LOOKUP(2, 1/SEARCH({"1TB","2TB","128GB","512GB","256GB"}, G78), {"1TB","2TB","128GB","512GB","256GB"}), "")</f>
        <v/>
      </c>
      <c r="AP78" s="58"/>
      <c r="AQ78" s="58" t="str">
        <f>IFERROR(LOOKUP(2, 1/SEARCH({"16-Inch","15-Inch","15.6-Inch","18-Inch","15.3-Inch","13-Inch","13.4-Inch","13.8-Inch","14-Inch","17-Inch","45-Inch","27-Inch","34-Inch","32-Inch","21.5-Inch"}, G78), {"16-Inch","15-Inch","15.6-Inch","18-Inch","15.3-Inch","13-Inch","13.4-Inch","13.8-Inch","14-Inch","17-Inch","45-Inch","27-Inch","34-Inch","32-Inch","21.5-Inch"}), "")</f>
        <v/>
      </c>
      <c r="AR78" s="58"/>
      <c r="AS78" s="91"/>
      <c r="AT78" s="93"/>
      <c r="AU78" s="93"/>
      <c r="AV78" s="93"/>
      <c r="AW78" s="93"/>
    </row>
    <row r="79" spans="1:49" ht="15" customHeight="1" x14ac:dyDescent="0.25">
      <c r="A79" s="59"/>
      <c r="B79" s="12"/>
      <c r="C79" s="12"/>
      <c r="D79" s="60"/>
      <c r="E79" s="6"/>
      <c r="F79" s="6"/>
      <c r="G79" s="12"/>
      <c r="H79" s="12" t="str" cm="2">
        <f t="array" ref="H79">IFERROR(INDEX(BrandList!$A$2:$A$50,MATCH(TRUE,ISNUMBER(SEARCH(BrandList!$A$2:$A$50,G79)),0)),"")</f>
        <v/>
      </c>
      <c r="I79" s="12" t="str" cm="2">
        <f t="array" ref="I79">IFERROR(INDEX(BrandList!$B$2:$B$200,MATCH(TRUE,ISNUMBER(SEARCH(BrandList!$B$2:$B$200,G79)),0)),"")</f>
        <v/>
      </c>
      <c r="J79" s="12"/>
      <c r="K79" s="12"/>
      <c r="L79" s="60"/>
      <c r="M79" s="60"/>
      <c r="N79" s="60"/>
      <c r="O79" s="60"/>
      <c r="P79" s="7" t="str">
        <f t="shared" si="3"/>
        <v/>
      </c>
      <c r="Q79" s="8">
        <f>IFERROR(VLOOKUP(VALUE(A79),WEEKLY_DATA!$A:$H,2,0),0)</f>
        <v>0</v>
      </c>
      <c r="R79" s="8">
        <f>IFERROR(VLOOKUP(VALUE(A79),WEEKLY_DATA!$A:$H,3,0),0)</f>
        <v>0</v>
      </c>
      <c r="S79" s="8">
        <f>IFERROR(VLOOKUP(VALUE(A79),WEEKLY_DATA!$A:$H,4,0),0)</f>
        <v>0</v>
      </c>
      <c r="T79" s="51">
        <f>IFERROR(VLOOKUP(VALUE(A79),WEEKLY_DATA!$A:$H,5,0),0)</f>
        <v>0</v>
      </c>
      <c r="U79" s="51">
        <f>IFERROR(VLOOKUP(VALUE(A79),WEEKLY_DATA!$A:$H,6,0),0)</f>
        <v>0</v>
      </c>
      <c r="V79" s="51">
        <f>IFERROR(VLOOKUP(VALUE(A79),WEEKLY_DATA!$A:$H,7,0),0)</f>
        <v>0</v>
      </c>
      <c r="W79" s="9" t="str">
        <f>IFERROR(IF(OR(Q79="",Q79=0),"",IF(VLOOKUP(VALUE($A79),WEEKLY_DATA!$A:$H,6,0)=0,"No Sales",Q79/(VLOOKUP(VALUE($A79),WEEKLY_DATA!$A:$H,6,0)/13))),"")</f>
        <v/>
      </c>
      <c r="X79" s="10">
        <f>IFERROR(VLOOKUP(VALUE(A79),WEEKLY_DATA!$A:$H,8,0),0)</f>
        <v>0</v>
      </c>
      <c r="Y79" s="13" t="str">
        <f t="shared" si="2"/>
        <v>—</v>
      </c>
      <c r="Z79" s="11"/>
      <c r="AA79" s="11"/>
      <c r="AB79" s="11"/>
      <c r="AC79" s="11"/>
      <c r="AD79" s="11"/>
      <c r="AE79" s="11"/>
      <c r="AF79" s="61" t="s">
        <v>144</v>
      </c>
      <c r="AG79" s="61"/>
      <c r="AH79" s="62"/>
      <c r="AI79" s="62"/>
      <c r="AJ79" s="61" t="s">
        <v>144</v>
      </c>
      <c r="AK79" s="61" t="s">
        <v>144</v>
      </c>
      <c r="AL79" s="61"/>
      <c r="AM79" s="58" t="str" cm="2">
        <f t="array" ref="AM79">IFERROR(LOOKUP(2, 1/SEARCH({"Black","White","Grey","Blue","Silver","Brown","Green","Blue","Purple","Red","Pink","Yellow","Gold"}, G79), {"Black","White","Grey","Blue","Silver","Brown","Green","Blue","Purple","Red","Pink","Yellow","Gold"}), "")</f>
        <v/>
      </c>
      <c r="AN79" s="58" t="str">
        <f>IFERROR(LOOKUP(2, 1/SEARCH({"8GB","16GB","32GB","64GB"}, G79), {"8GB","16GB","32GB","64GB"}), "")</f>
        <v/>
      </c>
      <c r="AO79" s="58" t="str">
        <f>IFERROR(LOOKUP(2, 1/SEARCH({"1TB","2TB","128GB","512GB","256GB"}, G79), {"1TB","2TB","128GB","512GB","256GB"}), "")</f>
        <v/>
      </c>
      <c r="AP79" s="58"/>
      <c r="AQ79" s="58" t="str">
        <f>IFERROR(LOOKUP(2, 1/SEARCH({"16-Inch","15-Inch","15.6-Inch","18-Inch","15.3-Inch","13-Inch","13.4-Inch","13.8-Inch","14-Inch","17-Inch","45-Inch","27-Inch","34-Inch","32-Inch","21.5-Inch"}, G79), {"16-Inch","15-Inch","15.6-Inch","18-Inch","15.3-Inch","13-Inch","13.4-Inch","13.8-Inch","14-Inch","17-Inch","45-Inch","27-Inch","34-Inch","32-Inch","21.5-Inch"}), "")</f>
        <v/>
      </c>
      <c r="AR79" s="58"/>
      <c r="AS79" s="91"/>
      <c r="AT79" s="93"/>
      <c r="AU79" s="93"/>
      <c r="AV79" s="93"/>
      <c r="AW79" s="93"/>
    </row>
    <row r="80" spans="1:49" ht="15" customHeight="1" x14ac:dyDescent="0.25">
      <c r="A80" s="59"/>
      <c r="B80" s="12"/>
      <c r="C80" s="12"/>
      <c r="D80" s="60"/>
      <c r="E80" s="6"/>
      <c r="F80" s="6"/>
      <c r="G80" s="12"/>
      <c r="H80" s="12" t="str" cm="2">
        <f t="array" ref="H80">IFERROR(INDEX(BrandList!$A$2:$A$50,MATCH(TRUE,ISNUMBER(SEARCH(BrandList!$A$2:$A$50,G80)),0)),"")</f>
        <v/>
      </c>
      <c r="I80" s="12" t="str" cm="2">
        <f t="array" ref="I80">IFERROR(INDEX(BrandList!$B$2:$B$200,MATCH(TRUE,ISNUMBER(SEARCH(BrandList!$B$2:$B$200,G80)),0)),"")</f>
        <v/>
      </c>
      <c r="J80" s="12"/>
      <c r="K80" s="59"/>
      <c r="L80" s="86"/>
      <c r="M80" s="86"/>
      <c r="N80" s="86"/>
      <c r="O80" s="86"/>
      <c r="P80" s="7" t="str">
        <f t="shared" si="3"/>
        <v/>
      </c>
      <c r="Q80" s="8">
        <f>IFERROR(VLOOKUP(VALUE(A80),WEEKLY_DATA!$A:$H,2,0),0)</f>
        <v>0</v>
      </c>
      <c r="R80" s="8">
        <f>IFERROR(VLOOKUP(VALUE(A80),WEEKLY_DATA!$A:$H,3,0),0)</f>
        <v>0</v>
      </c>
      <c r="S80" s="8">
        <f>IFERROR(VLOOKUP(VALUE(A80),WEEKLY_DATA!$A:$H,4,0),0)</f>
        <v>0</v>
      </c>
      <c r="T80" s="51">
        <f>IFERROR(VLOOKUP(VALUE(A80),WEEKLY_DATA!$A:$H,5,0),0)</f>
        <v>0</v>
      </c>
      <c r="U80" s="51">
        <f>IFERROR(VLOOKUP(VALUE(A80),WEEKLY_DATA!$A:$H,6,0),0)</f>
        <v>0</v>
      </c>
      <c r="V80" s="51">
        <f>IFERROR(VLOOKUP(VALUE(A80),WEEKLY_DATA!$A:$H,7,0),0)</f>
        <v>0</v>
      </c>
      <c r="W80" s="9" t="str">
        <f>IFERROR(IF(OR(Q80="",Q80=0),"",IF(VLOOKUP(VALUE($A80),WEEKLY_DATA!$A:$H,6,0)=0,"No Sales",Q80/(VLOOKUP(VALUE($A80),WEEKLY_DATA!$A:$H,6,0)/13))),"")</f>
        <v/>
      </c>
      <c r="X80" s="10">
        <f>IFERROR(VLOOKUP(VALUE(A80),WEEKLY_DATA!$A:$H,8,0),0)</f>
        <v>0</v>
      </c>
      <c r="Y80" s="13" t="str">
        <f t="shared" si="2"/>
        <v>—</v>
      </c>
      <c r="Z80" s="11"/>
      <c r="AA80" s="11"/>
      <c r="AB80" s="11"/>
      <c r="AC80" s="11"/>
      <c r="AD80" s="11"/>
      <c r="AE80" s="11"/>
      <c r="AF80" s="61" t="s">
        <v>144</v>
      </c>
      <c r="AG80" s="61"/>
      <c r="AH80" s="62"/>
      <c r="AI80" s="62"/>
      <c r="AJ80" s="61" t="s">
        <v>144</v>
      </c>
      <c r="AK80" s="61" t="s">
        <v>144</v>
      </c>
      <c r="AL80" s="61"/>
      <c r="AM80" s="58" t="str" cm="2">
        <f t="array" ref="AM80">IFERROR(LOOKUP(2, 1/SEARCH({"Black","White","Grey","Blue","Silver","Brown","Green","Blue","Purple","Red","Pink","Yellow","Gold"}, G80), {"Black","White","Grey","Blue","Silver","Brown","Green","Blue","Purple","Red","Pink","Yellow","Gold"}), "")</f>
        <v/>
      </c>
      <c r="AN80" s="58" t="str">
        <f>IFERROR(LOOKUP(2, 1/SEARCH({"8GB","16GB","32GB","64GB"}, G80), {"8GB","16GB","32GB","64GB"}), "")</f>
        <v/>
      </c>
      <c r="AO80" s="58" t="str">
        <f>IFERROR(LOOKUP(2, 1/SEARCH({"1TB","2TB","128GB","512GB","256GB"}, G80), {"1TB","2TB","128GB","512GB","256GB"}), "")</f>
        <v/>
      </c>
      <c r="AP80" s="58"/>
      <c r="AQ80" s="58" t="str">
        <f>IFERROR(LOOKUP(2, 1/SEARCH({"16-Inch","15-Inch","15.6-Inch","18-Inch","15.3-Inch","13-Inch","13.4-Inch","13.8-Inch","14-Inch","17-Inch","45-Inch","27-Inch","34-Inch","32-Inch","21.5-Inch"}, G80), {"16-Inch","15-Inch","15.6-Inch","18-Inch","15.3-Inch","13-Inch","13.4-Inch","13.8-Inch","14-Inch","17-Inch","45-Inch","27-Inch","34-Inch","32-Inch","21.5-Inch"}), "")</f>
        <v/>
      </c>
      <c r="AR80" s="58"/>
      <c r="AS80" s="91"/>
      <c r="AT80" s="93"/>
      <c r="AU80" s="93"/>
      <c r="AV80" s="93"/>
      <c r="AW80" s="93"/>
    </row>
    <row r="81" spans="1:49" ht="15" customHeight="1" x14ac:dyDescent="0.25">
      <c r="A81" s="59"/>
      <c r="B81" s="12"/>
      <c r="C81" s="12"/>
      <c r="D81" s="60"/>
      <c r="E81" s="6"/>
      <c r="F81" s="6"/>
      <c r="G81" s="12"/>
      <c r="H81" s="12" t="str" cm="2">
        <f t="array" ref="H81">IFERROR(INDEX(BrandList!$A$2:$A$50,MATCH(TRUE,ISNUMBER(SEARCH(BrandList!$A$2:$A$50,G81)),0)),"")</f>
        <v/>
      </c>
      <c r="I81" s="12" t="str" cm="2">
        <f t="array" ref="I81">IFERROR(INDEX(BrandList!$B$2:$B$200,MATCH(TRUE,ISNUMBER(SEARCH(BrandList!$B$2:$B$200,G81)),0)),"")</f>
        <v/>
      </c>
      <c r="J81" s="12"/>
      <c r="K81" s="12"/>
      <c r="L81" s="60"/>
      <c r="M81" s="60"/>
      <c r="N81" s="60"/>
      <c r="O81" s="60"/>
      <c r="P81" s="7" t="str">
        <f t="shared" si="3"/>
        <v/>
      </c>
      <c r="Q81" s="8">
        <f>IFERROR(VLOOKUP(VALUE(A81),WEEKLY_DATA!$A:$H,2,0),0)</f>
        <v>0</v>
      </c>
      <c r="R81" s="8">
        <f>IFERROR(VLOOKUP(VALUE(A81),WEEKLY_DATA!$A:$H,3,0),0)</f>
        <v>0</v>
      </c>
      <c r="S81" s="8">
        <f>IFERROR(VLOOKUP(VALUE(A81),WEEKLY_DATA!$A:$H,4,0),0)</f>
        <v>0</v>
      </c>
      <c r="T81" s="51">
        <f>IFERROR(VLOOKUP(VALUE(A81),WEEKLY_DATA!$A:$H,5,0),0)</f>
        <v>0</v>
      </c>
      <c r="U81" s="51">
        <f>IFERROR(VLOOKUP(VALUE(A81),WEEKLY_DATA!$A:$H,6,0),0)</f>
        <v>0</v>
      </c>
      <c r="V81" s="51">
        <f>IFERROR(VLOOKUP(VALUE(A81),WEEKLY_DATA!$A:$H,7,0),0)</f>
        <v>0</v>
      </c>
      <c r="W81" s="9" t="str">
        <f>IFERROR(IF(OR(Q81="",Q81=0),"",IF(VLOOKUP(VALUE($A81),WEEKLY_DATA!$A:$H,6,0)=0,"No Sales",Q81/(VLOOKUP(VALUE($A81),WEEKLY_DATA!$A:$H,6,0)/13))),"")</f>
        <v/>
      </c>
      <c r="X81" s="10">
        <f>IFERROR(VLOOKUP(VALUE(A81),WEEKLY_DATA!$A:$H,8,0),0)</f>
        <v>0</v>
      </c>
      <c r="Y81" s="13" t="str">
        <f t="shared" si="2"/>
        <v>—</v>
      </c>
      <c r="Z81" s="11"/>
      <c r="AA81" s="11"/>
      <c r="AB81" s="11"/>
      <c r="AC81" s="11"/>
      <c r="AD81" s="11"/>
      <c r="AE81" s="11"/>
      <c r="AF81" s="61" t="s">
        <v>144</v>
      </c>
      <c r="AG81" s="61"/>
      <c r="AH81" s="62"/>
      <c r="AI81" s="62"/>
      <c r="AJ81" s="61" t="s">
        <v>144</v>
      </c>
      <c r="AK81" s="61" t="s">
        <v>144</v>
      </c>
      <c r="AL81" s="61"/>
      <c r="AM81" s="58" t="str" cm="2">
        <f t="array" ref="AM81">IFERROR(LOOKUP(2, 1/SEARCH({"Black","White","Grey","Blue","Silver","Brown","Green","Blue","Purple","Red","Pink","Yellow","Gold"}, G81), {"Black","White","Grey","Blue","Silver","Brown","Green","Blue","Purple","Red","Pink","Yellow","Gold"}), "")</f>
        <v/>
      </c>
      <c r="AN81" s="58" t="str">
        <f>IFERROR(LOOKUP(2, 1/SEARCH({"8GB","16GB","32GB","64GB"}, G81), {"8GB","16GB","32GB","64GB"}), "")</f>
        <v/>
      </c>
      <c r="AO81" s="58" t="str">
        <f>IFERROR(LOOKUP(2, 1/SEARCH({"1TB","2TB","128GB","512GB","256GB"}, G81), {"1TB","2TB","128GB","512GB","256GB"}), "")</f>
        <v/>
      </c>
      <c r="AP81" s="58"/>
      <c r="AQ81" s="58" t="str">
        <f>IFERROR(LOOKUP(2, 1/SEARCH({"16-Inch","15-Inch","15.6-Inch","18-Inch","15.3-Inch","13-Inch","13.4-Inch","13.8-Inch","14-Inch","17-Inch","45-Inch","27-Inch","34-Inch","32-Inch","21.5-Inch"}, G81), {"16-Inch","15-Inch","15.6-Inch","18-Inch","15.3-Inch","13-Inch","13.4-Inch","13.8-Inch","14-Inch","17-Inch","45-Inch","27-Inch","34-Inch","32-Inch","21.5-Inch"}), "")</f>
        <v/>
      </c>
      <c r="AR81" s="58"/>
      <c r="AS81" s="91"/>
      <c r="AT81" s="93"/>
      <c r="AU81" s="93"/>
      <c r="AV81" s="93"/>
      <c r="AW81" s="93"/>
    </row>
    <row r="82" spans="1:49" ht="15" customHeight="1" x14ac:dyDescent="0.25">
      <c r="A82" s="59"/>
      <c r="B82" s="12"/>
      <c r="C82" s="12"/>
      <c r="D82" s="60"/>
      <c r="E82" s="6"/>
      <c r="F82" s="6"/>
      <c r="G82" s="12"/>
      <c r="H82" s="12" t="str" cm="2">
        <f t="array" ref="H82">IFERROR(INDEX(BrandList!$A$2:$A$50,MATCH(TRUE,ISNUMBER(SEARCH(BrandList!$A$2:$A$50,G82)),0)),"")</f>
        <v/>
      </c>
      <c r="I82" s="12" t="str" cm="2">
        <f t="array" ref="I82">IFERROR(INDEX(BrandList!$B$2:$B$200,MATCH(TRUE,ISNUMBER(SEARCH(BrandList!$B$2:$B$200,G82)),0)),"")</f>
        <v/>
      </c>
      <c r="J82" s="12"/>
      <c r="K82" s="12"/>
      <c r="L82" s="60"/>
      <c r="M82" s="60"/>
      <c r="N82" s="60"/>
      <c r="O82" s="60"/>
      <c r="P82" s="7" t="str">
        <f t="shared" si="3"/>
        <v/>
      </c>
      <c r="Q82" s="8">
        <f>IFERROR(VLOOKUP(VALUE(A82),WEEKLY_DATA!$A:$H,2,0),0)</f>
        <v>0</v>
      </c>
      <c r="R82" s="8">
        <f>IFERROR(VLOOKUP(VALUE(A82),WEEKLY_DATA!$A:$H,3,0),0)</f>
        <v>0</v>
      </c>
      <c r="S82" s="8">
        <f>IFERROR(VLOOKUP(VALUE(A82),WEEKLY_DATA!$A:$H,4,0),0)</f>
        <v>0</v>
      </c>
      <c r="T82" s="51">
        <f>IFERROR(VLOOKUP(VALUE(A82),WEEKLY_DATA!$A:$H,5,0),0)</f>
        <v>0</v>
      </c>
      <c r="U82" s="51">
        <f>IFERROR(VLOOKUP(VALUE(A82),WEEKLY_DATA!$A:$H,6,0),0)</f>
        <v>0</v>
      </c>
      <c r="V82" s="51">
        <f>IFERROR(VLOOKUP(VALUE(A82),WEEKLY_DATA!$A:$H,7,0),0)</f>
        <v>0</v>
      </c>
      <c r="W82" s="9" t="str">
        <f>IFERROR(IF(OR(Q82="",Q82=0),"",IF(VLOOKUP(VALUE($A82),WEEKLY_DATA!$A:$H,6,0)=0,"No Sales",Q82/(VLOOKUP(VALUE($A82),WEEKLY_DATA!$A:$H,6,0)/13))),"")</f>
        <v/>
      </c>
      <c r="X82" s="10">
        <f>IFERROR(VLOOKUP(VALUE(A82),WEEKLY_DATA!$A:$H,8,0),0)</f>
        <v>0</v>
      </c>
      <c r="Y82" s="13" t="str">
        <f t="shared" si="2"/>
        <v>—</v>
      </c>
      <c r="Z82" s="82"/>
      <c r="AA82" s="11"/>
      <c r="AB82" s="11"/>
      <c r="AC82" s="11"/>
      <c r="AD82" s="11"/>
      <c r="AE82" s="11"/>
      <c r="AF82" s="61" t="s">
        <v>144</v>
      </c>
      <c r="AG82" s="61"/>
      <c r="AH82" s="62"/>
      <c r="AI82" s="62"/>
      <c r="AJ82" s="61" t="s">
        <v>144</v>
      </c>
      <c r="AK82" s="61" t="s">
        <v>144</v>
      </c>
      <c r="AL82" s="61"/>
      <c r="AM82" s="58" t="str" cm="2">
        <f t="array" ref="AM82">IFERROR(LOOKUP(2, 1/SEARCH({"Black","White","Grey","Blue","Silver","Brown","Green","Blue","Purple","Red","Pink","Yellow","Gold"}, G82), {"Black","White","Grey","Blue","Silver","Brown","Green","Blue","Purple","Red","Pink","Yellow","Gold"}), "")</f>
        <v/>
      </c>
      <c r="AN82" s="58" t="str">
        <f>IFERROR(LOOKUP(2, 1/SEARCH({"8GB","16GB","32GB","64GB"}, G82), {"8GB","16GB","32GB","64GB"}), "")</f>
        <v/>
      </c>
      <c r="AO82" s="58" t="str">
        <f>IFERROR(LOOKUP(2, 1/SEARCH({"1TB","2TB","128GB","512GB","256GB"}, G82), {"1TB","2TB","128GB","512GB","256GB"}), "")</f>
        <v/>
      </c>
      <c r="AP82" s="58"/>
      <c r="AQ82" s="58" t="str">
        <f>IFERROR(LOOKUP(2, 1/SEARCH({"16-Inch","15-Inch","15.6-Inch","18-Inch","15.3-Inch","13-Inch","13.4-Inch","13.8-Inch","14-Inch","17-Inch","45-Inch","27-Inch","34-Inch","32-Inch","21.5-Inch"}, G82), {"16-Inch","15-Inch","15.6-Inch","18-Inch","15.3-Inch","13-Inch","13.4-Inch","13.8-Inch","14-Inch","17-Inch","45-Inch","27-Inch","34-Inch","32-Inch","21.5-Inch"}), "")</f>
        <v/>
      </c>
      <c r="AR82" s="58"/>
      <c r="AS82" s="91"/>
      <c r="AT82" s="93"/>
      <c r="AU82" s="93"/>
      <c r="AV82" s="93"/>
      <c r="AW82" s="93"/>
    </row>
    <row r="83" spans="1:49" ht="15" customHeight="1" x14ac:dyDescent="0.25">
      <c r="A83" s="59"/>
      <c r="B83" s="12"/>
      <c r="C83" s="12"/>
      <c r="D83" s="60"/>
      <c r="E83" s="6"/>
      <c r="F83" s="6"/>
      <c r="G83" s="12"/>
      <c r="H83" s="12" t="str" cm="2">
        <f t="array" ref="H83">IFERROR(INDEX(BrandList!$A$2:$A$50,MATCH(TRUE,ISNUMBER(SEARCH(BrandList!$A$2:$A$50,G83)),0)),"")</f>
        <v/>
      </c>
      <c r="I83" s="12" t="str" cm="2">
        <f t="array" ref="I83">IFERROR(INDEX(BrandList!$B$2:$B$200,MATCH(TRUE,ISNUMBER(SEARCH(BrandList!$B$2:$B$200,G83)),0)),"")</f>
        <v/>
      </c>
      <c r="J83" s="12"/>
      <c r="K83" s="59"/>
      <c r="L83" s="86"/>
      <c r="M83" s="86"/>
      <c r="N83" s="86"/>
      <c r="O83" s="86"/>
      <c r="P83" s="7" t="str">
        <f t="shared" si="3"/>
        <v/>
      </c>
      <c r="Q83" s="8">
        <f>IFERROR(VLOOKUP(VALUE(A83),WEEKLY_DATA!$A:$H,2,0),0)</f>
        <v>0</v>
      </c>
      <c r="R83" s="8">
        <f>IFERROR(VLOOKUP(VALUE(A83),WEEKLY_DATA!$A:$H,3,0),0)</f>
        <v>0</v>
      </c>
      <c r="S83" s="8">
        <f>IFERROR(VLOOKUP(VALUE(A83),WEEKLY_DATA!$A:$H,4,0),0)</f>
        <v>0</v>
      </c>
      <c r="T83" s="51">
        <f>IFERROR(VLOOKUP(VALUE(A83),WEEKLY_DATA!$A:$H,5,0),0)</f>
        <v>0</v>
      </c>
      <c r="U83" s="51">
        <f>IFERROR(VLOOKUP(VALUE(A83),WEEKLY_DATA!$A:$H,6,0),0)</f>
        <v>0</v>
      </c>
      <c r="V83" s="51">
        <f>IFERROR(VLOOKUP(VALUE(A83),WEEKLY_DATA!$A:$H,7,0),0)</f>
        <v>0</v>
      </c>
      <c r="W83" s="9" t="str">
        <f>IFERROR(IF(OR(Q83="",Q83=0),"",IF(VLOOKUP(VALUE($A83),WEEKLY_DATA!$A:$H,6,0)=0,"No Sales",Q83/(VLOOKUP(VALUE($A83),WEEKLY_DATA!$A:$H,6,0)/13))),"")</f>
        <v/>
      </c>
      <c r="X83" s="10">
        <f>IFERROR(VLOOKUP(VALUE(A83),WEEKLY_DATA!$A:$H,8,0),0)</f>
        <v>0</v>
      </c>
      <c r="Y83" s="13" t="str">
        <f t="shared" si="2"/>
        <v>—</v>
      </c>
      <c r="Z83" s="82"/>
      <c r="AA83" s="11"/>
      <c r="AB83" s="11"/>
      <c r="AC83" s="11"/>
      <c r="AD83" s="11"/>
      <c r="AE83" s="11"/>
      <c r="AF83" s="61"/>
      <c r="AG83" s="61"/>
      <c r="AH83" s="62"/>
      <c r="AI83" s="62"/>
      <c r="AJ83" s="61"/>
      <c r="AK83" s="61"/>
      <c r="AL83" s="61"/>
      <c r="AM83" s="58" t="str" cm="2">
        <f t="array" ref="AM83">IFERROR(LOOKUP(2, 1/SEARCH({"Black","White","Grey","Blue","Silver","Brown","Green","Blue","Purple","Red","Pink","Yellow","Gold"}, G83), {"Black","White","Grey","Blue","Silver","Brown","Green","Blue","Purple","Red","Pink","Yellow","Gold"}), "")</f>
        <v/>
      </c>
      <c r="AN83" s="58" t="str">
        <f>IFERROR(LOOKUP(2, 1/SEARCH({"8GB","16GB","32GB","64GB"}, G83), {"8GB","16GB","32GB","64GB"}), "")</f>
        <v/>
      </c>
      <c r="AO83" s="58" t="str">
        <f>IFERROR(LOOKUP(2, 1/SEARCH({"1TB","2TB","128GB","512GB","256GB"}, G83), {"1TB","2TB","128GB","512GB","256GB"}), "")</f>
        <v/>
      </c>
      <c r="AP83" s="58"/>
      <c r="AQ83" s="58" t="str">
        <f>IFERROR(LOOKUP(2, 1/SEARCH({"16-Inch","15-Inch","15.6-Inch","18-Inch","15.3-Inch","13-Inch","13.4-Inch","13.8-Inch","14-Inch","17-Inch","45-Inch","27-Inch","34-Inch","32-Inch","21.5-Inch"}, G83), {"16-Inch","15-Inch","15.6-Inch","18-Inch","15.3-Inch","13-Inch","13.4-Inch","13.8-Inch","14-Inch","17-Inch","45-Inch","27-Inch","34-Inch","32-Inch","21.5-Inch"}), "")</f>
        <v/>
      </c>
      <c r="AR83" s="58"/>
      <c r="AS83" s="91"/>
      <c r="AT83" s="93"/>
      <c r="AU83" s="93"/>
      <c r="AV83" s="93"/>
      <c r="AW83" s="93"/>
    </row>
    <row r="84" spans="1:49" ht="15" customHeight="1" x14ac:dyDescent="0.25">
      <c r="A84" s="59"/>
      <c r="B84" s="12"/>
      <c r="C84" s="12"/>
      <c r="D84" s="60"/>
      <c r="E84" s="6"/>
      <c r="F84" s="6"/>
      <c r="G84" s="12"/>
      <c r="H84" s="12" t="str" cm="2">
        <f t="array" ref="H84">IFERROR(INDEX(BrandList!$A$2:$A$50,MATCH(TRUE,ISNUMBER(SEARCH(BrandList!$A$2:$A$50,G84)),0)),"")</f>
        <v/>
      </c>
      <c r="I84" s="12" t="str" cm="2">
        <f t="array" ref="I84">IFERROR(INDEX(BrandList!$B$2:$B$200,MATCH(TRUE,ISNUMBER(SEARCH(BrandList!$B$2:$B$200,G84)),0)),"")</f>
        <v/>
      </c>
      <c r="J84" s="12"/>
      <c r="K84" s="12"/>
      <c r="L84" s="60"/>
      <c r="M84" s="60"/>
      <c r="N84" s="60"/>
      <c r="O84" s="60"/>
      <c r="P84" s="7" t="str">
        <f t="shared" si="3"/>
        <v/>
      </c>
      <c r="Q84" s="8">
        <f>IFERROR(VLOOKUP(VALUE(A84),WEEKLY_DATA!$A:$H,2,0),0)</f>
        <v>0</v>
      </c>
      <c r="R84" s="8">
        <f>IFERROR(VLOOKUP(VALUE(A84),WEEKLY_DATA!$A:$H,3,0),0)</f>
        <v>0</v>
      </c>
      <c r="S84" s="8">
        <f>IFERROR(VLOOKUP(VALUE(A84),WEEKLY_DATA!$A:$H,4,0),0)</f>
        <v>0</v>
      </c>
      <c r="T84" s="51">
        <f>IFERROR(VLOOKUP(VALUE(A84),WEEKLY_DATA!$A:$H,5,0),0)</f>
        <v>0</v>
      </c>
      <c r="U84" s="51">
        <f>IFERROR(VLOOKUP(VALUE(A84),WEEKLY_DATA!$A:$H,6,0),0)</f>
        <v>0</v>
      </c>
      <c r="V84" s="51">
        <f>IFERROR(VLOOKUP(VALUE(A84),WEEKLY_DATA!$A:$H,7,0),0)</f>
        <v>0</v>
      </c>
      <c r="W84" s="9" t="str">
        <f>IFERROR(IF(OR(Q84="",Q84=0),"",IF(VLOOKUP(VALUE($A84),WEEKLY_DATA!$A:$H,6,0)=0,"No Sales",Q84/(VLOOKUP(VALUE($A84),WEEKLY_DATA!$A:$H,6,0)/13))),"")</f>
        <v/>
      </c>
      <c r="X84" s="10">
        <f>IFERROR(VLOOKUP(VALUE(A84),WEEKLY_DATA!$A:$H,8,0),0)</f>
        <v>0</v>
      </c>
      <c r="Y84" s="13" t="str">
        <f t="shared" si="2"/>
        <v>—</v>
      </c>
      <c r="Z84" s="11"/>
      <c r="AA84" s="11"/>
      <c r="AB84" s="11"/>
      <c r="AC84" s="11"/>
      <c r="AD84" s="11"/>
      <c r="AE84" s="11"/>
      <c r="AF84" s="61"/>
      <c r="AG84" s="61"/>
      <c r="AH84" s="62"/>
      <c r="AI84" s="62"/>
      <c r="AJ84" s="61"/>
      <c r="AK84" s="61"/>
      <c r="AL84" s="61"/>
      <c r="AM84" s="58" t="str" cm="2">
        <f t="array" ref="AM84">IFERROR(LOOKUP(2, 1/SEARCH({"Black","White","Grey","Blue","Silver","Brown","Green","Blue","Purple","Red","Pink","Yellow","Gold"}, G84), {"Black","White","Grey","Blue","Silver","Brown","Green","Blue","Purple","Red","Pink","Yellow","Gold"}), "")</f>
        <v/>
      </c>
      <c r="AN84" s="58" t="str">
        <f>IFERROR(LOOKUP(2, 1/SEARCH({"8GB","16GB","32GB","64GB"}, G84), {"8GB","16GB","32GB","64GB"}), "")</f>
        <v/>
      </c>
      <c r="AO84" s="58" t="str">
        <f>IFERROR(LOOKUP(2, 1/SEARCH({"1TB","2TB","128GB","512GB","256GB"}, G84), {"1TB","2TB","128GB","512GB","256GB"}), "")</f>
        <v/>
      </c>
      <c r="AP84" s="58"/>
      <c r="AQ84" s="58" t="str">
        <f>IFERROR(LOOKUP(2, 1/SEARCH({"16-Inch","15-Inch","15.6-Inch","18-Inch","15.3-Inch","13-Inch","13.4-Inch","13.8-Inch","14-Inch","17-Inch","45-Inch","27-Inch","34-Inch","32-Inch","21.5-Inch"}, G84), {"16-Inch","15-Inch","15.6-Inch","18-Inch","15.3-Inch","13-Inch","13.4-Inch","13.8-Inch","14-Inch","17-Inch","45-Inch","27-Inch","34-Inch","32-Inch","21.5-Inch"}), "")</f>
        <v/>
      </c>
      <c r="AR84" s="58"/>
      <c r="AS84" s="91"/>
      <c r="AT84" s="93"/>
      <c r="AU84" s="93"/>
      <c r="AV84" s="93"/>
      <c r="AW84" s="93"/>
    </row>
    <row r="85" spans="1:49" ht="15" customHeight="1" x14ac:dyDescent="0.25">
      <c r="A85" s="59"/>
      <c r="B85" s="12"/>
      <c r="C85" s="12"/>
      <c r="D85" s="60"/>
      <c r="E85" s="6"/>
      <c r="F85" s="6"/>
      <c r="G85" s="12"/>
      <c r="H85" s="12" t="str" cm="2">
        <f t="array" ref="H85">IFERROR(INDEX(BrandList!$A$2:$A$50,MATCH(TRUE,ISNUMBER(SEARCH(BrandList!$A$2:$A$50,G85)),0)),"")</f>
        <v/>
      </c>
      <c r="I85" s="12" t="str" cm="2">
        <f t="array" ref="I85">IFERROR(INDEX(BrandList!$B$2:$B$200,MATCH(TRUE,ISNUMBER(SEARCH(BrandList!$B$2:$B$200,G85)),0)),"")</f>
        <v/>
      </c>
      <c r="J85" s="12"/>
      <c r="K85" s="12"/>
      <c r="L85" s="60"/>
      <c r="M85" s="60"/>
      <c r="N85" s="60"/>
      <c r="O85" s="60"/>
      <c r="P85" s="7" t="str">
        <f t="shared" si="3"/>
        <v/>
      </c>
      <c r="Q85" s="8">
        <f>IFERROR(VLOOKUP(VALUE(A85),WEEKLY_DATA!$A:$H,2,0),0)</f>
        <v>0</v>
      </c>
      <c r="R85" s="8">
        <f>IFERROR(VLOOKUP(VALUE(A85),WEEKLY_DATA!$A:$H,3,0),0)</f>
        <v>0</v>
      </c>
      <c r="S85" s="8">
        <f>IFERROR(VLOOKUP(VALUE(A85),WEEKLY_DATA!$A:$H,4,0),0)</f>
        <v>0</v>
      </c>
      <c r="T85" s="51">
        <f>IFERROR(VLOOKUP(VALUE(A85),WEEKLY_DATA!$A:$H,5,0),0)</f>
        <v>0</v>
      </c>
      <c r="U85" s="51">
        <f>IFERROR(VLOOKUP(VALUE(A85),WEEKLY_DATA!$A:$H,6,0),0)</f>
        <v>0</v>
      </c>
      <c r="V85" s="51">
        <f>IFERROR(VLOOKUP(VALUE(A85),WEEKLY_DATA!$A:$H,7,0),0)</f>
        <v>0</v>
      </c>
      <c r="W85" s="9" t="str">
        <f>IFERROR(IF(OR(Q85="",Q85=0),"",IF(VLOOKUP(VALUE($A85),WEEKLY_DATA!$A:$H,6,0)=0,"No Sales",Q85/(VLOOKUP(VALUE($A85),WEEKLY_DATA!$A:$H,6,0)/13))),"")</f>
        <v/>
      </c>
      <c r="X85" s="10">
        <f>IFERROR(VLOOKUP(VALUE(A85),WEEKLY_DATA!$A:$H,8,0),0)</f>
        <v>0</v>
      </c>
      <c r="Y85" s="13" t="str">
        <f t="shared" si="2"/>
        <v>—</v>
      </c>
      <c r="Z85" s="11"/>
      <c r="AA85" s="11"/>
      <c r="AB85" s="11"/>
      <c r="AC85" s="11"/>
      <c r="AD85" s="11"/>
      <c r="AE85" s="11"/>
      <c r="AF85" s="61"/>
      <c r="AG85" s="61"/>
      <c r="AH85" s="62"/>
      <c r="AI85" s="62"/>
      <c r="AJ85" s="61"/>
      <c r="AK85" s="61"/>
      <c r="AL85" s="61"/>
      <c r="AM85" s="58" t="str" cm="2">
        <f t="array" ref="AM85">IFERROR(LOOKUP(2, 1/SEARCH({"Black","White","Grey","Blue","Silver","Brown","Green","Blue","Purple","Red","Pink","Yellow","Gold"}, G85), {"Black","White","Grey","Blue","Silver","Brown","Green","Blue","Purple","Red","Pink","Yellow","Gold"}), "")</f>
        <v/>
      </c>
      <c r="AN85" s="58" t="str">
        <f>IFERROR(LOOKUP(2, 1/SEARCH({"8GB","16GB","32GB","64GB"}, G85), {"8GB","16GB","32GB","64GB"}), "")</f>
        <v/>
      </c>
      <c r="AO85" s="58" t="str">
        <f>IFERROR(LOOKUP(2, 1/SEARCH({"1TB","2TB","128GB","512GB","256GB"}, G85), {"1TB","2TB","128GB","512GB","256GB"}), "")</f>
        <v/>
      </c>
      <c r="AP85" s="58"/>
      <c r="AQ85" s="58" t="str">
        <f>IFERROR(LOOKUP(2, 1/SEARCH({"16-Inch","15-Inch","15.6-Inch","18-Inch","15.3-Inch","13-Inch","13.4-Inch","13.8-Inch","14-Inch","17-Inch","45-Inch","27-Inch","34-Inch","32-Inch","21.5-Inch"}, G85), {"16-Inch","15-Inch","15.6-Inch","18-Inch","15.3-Inch","13-Inch","13.4-Inch","13.8-Inch","14-Inch","17-Inch","45-Inch","27-Inch","34-Inch","32-Inch","21.5-Inch"}), "")</f>
        <v/>
      </c>
      <c r="AR85" s="58"/>
      <c r="AS85" s="91"/>
      <c r="AT85" s="93"/>
      <c r="AU85" s="93"/>
      <c r="AV85" s="93"/>
      <c r="AW85" s="93"/>
    </row>
    <row r="86" spans="1:49" ht="15" customHeight="1" x14ac:dyDescent="0.25">
      <c r="A86" s="59"/>
      <c r="B86" s="12"/>
      <c r="C86" s="12"/>
      <c r="D86" s="60"/>
      <c r="E86" s="6"/>
      <c r="F86" s="6"/>
      <c r="G86" s="12"/>
      <c r="H86" s="12" t="str" cm="2">
        <f t="array" ref="H86">IFERROR(INDEX(BrandList!$A$2:$A$50,MATCH(TRUE,ISNUMBER(SEARCH(BrandList!$A$2:$A$50,G86)),0)),"")</f>
        <v/>
      </c>
      <c r="I86" s="12" t="str" cm="2">
        <f t="array" ref="I86">IFERROR(INDEX(BrandList!$B$2:$B$200,MATCH(TRUE,ISNUMBER(SEARCH(BrandList!$B$2:$B$200,G86)),0)),"")</f>
        <v/>
      </c>
      <c r="J86" s="12"/>
      <c r="K86" s="12"/>
      <c r="L86" s="60"/>
      <c r="M86" s="60"/>
      <c r="N86" s="60"/>
      <c r="O86" s="60"/>
      <c r="P86" s="7" t="str">
        <f t="shared" si="3"/>
        <v/>
      </c>
      <c r="Q86" s="8">
        <f>IFERROR(VLOOKUP(VALUE(A86),WEEKLY_DATA!$A:$H,2,0),0)</f>
        <v>0</v>
      </c>
      <c r="R86" s="8">
        <f>IFERROR(VLOOKUP(VALUE(A86),WEEKLY_DATA!$A:$H,3,0),0)</f>
        <v>0</v>
      </c>
      <c r="S86" s="8">
        <f>IFERROR(VLOOKUP(VALUE(A86),WEEKLY_DATA!$A:$H,4,0),0)</f>
        <v>0</v>
      </c>
      <c r="T86" s="51">
        <f>IFERROR(VLOOKUP(VALUE(A86),WEEKLY_DATA!$A:$H,5,0),0)</f>
        <v>0</v>
      </c>
      <c r="U86" s="51">
        <f>IFERROR(VLOOKUP(VALUE(A86),WEEKLY_DATA!$A:$H,6,0),0)</f>
        <v>0</v>
      </c>
      <c r="V86" s="51">
        <f>IFERROR(VLOOKUP(VALUE(A86),WEEKLY_DATA!$A:$H,7,0),0)</f>
        <v>0</v>
      </c>
      <c r="W86" s="9" t="str">
        <f>IFERROR(IF(OR(Q86="",Q86=0),"",IF(VLOOKUP(VALUE($A86),WEEKLY_DATA!$A:$H,6,0)=0,"No Sales",Q86/(VLOOKUP(VALUE($A86),WEEKLY_DATA!$A:$H,6,0)/13))),"")</f>
        <v/>
      </c>
      <c r="X86" s="10">
        <f>IFERROR(VLOOKUP(VALUE(A86),WEEKLY_DATA!$A:$H,8,0),0)</f>
        <v>0</v>
      </c>
      <c r="Y86" s="13" t="str">
        <f t="shared" si="2"/>
        <v>—</v>
      </c>
      <c r="Z86" s="11"/>
      <c r="AA86" s="11"/>
      <c r="AB86" s="11"/>
      <c r="AC86" s="11"/>
      <c r="AD86" s="11"/>
      <c r="AE86" s="11"/>
      <c r="AF86" s="61"/>
      <c r="AG86" s="61"/>
      <c r="AH86" s="62"/>
      <c r="AI86" s="62"/>
      <c r="AJ86" s="61"/>
      <c r="AK86" s="61"/>
      <c r="AL86" s="61"/>
      <c r="AM86" s="58" t="str" cm="2">
        <f t="array" ref="AM86">IFERROR(LOOKUP(2, 1/SEARCH({"Black","White","Grey","Blue","Silver","Brown","Green","Blue","Purple","Red","Pink","Yellow","Gold"}, G86), {"Black","White","Grey","Blue","Silver","Brown","Green","Blue","Purple","Red","Pink","Yellow","Gold"}), "")</f>
        <v/>
      </c>
      <c r="AN86" s="58" t="str">
        <f>IFERROR(LOOKUP(2, 1/SEARCH({"8GB","16GB","32GB","64GB"}, G86), {"8GB","16GB","32GB","64GB"}), "")</f>
        <v/>
      </c>
      <c r="AO86" s="58" t="str">
        <f>IFERROR(LOOKUP(2, 1/SEARCH({"1TB","2TB","128GB","512GB","256GB"}, G86), {"1TB","2TB","128GB","512GB","256GB"}), "")</f>
        <v/>
      </c>
      <c r="AP86" s="58"/>
      <c r="AQ86" s="58" t="str">
        <f>IFERROR(LOOKUP(2, 1/SEARCH({"16-Inch","15-Inch","15.6-Inch","18-Inch","15.3-Inch","13-Inch","13.4-Inch","13.8-Inch","14-Inch","17-Inch","45-Inch","27-Inch","34-Inch","32-Inch","21.5-Inch"}, G86), {"16-Inch","15-Inch","15.6-Inch","18-Inch","15.3-Inch","13-Inch","13.4-Inch","13.8-Inch","14-Inch","17-Inch","45-Inch","27-Inch","34-Inch","32-Inch","21.5-Inch"}), "")</f>
        <v/>
      </c>
      <c r="AR86" s="58"/>
      <c r="AS86" s="91"/>
      <c r="AT86" s="93"/>
      <c r="AU86" s="93"/>
      <c r="AV86" s="93"/>
      <c r="AW86" s="93"/>
    </row>
    <row r="87" spans="1:49" ht="15" customHeight="1" x14ac:dyDescent="0.25">
      <c r="A87" s="59"/>
      <c r="B87" s="12"/>
      <c r="C87" s="12"/>
      <c r="D87" s="60"/>
      <c r="E87" s="6"/>
      <c r="F87" s="6"/>
      <c r="G87" s="12"/>
      <c r="H87" s="12" t="str" cm="2">
        <f t="array" ref="H87">IFERROR(INDEX(BrandList!$A$2:$A$50,MATCH(TRUE,ISNUMBER(SEARCH(BrandList!$A$2:$A$50,G87)),0)),"")</f>
        <v/>
      </c>
      <c r="I87" s="12" t="str" cm="2">
        <f t="array" ref="I87">IFERROR(INDEX(BrandList!$B$2:$B$200,MATCH(TRUE,ISNUMBER(SEARCH(BrandList!$B$2:$B$200,G87)),0)),"")</f>
        <v/>
      </c>
      <c r="J87" s="12"/>
      <c r="K87" s="59"/>
      <c r="L87" s="86"/>
      <c r="M87" s="86"/>
      <c r="N87" s="86"/>
      <c r="O87" s="86"/>
      <c r="P87" s="7" t="str">
        <f t="shared" si="3"/>
        <v/>
      </c>
      <c r="Q87" s="8">
        <f>IFERROR(VLOOKUP(VALUE(A87),WEEKLY_DATA!$A:$H,2,0),0)</f>
        <v>0</v>
      </c>
      <c r="R87" s="8">
        <f>IFERROR(VLOOKUP(VALUE(A87),WEEKLY_DATA!$A:$H,3,0),0)</f>
        <v>0</v>
      </c>
      <c r="S87" s="8">
        <f>IFERROR(VLOOKUP(VALUE(A87),WEEKLY_DATA!$A:$H,4,0),0)</f>
        <v>0</v>
      </c>
      <c r="T87" s="51">
        <f>IFERROR(VLOOKUP(VALUE(A87),WEEKLY_DATA!$A:$H,5,0),0)</f>
        <v>0</v>
      </c>
      <c r="U87" s="51">
        <f>IFERROR(VLOOKUP(VALUE(A87),WEEKLY_DATA!$A:$H,6,0),0)</f>
        <v>0</v>
      </c>
      <c r="V87" s="51">
        <f>IFERROR(VLOOKUP(VALUE(A87),WEEKLY_DATA!$A:$H,7,0),0)</f>
        <v>0</v>
      </c>
      <c r="W87" s="9" t="str">
        <f>IFERROR(IF(OR(Q87="",Q87=0),"",IF(VLOOKUP(VALUE($A87),WEEKLY_DATA!$A:$H,6,0)=0,"No Sales",Q87/(VLOOKUP(VALUE($A87),WEEKLY_DATA!$A:$H,6,0)/13))),"")</f>
        <v/>
      </c>
      <c r="X87" s="10">
        <f>IFERROR(VLOOKUP(VALUE(A87),WEEKLY_DATA!$A:$H,8,0),0)</f>
        <v>0</v>
      </c>
      <c r="Y87" s="13" t="str">
        <f t="shared" si="2"/>
        <v>—</v>
      </c>
      <c r="Z87" s="11"/>
      <c r="AA87" s="11"/>
      <c r="AB87" s="11"/>
      <c r="AC87" s="11"/>
      <c r="AD87" s="11"/>
      <c r="AE87" s="11"/>
      <c r="AF87" s="61" t="s">
        <v>144</v>
      </c>
      <c r="AG87" s="61"/>
      <c r="AH87" s="62"/>
      <c r="AI87" s="62"/>
      <c r="AJ87" s="61" t="s">
        <v>144</v>
      </c>
      <c r="AK87" s="61" t="s">
        <v>144</v>
      </c>
      <c r="AL87" s="61"/>
      <c r="AM87" s="58" t="str" cm="2">
        <f t="array" ref="AM87">IFERROR(LOOKUP(2, 1/SEARCH({"Black","White","Grey","Blue","Silver","Brown","Green","Blue","Purple","Red","Pink","Yellow","Gold"}, G87), {"Black","White","Grey","Blue","Silver","Brown","Green","Blue","Purple","Red","Pink","Yellow","Gold"}), "")</f>
        <v/>
      </c>
      <c r="AN87" s="58" t="str">
        <f>IFERROR(LOOKUP(2, 1/SEARCH({"8GB","16GB","32GB","64GB"}, G87), {"8GB","16GB","32GB","64GB"}), "")</f>
        <v/>
      </c>
      <c r="AO87" s="58" t="str">
        <f>IFERROR(LOOKUP(2, 1/SEARCH({"1TB","2TB","128GB","512GB","256GB"}, G87), {"1TB","2TB","128GB","512GB","256GB"}), "")</f>
        <v/>
      </c>
      <c r="AP87" s="58"/>
      <c r="AQ87" s="58" t="str">
        <f>IFERROR(LOOKUP(2, 1/SEARCH({"16-Inch","15-Inch","15.6-Inch","18-Inch","15.3-Inch","13-Inch","13.4-Inch","13.8-Inch","14-Inch","17-Inch","45-Inch","27-Inch","34-Inch","32-Inch","21.5-Inch"}, G87), {"16-Inch","15-Inch","15.6-Inch","18-Inch","15.3-Inch","13-Inch","13.4-Inch","13.8-Inch","14-Inch","17-Inch","45-Inch","27-Inch","34-Inch","32-Inch","21.5-Inch"}), "")</f>
        <v/>
      </c>
      <c r="AR87" s="58"/>
      <c r="AS87" s="91"/>
      <c r="AT87" s="93"/>
      <c r="AU87" s="93"/>
      <c r="AV87" s="93"/>
      <c r="AW87" s="93"/>
    </row>
    <row r="88" spans="1:49" ht="15" customHeight="1" x14ac:dyDescent="0.25">
      <c r="A88" s="59"/>
      <c r="B88" s="12"/>
      <c r="C88" s="12"/>
      <c r="D88" s="60"/>
      <c r="E88" s="6"/>
      <c r="F88" s="6"/>
      <c r="G88" s="12"/>
      <c r="H88" s="12" t="str" cm="2">
        <f t="array" ref="H88">IFERROR(INDEX(BrandList!$A$2:$A$50,MATCH(TRUE,ISNUMBER(SEARCH(BrandList!$A$2:$A$50,G88)),0)),"")</f>
        <v/>
      </c>
      <c r="I88" s="12" t="str" cm="2">
        <f t="array" ref="I88">IFERROR(INDEX(BrandList!$B$2:$B$200,MATCH(TRUE,ISNUMBER(SEARCH(BrandList!$B$2:$B$200,G88)),0)),"")</f>
        <v/>
      </c>
      <c r="J88" s="12"/>
      <c r="K88" s="59"/>
      <c r="L88" s="86"/>
      <c r="M88" s="86"/>
      <c r="N88" s="86"/>
      <c r="O88" s="86"/>
      <c r="P88" s="7" t="str">
        <f t="shared" si="3"/>
        <v/>
      </c>
      <c r="Q88" s="8">
        <f>IFERROR(VLOOKUP(VALUE(A88),WEEKLY_DATA!$A:$H,2,0),0)</f>
        <v>0</v>
      </c>
      <c r="R88" s="8">
        <f>IFERROR(VLOOKUP(VALUE(A88),WEEKLY_DATA!$A:$H,3,0),0)</f>
        <v>0</v>
      </c>
      <c r="S88" s="8">
        <f>IFERROR(VLOOKUP(VALUE(A88),WEEKLY_DATA!$A:$H,4,0),0)</f>
        <v>0</v>
      </c>
      <c r="T88" s="51">
        <f>IFERROR(VLOOKUP(VALUE(A88),WEEKLY_DATA!$A:$H,5,0),0)</f>
        <v>0</v>
      </c>
      <c r="U88" s="51">
        <f>IFERROR(VLOOKUP(VALUE(A88),WEEKLY_DATA!$A:$H,6,0),0)</f>
        <v>0</v>
      </c>
      <c r="V88" s="51">
        <f>IFERROR(VLOOKUP(VALUE(A88),WEEKLY_DATA!$A:$H,7,0),0)</f>
        <v>0</v>
      </c>
      <c r="W88" s="9" t="str">
        <f>IFERROR(IF(OR(Q88="",Q88=0),"",IF(VLOOKUP(VALUE($A88),WEEKLY_DATA!$A:$H,6,0)=0,"No Sales",Q88/(VLOOKUP(VALUE($A88),WEEKLY_DATA!$A:$H,6,0)/13))),"")</f>
        <v/>
      </c>
      <c r="X88" s="10">
        <f>IFERROR(VLOOKUP(VALUE(A88),WEEKLY_DATA!$A:$H,8,0),0)</f>
        <v>0</v>
      </c>
      <c r="Y88" s="13" t="str">
        <f t="shared" si="2"/>
        <v>—</v>
      </c>
      <c r="Z88" s="11"/>
      <c r="AA88" s="11"/>
      <c r="AB88" s="11"/>
      <c r="AC88" s="11"/>
      <c r="AD88" s="11"/>
      <c r="AE88" s="11"/>
      <c r="AF88" s="61" t="s">
        <v>144</v>
      </c>
      <c r="AG88" s="61"/>
      <c r="AH88" s="62"/>
      <c r="AI88" s="62"/>
      <c r="AJ88" s="61" t="s">
        <v>144</v>
      </c>
      <c r="AK88" s="61" t="s">
        <v>144</v>
      </c>
      <c r="AL88" s="61"/>
      <c r="AM88" s="58" t="str" cm="2">
        <f t="array" ref="AM88">IFERROR(LOOKUP(2, 1/SEARCH({"Black","White","Grey","Blue","Silver","Brown","Green","Blue","Purple","Red","Pink","Yellow","Gold"}, G88), {"Black","White","Grey","Blue","Silver","Brown","Green","Blue","Purple","Red","Pink","Yellow","Gold"}), "")</f>
        <v/>
      </c>
      <c r="AN88" s="58" t="str">
        <f>IFERROR(LOOKUP(2, 1/SEARCH({"8GB","16GB","32GB","64GB"}, G88), {"8GB","16GB","32GB","64GB"}), "")</f>
        <v/>
      </c>
      <c r="AO88" s="58" t="str">
        <f>IFERROR(LOOKUP(2, 1/SEARCH({"1TB","2TB","128GB","512GB","256GB"}, G88), {"1TB","2TB","128GB","512GB","256GB"}), "")</f>
        <v/>
      </c>
      <c r="AP88" s="58"/>
      <c r="AQ88" s="58" t="str">
        <f>IFERROR(LOOKUP(2, 1/SEARCH({"16-Inch","15-Inch","15.6-Inch","18-Inch","15.3-Inch","13-Inch","13.4-Inch","13.8-Inch","14-Inch","17-Inch","45-Inch","27-Inch","34-Inch","32-Inch","21.5-Inch"}, G88), {"16-Inch","15-Inch","15.6-Inch","18-Inch","15.3-Inch","13-Inch","13.4-Inch","13.8-Inch","14-Inch","17-Inch","45-Inch","27-Inch","34-Inch","32-Inch","21.5-Inch"}), "")</f>
        <v/>
      </c>
      <c r="AR88" s="58"/>
      <c r="AS88" s="91"/>
      <c r="AT88" s="93"/>
      <c r="AU88" s="93"/>
      <c r="AV88" s="93"/>
      <c r="AW88" s="93"/>
    </row>
    <row r="89" spans="1:49" ht="15" customHeight="1" x14ac:dyDescent="0.25">
      <c r="A89" s="59"/>
      <c r="B89" s="12"/>
      <c r="C89" s="12"/>
      <c r="D89" s="60"/>
      <c r="E89" s="6"/>
      <c r="F89" s="6"/>
      <c r="G89" s="12"/>
      <c r="H89" s="12" t="str" cm="2">
        <f t="array" ref="H89">IFERROR(INDEX(BrandList!$A$2:$A$50,MATCH(TRUE,ISNUMBER(SEARCH(BrandList!$A$2:$A$50,G89)),0)),"")</f>
        <v/>
      </c>
      <c r="I89" s="12" t="str" cm="2">
        <f t="array" ref="I89">IFERROR(INDEX(BrandList!$B$2:$B$200,MATCH(TRUE,ISNUMBER(SEARCH(BrandList!$B$2:$B$200,G89)),0)),"")</f>
        <v/>
      </c>
      <c r="J89" s="12"/>
      <c r="K89" s="59"/>
      <c r="L89" s="86"/>
      <c r="M89" s="86"/>
      <c r="N89" s="86"/>
      <c r="O89" s="86"/>
      <c r="P89" s="7" t="str">
        <f t="shared" si="3"/>
        <v/>
      </c>
      <c r="Q89" s="8">
        <f>IFERROR(VLOOKUP(VALUE(A89),WEEKLY_DATA!$A:$H,2,0),0)</f>
        <v>0</v>
      </c>
      <c r="R89" s="8">
        <f>IFERROR(VLOOKUP(VALUE(A89),WEEKLY_DATA!$A:$H,3,0),0)</f>
        <v>0</v>
      </c>
      <c r="S89" s="8">
        <f>IFERROR(VLOOKUP(VALUE(A89),WEEKLY_DATA!$A:$H,4,0),0)</f>
        <v>0</v>
      </c>
      <c r="T89" s="51">
        <f>IFERROR(VLOOKUP(VALUE(A89),WEEKLY_DATA!$A:$H,5,0),0)</f>
        <v>0</v>
      </c>
      <c r="U89" s="51">
        <f>IFERROR(VLOOKUP(VALUE(A89),WEEKLY_DATA!$A:$H,6,0),0)</f>
        <v>0</v>
      </c>
      <c r="V89" s="51">
        <f>IFERROR(VLOOKUP(VALUE(A89),WEEKLY_DATA!$A:$H,7,0),0)</f>
        <v>0</v>
      </c>
      <c r="W89" s="9" t="str">
        <f>IFERROR(IF(OR(Q89="",Q89=0),"",IF(VLOOKUP(VALUE($A89),WEEKLY_DATA!$A:$H,6,0)=0,"No Sales",Q89/(VLOOKUP(VALUE($A89),WEEKLY_DATA!$A:$H,6,0)/13))),"")</f>
        <v/>
      </c>
      <c r="X89" s="10">
        <f>IFERROR(VLOOKUP(VALUE(A89),WEEKLY_DATA!$A:$H,8,0),0)</f>
        <v>0</v>
      </c>
      <c r="Y89" s="13" t="str">
        <f t="shared" si="2"/>
        <v>—</v>
      </c>
      <c r="Z89" s="11"/>
      <c r="AA89" s="11"/>
      <c r="AB89" s="11"/>
      <c r="AC89" s="11"/>
      <c r="AD89" s="11"/>
      <c r="AE89" s="11"/>
      <c r="AF89" s="61" t="s">
        <v>144</v>
      </c>
      <c r="AG89" s="61"/>
      <c r="AH89" s="62"/>
      <c r="AI89" s="62"/>
      <c r="AJ89" s="61" t="s">
        <v>144</v>
      </c>
      <c r="AK89" s="61" t="s">
        <v>144</v>
      </c>
      <c r="AL89" s="61"/>
      <c r="AM89" s="58" t="str" cm="2">
        <f t="array" ref="AM89">IFERROR(LOOKUP(2, 1/SEARCH({"Black","White","Grey","Blue","Silver","Brown","Green","Blue","Purple","Red","Pink","Yellow","Gold"}, G89), {"Black","White","Grey","Blue","Silver","Brown","Green","Blue","Purple","Red","Pink","Yellow","Gold"}), "")</f>
        <v/>
      </c>
      <c r="AN89" s="58" t="str">
        <f>IFERROR(LOOKUP(2, 1/SEARCH({"8GB","16GB","32GB","64GB"}, G89), {"8GB","16GB","32GB","64GB"}), "")</f>
        <v/>
      </c>
      <c r="AO89" s="58" t="str">
        <f>IFERROR(LOOKUP(2, 1/SEARCH({"1TB","2TB","128GB","512GB","256GB"}, G89), {"1TB","2TB","128GB","512GB","256GB"}), "")</f>
        <v/>
      </c>
      <c r="AP89" s="58"/>
      <c r="AQ89" s="58" t="str">
        <f>IFERROR(LOOKUP(2, 1/SEARCH({"16-Inch","15-Inch","15.6-Inch","18-Inch","15.3-Inch","13-Inch","13.4-Inch","13.8-Inch","14-Inch","17-Inch","45-Inch","27-Inch","34-Inch","32-Inch","21.5-Inch"}, G89), {"16-Inch","15-Inch","15.6-Inch","18-Inch","15.3-Inch","13-Inch","13.4-Inch","13.8-Inch","14-Inch","17-Inch","45-Inch","27-Inch","34-Inch","32-Inch","21.5-Inch"}), "")</f>
        <v/>
      </c>
      <c r="AR89" s="58"/>
      <c r="AS89" s="91"/>
      <c r="AT89" s="93"/>
      <c r="AU89" s="93"/>
      <c r="AV89" s="93"/>
      <c r="AW89" s="93"/>
    </row>
    <row r="90" spans="1:49" ht="15" customHeight="1" x14ac:dyDescent="0.25">
      <c r="A90" s="59"/>
      <c r="B90" s="12"/>
      <c r="C90" s="12"/>
      <c r="D90" s="60"/>
      <c r="E90" s="6"/>
      <c r="F90" s="6"/>
      <c r="G90" s="12"/>
      <c r="H90" s="12" t="str" cm="2">
        <f t="array" ref="H90">IFERROR(INDEX(BrandList!$A$2:$A$50,MATCH(TRUE,ISNUMBER(SEARCH(BrandList!$A$2:$A$50,G90)),0)),"")</f>
        <v/>
      </c>
      <c r="I90" s="12" t="str" cm="2">
        <f t="array" ref="I90">IFERROR(INDEX(BrandList!$B$2:$B$200,MATCH(TRUE,ISNUMBER(SEARCH(BrandList!$B$2:$B$200,G90)),0)),"")</f>
        <v/>
      </c>
      <c r="J90" s="12"/>
      <c r="K90" s="12"/>
      <c r="L90" s="60"/>
      <c r="M90" s="60"/>
      <c r="N90" s="60"/>
      <c r="O90" s="60"/>
      <c r="P90" s="7" t="str">
        <f t="shared" si="3"/>
        <v/>
      </c>
      <c r="Q90" s="8">
        <f>IFERROR(VLOOKUP(VALUE(A90),WEEKLY_DATA!$A:$H,2,0),0)</f>
        <v>0</v>
      </c>
      <c r="R90" s="8">
        <f>IFERROR(VLOOKUP(VALUE(A90),WEEKLY_DATA!$A:$H,3,0),0)</f>
        <v>0</v>
      </c>
      <c r="S90" s="8">
        <f>IFERROR(VLOOKUP(VALUE(A90),WEEKLY_DATA!$A:$H,4,0),0)</f>
        <v>0</v>
      </c>
      <c r="T90" s="51">
        <f>IFERROR(VLOOKUP(VALUE(A90),WEEKLY_DATA!$A:$H,5,0),0)</f>
        <v>0</v>
      </c>
      <c r="U90" s="51">
        <f>IFERROR(VLOOKUP(VALUE(A90),WEEKLY_DATA!$A:$H,6,0),0)</f>
        <v>0</v>
      </c>
      <c r="V90" s="51">
        <f>IFERROR(VLOOKUP(VALUE(A90),WEEKLY_DATA!$A:$H,7,0),0)</f>
        <v>0</v>
      </c>
      <c r="W90" s="9" t="str">
        <f>IFERROR(IF(OR(Q90="",Q90=0),"",IF(VLOOKUP(VALUE($A90),WEEKLY_DATA!$A:$H,6,0)=0,"No Sales",Q90/(VLOOKUP(VALUE($A90),WEEKLY_DATA!$A:$H,6,0)/13))),"")</f>
        <v/>
      </c>
      <c r="X90" s="10">
        <f>IFERROR(VLOOKUP(VALUE(A90),WEEKLY_DATA!$A:$H,8,0),0)</f>
        <v>0</v>
      </c>
      <c r="Y90" s="13" t="str">
        <f t="shared" si="2"/>
        <v>—</v>
      </c>
      <c r="Z90" s="11"/>
      <c r="AA90" s="11"/>
      <c r="AB90" s="11"/>
      <c r="AC90" s="11"/>
      <c r="AD90" s="11"/>
      <c r="AE90" s="11"/>
      <c r="AF90" s="61" t="s">
        <v>144</v>
      </c>
      <c r="AG90" s="61"/>
      <c r="AH90" s="62"/>
      <c r="AI90" s="62"/>
      <c r="AJ90" s="61" t="s">
        <v>144</v>
      </c>
      <c r="AK90" s="61" t="s">
        <v>144</v>
      </c>
      <c r="AL90" s="61"/>
      <c r="AM90" s="58" t="str" cm="2">
        <f t="array" ref="AM90">IFERROR(LOOKUP(2, 1/SEARCH({"Black","White","Grey","Blue","Silver","Brown","Green","Blue","Purple","Red","Pink","Yellow","Gold"}, G90), {"Black","White","Grey","Blue","Silver","Brown","Green","Blue","Purple","Red","Pink","Yellow","Gold"}), "")</f>
        <v/>
      </c>
      <c r="AN90" s="58" t="str">
        <f>IFERROR(LOOKUP(2, 1/SEARCH({"8GB","16GB","32GB","64GB"}, G90), {"8GB","16GB","32GB","64GB"}), "")</f>
        <v/>
      </c>
      <c r="AO90" s="58" t="str">
        <f>IFERROR(LOOKUP(2, 1/SEARCH({"1TB","2TB","128GB","512GB","256GB"}, G90), {"1TB","2TB","128GB","512GB","256GB"}), "")</f>
        <v/>
      </c>
      <c r="AP90" s="58"/>
      <c r="AQ90" s="58" t="str">
        <f>IFERROR(LOOKUP(2, 1/SEARCH({"16-Inch","15-Inch","15.6-Inch","18-Inch","15.3-Inch","13-Inch","13.4-Inch","13.8-Inch","14-Inch","17-Inch","45-Inch","27-Inch","34-Inch","32-Inch","21.5-Inch"}, G90), {"16-Inch","15-Inch","15.6-Inch","18-Inch","15.3-Inch","13-Inch","13.4-Inch","13.8-Inch","14-Inch","17-Inch","45-Inch","27-Inch","34-Inch","32-Inch","21.5-Inch"}), "")</f>
        <v/>
      </c>
      <c r="AR90" s="58"/>
      <c r="AS90" s="91"/>
      <c r="AT90" s="93"/>
      <c r="AU90" s="93"/>
      <c r="AV90" s="93"/>
      <c r="AW90" s="93"/>
    </row>
    <row r="91" spans="1:49" ht="15" customHeight="1" x14ac:dyDescent="0.25">
      <c r="A91" s="59"/>
      <c r="B91" s="12"/>
      <c r="C91" s="12"/>
      <c r="D91" s="60"/>
      <c r="E91" s="6"/>
      <c r="F91" s="6"/>
      <c r="G91" s="12"/>
      <c r="H91" s="12" t="str" cm="2">
        <f t="array" ref="H91">IFERROR(INDEX(BrandList!$A$2:$A$50,MATCH(TRUE,ISNUMBER(SEARCH(BrandList!$A$2:$A$50,G91)),0)),"")</f>
        <v/>
      </c>
      <c r="I91" s="12" t="str" cm="2">
        <f t="array" ref="I91">IFERROR(INDEX(BrandList!$B$2:$B$200,MATCH(TRUE,ISNUMBER(SEARCH(BrandList!$B$2:$B$200,G91)),0)),"")</f>
        <v/>
      </c>
      <c r="J91" s="12"/>
      <c r="K91" s="12"/>
      <c r="L91" s="60"/>
      <c r="M91" s="60"/>
      <c r="N91" s="60"/>
      <c r="O91" s="60"/>
      <c r="P91" s="7" t="str">
        <f t="shared" si="3"/>
        <v/>
      </c>
      <c r="Q91" s="8">
        <f>IFERROR(VLOOKUP(VALUE(A91),WEEKLY_DATA!$A:$H,2,0),0)</f>
        <v>0</v>
      </c>
      <c r="R91" s="8">
        <f>IFERROR(VLOOKUP(VALUE(A91),WEEKLY_DATA!$A:$H,3,0),0)</f>
        <v>0</v>
      </c>
      <c r="S91" s="8">
        <f>IFERROR(VLOOKUP(VALUE(A91),WEEKLY_DATA!$A:$H,4,0),0)</f>
        <v>0</v>
      </c>
      <c r="T91" s="51">
        <f>IFERROR(VLOOKUP(VALUE(A91),WEEKLY_DATA!$A:$H,5,0),0)</f>
        <v>0</v>
      </c>
      <c r="U91" s="51">
        <f>IFERROR(VLOOKUP(VALUE(A91),WEEKLY_DATA!$A:$H,6,0),0)</f>
        <v>0</v>
      </c>
      <c r="V91" s="51">
        <f>IFERROR(VLOOKUP(VALUE(A91),WEEKLY_DATA!$A:$H,7,0),0)</f>
        <v>0</v>
      </c>
      <c r="W91" s="9" t="str">
        <f>IFERROR(IF(OR(Q91="",Q91=0),"",IF(VLOOKUP(VALUE($A91),WEEKLY_DATA!$A:$H,6,0)=0,"No Sales",Q91/(VLOOKUP(VALUE($A91),WEEKLY_DATA!$A:$H,6,0)/13))),"")</f>
        <v/>
      </c>
      <c r="X91" s="10">
        <f>IFERROR(VLOOKUP(VALUE(A91),WEEKLY_DATA!$A:$H,8,0),0)</f>
        <v>0</v>
      </c>
      <c r="Y91" s="13" t="str">
        <f t="shared" si="2"/>
        <v>—</v>
      </c>
      <c r="Z91" s="11"/>
      <c r="AA91" s="11"/>
      <c r="AB91" s="11"/>
      <c r="AC91" s="11"/>
      <c r="AD91" s="11"/>
      <c r="AE91" s="11"/>
      <c r="AF91" s="61" t="s">
        <v>144</v>
      </c>
      <c r="AG91" s="61"/>
      <c r="AH91" s="62"/>
      <c r="AI91" s="62"/>
      <c r="AJ91" s="61" t="s">
        <v>144</v>
      </c>
      <c r="AK91" s="61" t="s">
        <v>144</v>
      </c>
      <c r="AL91" s="61"/>
      <c r="AM91" s="58" t="str" cm="2">
        <f t="array" ref="AM91">IFERROR(LOOKUP(2, 1/SEARCH({"Black","White","Grey","Blue","Silver","Brown","Green","Blue","Purple","Red","Pink","Yellow","Gold"}, G91), {"Black","White","Grey","Blue","Silver","Brown","Green","Blue","Purple","Red","Pink","Yellow","Gold"}), "")</f>
        <v/>
      </c>
      <c r="AN91" s="58" t="str">
        <f>IFERROR(LOOKUP(2, 1/SEARCH({"8GB","16GB","32GB","64GB"}, G91), {"8GB","16GB","32GB","64GB"}), "")</f>
        <v/>
      </c>
      <c r="AO91" s="58" t="str">
        <f>IFERROR(LOOKUP(2, 1/SEARCH({"1TB","2TB","128GB","512GB","256GB"}, G91), {"1TB","2TB","128GB","512GB","256GB"}), "")</f>
        <v/>
      </c>
      <c r="AP91" s="58"/>
      <c r="AQ91" s="58" t="str">
        <f>IFERROR(LOOKUP(2, 1/SEARCH({"16-Inch","15-Inch","15.6-Inch","18-Inch","15.3-Inch","13-Inch","13.4-Inch","13.8-Inch","14-Inch","17-Inch","45-Inch","27-Inch","34-Inch","32-Inch","21.5-Inch"}, G91), {"16-Inch","15-Inch","15.6-Inch","18-Inch","15.3-Inch","13-Inch","13.4-Inch","13.8-Inch","14-Inch","17-Inch","45-Inch","27-Inch","34-Inch","32-Inch","21.5-Inch"}), "")</f>
        <v/>
      </c>
      <c r="AR91" s="58"/>
      <c r="AS91" s="91"/>
      <c r="AT91" s="93"/>
      <c r="AU91" s="93"/>
      <c r="AV91" s="93"/>
      <c r="AW91" s="93"/>
    </row>
    <row r="92" spans="1:49" ht="15" customHeight="1" x14ac:dyDescent="0.25">
      <c r="A92" s="59"/>
      <c r="B92" s="12"/>
      <c r="C92" s="12"/>
      <c r="D92" s="60"/>
      <c r="E92" s="6"/>
      <c r="F92" s="6"/>
      <c r="G92" s="12"/>
      <c r="H92" s="12" t="str" cm="2">
        <f t="array" ref="H92">IFERROR(INDEX(BrandList!$A$2:$A$50,MATCH(TRUE,ISNUMBER(SEARCH(BrandList!$A$2:$A$50,G92)),0)),"")</f>
        <v/>
      </c>
      <c r="I92" s="12" t="str" cm="2">
        <f t="array" ref="I92">IFERROR(INDEX(BrandList!$B$2:$B$200,MATCH(TRUE,ISNUMBER(SEARCH(BrandList!$B$2:$B$200,G92)),0)),"")</f>
        <v/>
      </c>
      <c r="J92" s="12"/>
      <c r="K92" s="12"/>
      <c r="L92" s="60"/>
      <c r="M92" s="60"/>
      <c r="N92" s="60"/>
      <c r="O92" s="60"/>
      <c r="P92" s="7" t="str">
        <f t="shared" si="3"/>
        <v/>
      </c>
      <c r="Q92" s="8">
        <f>IFERROR(VLOOKUP(VALUE(A92),WEEKLY_DATA!$A:$H,2,0),0)</f>
        <v>0</v>
      </c>
      <c r="R92" s="8">
        <f>IFERROR(VLOOKUP(VALUE(A92),WEEKLY_DATA!$A:$H,3,0),0)</f>
        <v>0</v>
      </c>
      <c r="S92" s="8">
        <f>IFERROR(VLOOKUP(VALUE(A92),WEEKLY_DATA!$A:$H,4,0),0)</f>
        <v>0</v>
      </c>
      <c r="T92" s="51">
        <f>IFERROR(VLOOKUP(VALUE(A92),WEEKLY_DATA!$A:$H,5,0),0)</f>
        <v>0</v>
      </c>
      <c r="U92" s="51">
        <f>IFERROR(VLOOKUP(VALUE(A92),WEEKLY_DATA!$A:$H,6,0),0)</f>
        <v>0</v>
      </c>
      <c r="V92" s="51">
        <f>IFERROR(VLOOKUP(VALUE(A92),WEEKLY_DATA!$A:$H,7,0),0)</f>
        <v>0</v>
      </c>
      <c r="W92" s="9" t="str">
        <f>IFERROR(IF(OR(Q92="",Q92=0),"",IF(VLOOKUP(VALUE($A92),WEEKLY_DATA!$A:$H,6,0)=0,"No Sales",Q92/(VLOOKUP(VALUE($A92),WEEKLY_DATA!$A:$H,6,0)/13))),"")</f>
        <v/>
      </c>
      <c r="X92" s="10">
        <f>IFERROR(VLOOKUP(VALUE(A92),WEEKLY_DATA!$A:$H,8,0),0)</f>
        <v>0</v>
      </c>
      <c r="Y92" s="13" t="str">
        <f t="shared" si="2"/>
        <v>—</v>
      </c>
      <c r="Z92" s="11"/>
      <c r="AA92" s="11"/>
      <c r="AB92" s="11"/>
      <c r="AC92" s="11"/>
      <c r="AD92" s="11"/>
      <c r="AE92" s="11"/>
      <c r="AF92" s="61" t="s">
        <v>144</v>
      </c>
      <c r="AG92" s="61"/>
      <c r="AH92" s="62"/>
      <c r="AI92" s="62"/>
      <c r="AJ92" s="61" t="s">
        <v>144</v>
      </c>
      <c r="AK92" s="61" t="s">
        <v>144</v>
      </c>
      <c r="AL92" s="61"/>
      <c r="AM92" s="58" t="str" cm="2">
        <f t="array" ref="AM92">IFERROR(LOOKUP(2, 1/SEARCH({"Black","White","Grey","Blue","Silver","Brown","Green","Blue","Purple","Red","Pink","Yellow","Gold"}, G92), {"Black","White","Grey","Blue","Silver","Brown","Green","Blue","Purple","Red","Pink","Yellow","Gold"}), "")</f>
        <v/>
      </c>
      <c r="AN92" s="58" t="str">
        <f>IFERROR(LOOKUP(2, 1/SEARCH({"8GB","16GB","32GB","64GB"}, G92), {"8GB","16GB","32GB","64GB"}), "")</f>
        <v/>
      </c>
      <c r="AO92" s="58" t="str">
        <f>IFERROR(LOOKUP(2, 1/SEARCH({"1TB","2TB","128GB","512GB","256GB"}, G92), {"1TB","2TB","128GB","512GB","256GB"}), "")</f>
        <v/>
      </c>
      <c r="AP92" s="58"/>
      <c r="AQ92" s="58" t="str">
        <f>IFERROR(LOOKUP(2, 1/SEARCH({"16-Inch","15-Inch","15.6-Inch","18-Inch","15.3-Inch","13-Inch","13.4-Inch","13.8-Inch","14-Inch","17-Inch","45-Inch","27-Inch","34-Inch","32-Inch","21.5-Inch"}, G92), {"16-Inch","15-Inch","15.6-Inch","18-Inch","15.3-Inch","13-Inch","13.4-Inch","13.8-Inch","14-Inch","17-Inch","45-Inch","27-Inch","34-Inch","32-Inch","21.5-Inch"}), "")</f>
        <v/>
      </c>
      <c r="AR92" s="58"/>
      <c r="AS92" s="91"/>
      <c r="AT92" s="93"/>
      <c r="AU92" s="93"/>
      <c r="AV92" s="93"/>
      <c r="AW92" s="93"/>
    </row>
    <row r="93" spans="1:49" ht="15" customHeight="1" x14ac:dyDescent="0.25">
      <c r="A93" s="59"/>
      <c r="B93" s="12"/>
      <c r="C93" s="12"/>
      <c r="D93" s="60"/>
      <c r="E93" s="6"/>
      <c r="F93" s="6"/>
      <c r="G93" s="12"/>
      <c r="H93" s="12" t="str" cm="2">
        <f t="array" ref="H93">IFERROR(INDEX(BrandList!$A$2:$A$50,MATCH(TRUE,ISNUMBER(SEARCH(BrandList!$A$2:$A$50,G93)),0)),"")</f>
        <v/>
      </c>
      <c r="I93" s="12" t="str" cm="2">
        <f t="array" ref="I93">IFERROR(INDEX(BrandList!$B$2:$B$200,MATCH(TRUE,ISNUMBER(SEARCH(BrandList!$B$2:$B$200,G93)),0)),"")</f>
        <v/>
      </c>
      <c r="J93" s="12"/>
      <c r="K93" s="59"/>
      <c r="L93" s="86"/>
      <c r="M93" s="86"/>
      <c r="N93" s="86"/>
      <c r="O93" s="86"/>
      <c r="P93" s="7" t="str">
        <f t="shared" si="3"/>
        <v/>
      </c>
      <c r="Q93" s="8">
        <f>IFERROR(VLOOKUP(VALUE(A93),WEEKLY_DATA!$A:$H,2,0),0)</f>
        <v>0</v>
      </c>
      <c r="R93" s="8">
        <f>IFERROR(VLOOKUP(VALUE(A93),WEEKLY_DATA!$A:$H,3,0),0)</f>
        <v>0</v>
      </c>
      <c r="S93" s="8">
        <f>IFERROR(VLOOKUP(VALUE(A93),WEEKLY_DATA!$A:$H,4,0),0)</f>
        <v>0</v>
      </c>
      <c r="T93" s="51">
        <f>IFERROR(VLOOKUP(VALUE(A93),WEEKLY_DATA!$A:$H,5,0),0)</f>
        <v>0</v>
      </c>
      <c r="U93" s="51">
        <f>IFERROR(VLOOKUP(VALUE(A93),WEEKLY_DATA!$A:$H,6,0),0)</f>
        <v>0</v>
      </c>
      <c r="V93" s="51">
        <f>IFERROR(VLOOKUP(VALUE(A93),WEEKLY_DATA!$A:$H,7,0),0)</f>
        <v>0</v>
      </c>
      <c r="W93" s="9" t="str">
        <f>IFERROR(IF(OR(Q93="",Q93=0),"",IF(VLOOKUP(VALUE($A93),WEEKLY_DATA!$A:$H,6,0)=0,"No Sales",Q93/(VLOOKUP(VALUE($A93),WEEKLY_DATA!$A:$H,6,0)/13))),"")</f>
        <v/>
      </c>
      <c r="X93" s="10">
        <f>IFERROR(VLOOKUP(VALUE(A93),WEEKLY_DATA!$A:$H,8,0),0)</f>
        <v>0</v>
      </c>
      <c r="Y93" s="13" t="str">
        <f t="shared" si="2"/>
        <v>—</v>
      </c>
      <c r="Z93" s="11"/>
      <c r="AA93" s="11"/>
      <c r="AB93" s="11"/>
      <c r="AC93" s="11"/>
      <c r="AD93" s="11"/>
      <c r="AE93" s="11"/>
      <c r="AF93" s="61" t="s">
        <v>144</v>
      </c>
      <c r="AG93" s="61"/>
      <c r="AH93" s="62"/>
      <c r="AI93" s="62"/>
      <c r="AJ93" s="61" t="s">
        <v>144</v>
      </c>
      <c r="AK93" s="61" t="s">
        <v>144</v>
      </c>
      <c r="AL93" s="61"/>
      <c r="AM93" s="58" t="str" cm="2">
        <f t="array" ref="AM93">IFERROR(LOOKUP(2, 1/SEARCH({"Black","White","Grey","Blue","Silver","Brown","Green","Blue","Purple","Red","Pink","Yellow","Gold"}, G93), {"Black","White","Grey","Blue","Silver","Brown","Green","Blue","Purple","Red","Pink","Yellow","Gold"}), "")</f>
        <v/>
      </c>
      <c r="AN93" s="58" t="str">
        <f>IFERROR(LOOKUP(2, 1/SEARCH({"8GB","16GB","32GB","64GB"}, G93), {"8GB","16GB","32GB","64GB"}), "")</f>
        <v/>
      </c>
      <c r="AO93" s="58" t="str">
        <f>IFERROR(LOOKUP(2, 1/SEARCH({"1TB","2TB","128GB","512GB","256GB"}, G93), {"1TB","2TB","128GB","512GB","256GB"}), "")</f>
        <v/>
      </c>
      <c r="AP93" s="58"/>
      <c r="AQ93" s="58" t="str">
        <f>IFERROR(LOOKUP(2, 1/SEARCH({"16-Inch","15-Inch","15.6-Inch","18-Inch","15.3-Inch","13-Inch","13.4-Inch","13.8-Inch","14-Inch","17-Inch","45-Inch","27-Inch","34-Inch","32-Inch","21.5-Inch"}, G93), {"16-Inch","15-Inch","15.6-Inch","18-Inch","15.3-Inch","13-Inch","13.4-Inch","13.8-Inch","14-Inch","17-Inch","45-Inch","27-Inch","34-Inch","32-Inch","21.5-Inch"}), "")</f>
        <v/>
      </c>
      <c r="AR93" s="58"/>
      <c r="AS93" s="91"/>
      <c r="AT93" s="93"/>
      <c r="AU93" s="93"/>
      <c r="AV93" s="93"/>
      <c r="AW93" s="93"/>
    </row>
    <row r="94" spans="1:49" ht="15" customHeight="1" x14ac:dyDescent="0.25">
      <c r="A94" s="59"/>
      <c r="B94" s="12"/>
      <c r="C94" s="12"/>
      <c r="D94" s="60"/>
      <c r="E94" s="6"/>
      <c r="F94" s="6"/>
      <c r="G94" s="12"/>
      <c r="H94" s="12" t="str" cm="2">
        <f t="array" ref="H94">IFERROR(INDEX(BrandList!$A$2:$A$50,MATCH(TRUE,ISNUMBER(SEARCH(BrandList!$A$2:$A$50,G94)),0)),"")</f>
        <v/>
      </c>
      <c r="I94" s="12" t="str" cm="2">
        <f t="array" ref="I94">IFERROR(INDEX(BrandList!$B$2:$B$200,MATCH(TRUE,ISNUMBER(SEARCH(BrandList!$B$2:$B$200,G94)),0)),"")</f>
        <v/>
      </c>
      <c r="J94" s="12"/>
      <c r="K94" s="12"/>
      <c r="L94" s="60"/>
      <c r="M94" s="60"/>
      <c r="N94" s="60"/>
      <c r="O94" s="60"/>
      <c r="P94" s="7" t="str">
        <f t="shared" si="3"/>
        <v/>
      </c>
      <c r="Q94" s="8">
        <f>IFERROR(VLOOKUP(VALUE(A94),WEEKLY_DATA!$A:$H,2,0),0)</f>
        <v>0</v>
      </c>
      <c r="R94" s="8">
        <f>IFERROR(VLOOKUP(VALUE(A94),WEEKLY_DATA!$A:$H,3,0),0)</f>
        <v>0</v>
      </c>
      <c r="S94" s="8">
        <f>IFERROR(VLOOKUP(VALUE(A94),WEEKLY_DATA!$A:$H,4,0),0)</f>
        <v>0</v>
      </c>
      <c r="T94" s="51">
        <f>IFERROR(VLOOKUP(VALUE(A94),WEEKLY_DATA!$A:$H,5,0),0)</f>
        <v>0</v>
      </c>
      <c r="U94" s="51">
        <f>IFERROR(VLOOKUP(VALUE(A94),WEEKLY_DATA!$A:$H,6,0),0)</f>
        <v>0</v>
      </c>
      <c r="V94" s="51">
        <f>IFERROR(VLOOKUP(VALUE(A94),WEEKLY_DATA!$A:$H,7,0),0)</f>
        <v>0</v>
      </c>
      <c r="W94" s="9" t="str">
        <f>IFERROR(IF(OR(Q94="",Q94=0),"",IF(VLOOKUP(VALUE($A94),WEEKLY_DATA!$A:$H,6,0)=0,"No Sales",Q94/(VLOOKUP(VALUE($A94),WEEKLY_DATA!$A:$H,6,0)/13))),"")</f>
        <v/>
      </c>
      <c r="X94" s="10">
        <f>IFERROR(VLOOKUP(VALUE(A94),WEEKLY_DATA!$A:$H,8,0),0)</f>
        <v>0</v>
      </c>
      <c r="Y94" s="13" t="str">
        <f t="shared" si="2"/>
        <v>—</v>
      </c>
      <c r="Z94" s="11"/>
      <c r="AA94" s="11"/>
      <c r="AB94" s="11"/>
      <c r="AC94" s="11"/>
      <c r="AD94" s="11"/>
      <c r="AE94" s="11"/>
      <c r="AF94" s="61"/>
      <c r="AG94" s="61"/>
      <c r="AH94" s="62"/>
      <c r="AI94" s="62"/>
      <c r="AJ94" s="61"/>
      <c r="AK94" s="61"/>
      <c r="AL94" s="61"/>
      <c r="AM94" s="58" t="str" cm="2">
        <f t="array" ref="AM94">IFERROR(LOOKUP(2, 1/SEARCH({"Black","White","Grey","Blue","Silver","Brown","Green","Blue","Purple","Red","Pink","Yellow","Gold"}, G94), {"Black","White","Grey","Blue","Silver","Brown","Green","Blue","Purple","Red","Pink","Yellow","Gold"}), "")</f>
        <v/>
      </c>
      <c r="AN94" s="58" t="str">
        <f>IFERROR(LOOKUP(2, 1/SEARCH({"8GB","16GB","32GB","64GB"}, G94), {"8GB","16GB","32GB","64GB"}), "")</f>
        <v/>
      </c>
      <c r="AO94" s="58" t="str">
        <f>IFERROR(LOOKUP(2, 1/SEARCH({"1TB","2TB","128GB","512GB","256GB"}, G94), {"1TB","2TB","128GB","512GB","256GB"}), "")</f>
        <v/>
      </c>
      <c r="AP94" s="58"/>
      <c r="AQ94" s="58" t="str">
        <f>IFERROR(LOOKUP(2, 1/SEARCH({"16-Inch","15-Inch","15.6-Inch","18-Inch","15.3-Inch","13-Inch","13.4-Inch","13.8-Inch","14-Inch","17-Inch","45-Inch","27-Inch","34-Inch","32-Inch","21.5-Inch"}, G94), {"16-Inch","15-Inch","15.6-Inch","18-Inch","15.3-Inch","13-Inch","13.4-Inch","13.8-Inch","14-Inch","17-Inch","45-Inch","27-Inch","34-Inch","32-Inch","21.5-Inch"}), "")</f>
        <v/>
      </c>
      <c r="AR94" s="58"/>
      <c r="AS94" s="91"/>
      <c r="AT94" s="93"/>
      <c r="AU94" s="93"/>
      <c r="AV94" s="93"/>
      <c r="AW94" s="93"/>
    </row>
    <row r="95" spans="1:49" ht="15" customHeight="1" x14ac:dyDescent="0.25">
      <c r="A95" s="59"/>
      <c r="B95" s="12"/>
      <c r="C95" s="12"/>
      <c r="D95" s="60"/>
      <c r="E95" s="6"/>
      <c r="F95" s="6"/>
      <c r="G95" s="12"/>
      <c r="H95" s="12" t="str" cm="2">
        <f t="array" ref="H95">IFERROR(INDEX(BrandList!$A$2:$A$50,MATCH(TRUE,ISNUMBER(SEARCH(BrandList!$A$2:$A$50,G95)),0)),"")</f>
        <v/>
      </c>
      <c r="I95" s="12" t="str" cm="2">
        <f t="array" ref="I95">IFERROR(INDEX(BrandList!$B$2:$B$200,MATCH(TRUE,ISNUMBER(SEARCH(BrandList!$B$2:$B$200,G95)),0)),"")</f>
        <v/>
      </c>
      <c r="J95" s="12"/>
      <c r="K95" s="12"/>
      <c r="L95" s="60"/>
      <c r="M95" s="60"/>
      <c r="N95" s="60"/>
      <c r="O95" s="60"/>
      <c r="P95" s="7" t="str">
        <f t="shared" si="3"/>
        <v/>
      </c>
      <c r="Q95" s="8">
        <f>IFERROR(VLOOKUP(VALUE(A95),WEEKLY_DATA!$A:$H,2,0),0)</f>
        <v>0</v>
      </c>
      <c r="R95" s="8">
        <f>IFERROR(VLOOKUP(VALUE(A95),WEEKLY_DATA!$A:$H,3,0),0)</f>
        <v>0</v>
      </c>
      <c r="S95" s="8">
        <f>IFERROR(VLOOKUP(VALUE(A95),WEEKLY_DATA!$A:$H,4,0),0)</f>
        <v>0</v>
      </c>
      <c r="T95" s="51">
        <f>IFERROR(VLOOKUP(VALUE(A95),WEEKLY_DATA!$A:$H,5,0),0)</f>
        <v>0</v>
      </c>
      <c r="U95" s="51">
        <f>IFERROR(VLOOKUP(VALUE(A95),WEEKLY_DATA!$A:$H,6,0),0)</f>
        <v>0</v>
      </c>
      <c r="V95" s="51">
        <f>IFERROR(VLOOKUP(VALUE(A95),WEEKLY_DATA!$A:$H,7,0),0)</f>
        <v>0</v>
      </c>
      <c r="W95" s="9" t="str">
        <f>IFERROR(IF(OR(Q95="",Q95=0),"",IF(VLOOKUP(VALUE($A95),WEEKLY_DATA!$A:$H,6,0)=0,"No Sales",Q95/(VLOOKUP(VALUE($A95),WEEKLY_DATA!$A:$H,6,0)/13))),"")</f>
        <v/>
      </c>
      <c r="X95" s="10">
        <f>IFERROR(VLOOKUP(VALUE(A95),WEEKLY_DATA!$A:$H,8,0),0)</f>
        <v>0</v>
      </c>
      <c r="Y95" s="13" t="str">
        <f t="shared" si="2"/>
        <v>—</v>
      </c>
      <c r="Z95" s="11"/>
      <c r="AA95" s="11"/>
      <c r="AB95" s="11"/>
      <c r="AC95" s="11"/>
      <c r="AD95" s="11"/>
      <c r="AE95" s="11"/>
      <c r="AF95" s="61"/>
      <c r="AG95" s="61"/>
      <c r="AH95" s="62"/>
      <c r="AI95" s="62"/>
      <c r="AJ95" s="61"/>
      <c r="AK95" s="61"/>
      <c r="AL95" s="61"/>
      <c r="AM95" s="58" t="str" cm="2">
        <f t="array" ref="AM95">IFERROR(LOOKUP(2, 1/SEARCH({"Black","White","Grey","Blue","Silver","Brown","Green","Blue","Purple","Red","Pink","Yellow","Gold"}, G95), {"Black","White","Grey","Blue","Silver","Brown","Green","Blue","Purple","Red","Pink","Yellow","Gold"}), "")</f>
        <v/>
      </c>
      <c r="AN95" s="58" t="str">
        <f>IFERROR(LOOKUP(2, 1/SEARCH({"8GB","16GB","32GB","64GB"}, G95), {"8GB","16GB","32GB","64GB"}), "")</f>
        <v/>
      </c>
      <c r="AO95" s="58" t="str">
        <f>IFERROR(LOOKUP(2, 1/SEARCH({"1TB","2TB","128GB","512GB","256GB"}, G95), {"1TB","2TB","128GB","512GB","256GB"}), "")</f>
        <v/>
      </c>
      <c r="AP95" s="58"/>
      <c r="AQ95" s="58" t="str">
        <f>IFERROR(LOOKUP(2, 1/SEARCH({"16-Inch","15-Inch","15.6-Inch","18-Inch","15.3-Inch","13-Inch","13.4-Inch","13.8-Inch","14-Inch","17-Inch","45-Inch","27-Inch","34-Inch","32-Inch","21.5-Inch"}, G95), {"16-Inch","15-Inch","15.6-Inch","18-Inch","15.3-Inch","13-Inch","13.4-Inch","13.8-Inch","14-Inch","17-Inch","45-Inch","27-Inch","34-Inch","32-Inch","21.5-Inch"}), "")</f>
        <v/>
      </c>
      <c r="AR95" s="58"/>
      <c r="AS95" s="91"/>
      <c r="AT95" s="94"/>
      <c r="AU95" s="93"/>
      <c r="AV95" s="93"/>
      <c r="AW95" s="93"/>
    </row>
    <row r="96" spans="1:49" ht="15" customHeight="1" x14ac:dyDescent="0.25">
      <c r="A96" s="59"/>
      <c r="B96" s="12"/>
      <c r="C96" s="12"/>
      <c r="D96" s="60"/>
      <c r="E96" s="6"/>
      <c r="F96" s="6"/>
      <c r="G96" s="12"/>
      <c r="H96" s="12" t="str" cm="2">
        <f t="array" ref="H96">IFERROR(INDEX(BrandList!$A$2:$A$50,MATCH(TRUE,ISNUMBER(SEARCH(BrandList!$A$2:$A$50,G96)),0)),"")</f>
        <v/>
      </c>
      <c r="I96" s="12" t="str" cm="2">
        <f t="array" ref="I96">IFERROR(INDEX(BrandList!$B$2:$B$200,MATCH(TRUE,ISNUMBER(SEARCH(BrandList!$B$2:$B$200,G96)),0)),"")</f>
        <v/>
      </c>
      <c r="J96" s="12"/>
      <c r="K96" s="12"/>
      <c r="L96" s="60"/>
      <c r="M96" s="60"/>
      <c r="N96" s="60"/>
      <c r="O96" s="60"/>
      <c r="P96" s="7" t="str">
        <f t="shared" si="3"/>
        <v/>
      </c>
      <c r="Q96" s="8">
        <f>IFERROR(VLOOKUP(VALUE(A96),WEEKLY_DATA!$A:$H,2,0),0)</f>
        <v>0</v>
      </c>
      <c r="R96" s="8">
        <f>IFERROR(VLOOKUP(VALUE(A96),WEEKLY_DATA!$A:$H,3,0),0)</f>
        <v>0</v>
      </c>
      <c r="S96" s="8">
        <f>IFERROR(VLOOKUP(VALUE(A96),WEEKLY_DATA!$A:$H,4,0),0)</f>
        <v>0</v>
      </c>
      <c r="T96" s="51">
        <f>IFERROR(VLOOKUP(VALUE(A96),WEEKLY_DATA!$A:$H,5,0),0)</f>
        <v>0</v>
      </c>
      <c r="U96" s="51">
        <f>IFERROR(VLOOKUP(VALUE(A96),WEEKLY_DATA!$A:$H,6,0),0)</f>
        <v>0</v>
      </c>
      <c r="V96" s="51">
        <f>IFERROR(VLOOKUP(VALUE(A96),WEEKLY_DATA!$A:$H,7,0),0)</f>
        <v>0</v>
      </c>
      <c r="W96" s="9" t="str">
        <f>IFERROR(IF(OR(Q96="",Q96=0),"",IF(VLOOKUP(VALUE($A96),WEEKLY_DATA!$A:$H,6,0)=0,"No Sales",Q96/(VLOOKUP(VALUE($A96),WEEKLY_DATA!$A:$H,6,0)/13))),"")</f>
        <v/>
      </c>
      <c r="X96" s="10">
        <f>IFERROR(VLOOKUP(VALUE(A96),WEEKLY_DATA!$A:$H,8,0),0)</f>
        <v>0</v>
      </c>
      <c r="Y96" s="13" t="str">
        <f t="shared" si="2"/>
        <v>—</v>
      </c>
      <c r="Z96" s="11"/>
      <c r="AA96" s="11"/>
      <c r="AB96" s="11"/>
      <c r="AC96" s="11"/>
      <c r="AD96" s="11"/>
      <c r="AE96" s="11"/>
      <c r="AF96" s="61"/>
      <c r="AG96" s="61"/>
      <c r="AH96" s="62"/>
      <c r="AI96" s="62"/>
      <c r="AJ96" s="61"/>
      <c r="AK96" s="61"/>
      <c r="AL96" s="61"/>
      <c r="AM96" s="58" t="str" cm="2">
        <f t="array" ref="AM96">IFERROR(LOOKUP(2, 1/SEARCH({"Black","White","Grey","Blue","Silver","Brown","Green","Blue","Purple","Red","Pink","Yellow","Gold"}, G96), {"Black","White","Grey","Blue","Silver","Brown","Green","Blue","Purple","Red","Pink","Yellow","Gold"}), "")</f>
        <v/>
      </c>
      <c r="AN96" s="58" t="str">
        <f>IFERROR(LOOKUP(2, 1/SEARCH({"8GB","16GB","32GB","64GB"}, G96), {"8GB","16GB","32GB","64GB"}), "")</f>
        <v/>
      </c>
      <c r="AO96" s="58" t="str">
        <f>IFERROR(LOOKUP(2, 1/SEARCH({"1TB","2TB","128GB","512GB","256GB"}, G96), {"1TB","2TB","128GB","512GB","256GB"}), "")</f>
        <v/>
      </c>
      <c r="AP96" s="58"/>
      <c r="AQ96" s="58" t="str">
        <f>IFERROR(LOOKUP(2, 1/SEARCH({"16-Inch","15-Inch","15.6-Inch","18-Inch","15.3-Inch","13-Inch","13.4-Inch","13.8-Inch","14-Inch","17-Inch","45-Inch","27-Inch","34-Inch","32-Inch","21.5-Inch"}, G96), {"16-Inch","15-Inch","15.6-Inch","18-Inch","15.3-Inch","13-Inch","13.4-Inch","13.8-Inch","14-Inch","17-Inch","45-Inch","27-Inch","34-Inch","32-Inch","21.5-Inch"}), "")</f>
        <v/>
      </c>
      <c r="AR96" s="58"/>
      <c r="AS96" s="91"/>
      <c r="AT96" s="93"/>
      <c r="AU96" s="93"/>
      <c r="AV96" s="93"/>
      <c r="AW96" s="93"/>
    </row>
    <row r="97" spans="1:49" ht="15" customHeight="1" x14ac:dyDescent="0.25">
      <c r="A97" s="59"/>
      <c r="B97" s="12"/>
      <c r="C97" s="12"/>
      <c r="D97" s="60"/>
      <c r="E97" s="6"/>
      <c r="F97" s="6"/>
      <c r="G97" s="12"/>
      <c r="H97" s="12" t="str" cm="2">
        <f t="array" ref="H97">IFERROR(INDEX(BrandList!$A$2:$A$50,MATCH(TRUE,ISNUMBER(SEARCH(BrandList!$A$2:$A$50,G97)),0)),"")</f>
        <v/>
      </c>
      <c r="I97" s="12" t="str" cm="2">
        <f t="array" ref="I97">IFERROR(INDEX(BrandList!$B$2:$B$200,MATCH(TRUE,ISNUMBER(SEARCH(BrandList!$B$2:$B$200,G97)),0)),"")</f>
        <v/>
      </c>
      <c r="J97" s="12"/>
      <c r="K97" s="12"/>
      <c r="L97" s="60"/>
      <c r="M97" s="60"/>
      <c r="N97" s="60"/>
      <c r="O97" s="60"/>
      <c r="P97" s="7" t="str">
        <f t="shared" si="3"/>
        <v/>
      </c>
      <c r="Q97" s="8">
        <f>IFERROR(VLOOKUP(VALUE(A97),WEEKLY_DATA!$A:$H,2,0),0)</f>
        <v>0</v>
      </c>
      <c r="R97" s="8">
        <f>IFERROR(VLOOKUP(VALUE(A97),WEEKLY_DATA!$A:$H,3,0),0)</f>
        <v>0</v>
      </c>
      <c r="S97" s="8">
        <f>IFERROR(VLOOKUP(VALUE(A97),WEEKLY_DATA!$A:$H,4,0),0)</f>
        <v>0</v>
      </c>
      <c r="T97" s="51">
        <f>IFERROR(VLOOKUP(VALUE(A97),WEEKLY_DATA!$A:$H,5,0),0)</f>
        <v>0</v>
      </c>
      <c r="U97" s="51">
        <f>IFERROR(VLOOKUP(VALUE(A97),WEEKLY_DATA!$A:$H,6,0),0)</f>
        <v>0</v>
      </c>
      <c r="V97" s="51">
        <f>IFERROR(VLOOKUP(VALUE(A97),WEEKLY_DATA!$A:$H,7,0),0)</f>
        <v>0</v>
      </c>
      <c r="W97" s="9" t="str">
        <f>IFERROR(IF(OR(Q97="",Q97=0),"",IF(VLOOKUP(VALUE($A97),WEEKLY_DATA!$A:$H,6,0)=0,"No Sales",Q97/(VLOOKUP(VALUE($A97),WEEKLY_DATA!$A:$H,6,0)/13))),"")</f>
        <v/>
      </c>
      <c r="X97" s="10">
        <f>IFERROR(VLOOKUP(VALUE(A97),WEEKLY_DATA!$A:$H,8,0),0)</f>
        <v>0</v>
      </c>
      <c r="Y97" s="13" t="str">
        <f t="shared" si="2"/>
        <v>—</v>
      </c>
      <c r="Z97" s="11"/>
      <c r="AA97" s="11"/>
      <c r="AB97" s="11"/>
      <c r="AC97" s="11"/>
      <c r="AD97" s="11"/>
      <c r="AE97" s="11"/>
      <c r="AF97" s="61" t="s">
        <v>144</v>
      </c>
      <c r="AG97" s="61"/>
      <c r="AH97" s="62"/>
      <c r="AI97" s="62"/>
      <c r="AJ97" s="61" t="s">
        <v>144</v>
      </c>
      <c r="AK97" s="61" t="s">
        <v>144</v>
      </c>
      <c r="AL97" s="61"/>
      <c r="AM97" s="58" t="str" cm="2">
        <f t="array" ref="AM97">IFERROR(LOOKUP(2, 1/SEARCH({"Black","White","Grey","Blue","Silver","Brown","Green","Blue","Purple","Red","Pink","Yellow","Gold"}, G97), {"Black","White","Grey","Blue","Silver","Brown","Green","Blue","Purple","Red","Pink","Yellow","Gold"}), "")</f>
        <v/>
      </c>
      <c r="AN97" s="58" t="str">
        <f>IFERROR(LOOKUP(2, 1/SEARCH({"8GB","16GB","32GB","64GB"}, G97), {"8GB","16GB","32GB","64GB"}), "")</f>
        <v/>
      </c>
      <c r="AO97" s="58" t="str">
        <f>IFERROR(LOOKUP(2, 1/SEARCH({"1TB","2TB","128GB","512GB","256GB"}, G97), {"1TB","2TB","128GB","512GB","256GB"}), "")</f>
        <v/>
      </c>
      <c r="AP97" s="58"/>
      <c r="AQ97" s="58" t="str">
        <f>IFERROR(LOOKUP(2, 1/SEARCH({"16-Inch","15-Inch","15.6-Inch","18-Inch","15.3-Inch","13-Inch","13.4-Inch","13.8-Inch","14-Inch","17-Inch","45-Inch","27-Inch","34-Inch","32-Inch","21.5-Inch"}, G97), {"16-Inch","15-Inch","15.6-Inch","18-Inch","15.3-Inch","13-Inch","13.4-Inch","13.8-Inch","14-Inch","17-Inch","45-Inch","27-Inch","34-Inch","32-Inch","21.5-Inch"}), "")</f>
        <v/>
      </c>
      <c r="AR97" s="58"/>
      <c r="AS97" s="91"/>
      <c r="AT97" s="93"/>
      <c r="AU97" s="93"/>
      <c r="AV97" s="93"/>
      <c r="AW97" s="93"/>
    </row>
    <row r="98" spans="1:49" ht="15" customHeight="1" x14ac:dyDescent="0.25">
      <c r="A98" s="81"/>
      <c r="B98" s="12"/>
      <c r="C98" s="12"/>
      <c r="D98" s="60"/>
      <c r="E98" s="6"/>
      <c r="F98" s="6"/>
      <c r="G98" s="12"/>
      <c r="H98" s="12" t="str" cm="2">
        <f t="array" ref="H98">IFERROR(INDEX(BrandList!$A$2:$A$50,MATCH(TRUE,ISNUMBER(SEARCH(BrandList!$A$2:$A$50,G98)),0)),"")</f>
        <v/>
      </c>
      <c r="I98" s="12" t="str" cm="2">
        <f t="array" ref="I98">IFERROR(INDEX(BrandList!$B$2:$B$200,MATCH(TRUE,ISNUMBER(SEARCH(BrandList!$B$2:$B$200,G98)),0)),"")</f>
        <v/>
      </c>
      <c r="J98" s="12"/>
      <c r="K98" s="12"/>
      <c r="L98" s="60"/>
      <c r="M98" s="60"/>
      <c r="N98" s="60"/>
      <c r="O98" s="60"/>
      <c r="P98" s="7" t="str">
        <f t="shared" si="3"/>
        <v/>
      </c>
      <c r="Q98" s="8">
        <f>IFERROR(VLOOKUP(VALUE(A98),WEEKLY_DATA!$A:$H,2,0),0)</f>
        <v>0</v>
      </c>
      <c r="R98" s="8">
        <f>IFERROR(VLOOKUP(VALUE(A98),WEEKLY_DATA!$A:$H,3,0),0)</f>
        <v>0</v>
      </c>
      <c r="S98" s="8">
        <f>IFERROR(VLOOKUP(VALUE(A98),WEEKLY_DATA!$A:$H,4,0),0)</f>
        <v>0</v>
      </c>
      <c r="T98" s="51">
        <f>IFERROR(VLOOKUP(VALUE(A98),WEEKLY_DATA!$A:$H,5,0),0)</f>
        <v>0</v>
      </c>
      <c r="U98" s="51">
        <f>IFERROR(VLOOKUP(VALUE(A98),WEEKLY_DATA!$A:$H,6,0),0)</f>
        <v>0</v>
      </c>
      <c r="V98" s="51">
        <f>IFERROR(VLOOKUP(VALUE(A98),WEEKLY_DATA!$A:$H,7,0),0)</f>
        <v>0</v>
      </c>
      <c r="W98" s="9" t="str">
        <f>IFERROR(IF(OR(Q98="",Q98=0),"",IF(VLOOKUP(VALUE($A98),WEEKLY_DATA!$A:$H,6,0)=0,"No Sales",Q98/(VLOOKUP(VALUE($A98),WEEKLY_DATA!$A:$H,6,0)/13))),"")</f>
        <v/>
      </c>
      <c r="X98" s="10">
        <f>IFERROR(VLOOKUP(VALUE(A98),WEEKLY_DATA!$A:$H,8,0),0)</f>
        <v>0</v>
      </c>
      <c r="Y98" s="13" t="str">
        <f t="shared" si="2"/>
        <v>—</v>
      </c>
      <c r="Z98" s="11"/>
      <c r="AA98" s="11"/>
      <c r="AB98" s="11"/>
      <c r="AC98" s="11"/>
      <c r="AD98" s="11"/>
      <c r="AE98" s="11"/>
      <c r="AF98" s="61" t="s">
        <v>144</v>
      </c>
      <c r="AG98" s="61"/>
      <c r="AH98" s="62"/>
      <c r="AI98" s="62"/>
      <c r="AJ98" s="61" t="s">
        <v>144</v>
      </c>
      <c r="AK98" s="61" t="s">
        <v>144</v>
      </c>
      <c r="AL98" s="61"/>
      <c r="AM98" s="58" t="str" cm="2">
        <f t="array" ref="AM98">IFERROR(LOOKUP(2, 1/SEARCH({"Black","White","Grey","Blue","Silver","Brown","Green","Blue","Purple","Red","Pink","Yellow","Gold"}, G98), {"Black","White","Grey","Blue","Silver","Brown","Green","Blue","Purple","Red","Pink","Yellow","Gold"}), "")</f>
        <v/>
      </c>
      <c r="AN98" s="58" t="str">
        <f>IFERROR(LOOKUP(2, 1/SEARCH({"8GB","16GB","32GB","64GB"}, G98), {"8GB","16GB","32GB","64GB"}), "")</f>
        <v/>
      </c>
      <c r="AO98" s="58" t="str">
        <f>IFERROR(LOOKUP(2, 1/SEARCH({"1TB","2TB","128GB","512GB","256GB"}, G98), {"1TB","2TB","128GB","512GB","256GB"}), "")</f>
        <v/>
      </c>
      <c r="AP98" s="58"/>
      <c r="AQ98" s="58" t="str">
        <f>IFERROR(LOOKUP(2, 1/SEARCH({"16-Inch","15-Inch","15.6-Inch","18-Inch","15.3-Inch","13-Inch","13.4-Inch","13.8-Inch","14-Inch","17-Inch","45-Inch","27-Inch","34-Inch","32-Inch","21.5-Inch"}, G98), {"16-Inch","15-Inch","15.6-Inch","18-Inch","15.3-Inch","13-Inch","13.4-Inch","13.8-Inch","14-Inch","17-Inch","45-Inch","27-Inch","34-Inch","32-Inch","21.5-Inch"}), "")</f>
        <v/>
      </c>
      <c r="AR98" s="58"/>
      <c r="AS98" s="91"/>
      <c r="AT98" s="93"/>
      <c r="AU98" s="93"/>
      <c r="AV98" s="93"/>
      <c r="AW98" s="93"/>
    </row>
    <row r="99" spans="1:49" ht="15" customHeight="1" x14ac:dyDescent="0.25">
      <c r="A99" s="59"/>
      <c r="B99" s="12"/>
      <c r="C99" s="12"/>
      <c r="D99" s="60"/>
      <c r="E99" s="6"/>
      <c r="F99" s="6"/>
      <c r="G99" s="12"/>
      <c r="H99" s="12" t="str" cm="2">
        <f t="array" ref="H99">IFERROR(INDEX(BrandList!$A$2:$A$50,MATCH(TRUE,ISNUMBER(SEARCH(BrandList!$A$2:$A$50,G99)),0)),"")</f>
        <v/>
      </c>
      <c r="I99" s="12" t="str" cm="2">
        <f t="array" ref="I99">IFERROR(INDEX(BrandList!$B$2:$B$200,MATCH(TRUE,ISNUMBER(SEARCH(BrandList!$B$2:$B$200,G99)),0)),"")</f>
        <v/>
      </c>
      <c r="J99" s="12"/>
      <c r="K99" s="12"/>
      <c r="L99" s="60"/>
      <c r="M99" s="60"/>
      <c r="N99" s="60"/>
      <c r="O99" s="60"/>
      <c r="P99" s="7" t="str">
        <f t="shared" si="3"/>
        <v/>
      </c>
      <c r="Q99" s="8">
        <f>IFERROR(VLOOKUP(VALUE(A99),WEEKLY_DATA!$A:$H,2,0),0)</f>
        <v>0</v>
      </c>
      <c r="R99" s="8">
        <f>IFERROR(VLOOKUP(VALUE(A99),WEEKLY_DATA!$A:$H,3,0),0)</f>
        <v>0</v>
      </c>
      <c r="S99" s="8">
        <f>IFERROR(VLOOKUP(VALUE(A99),WEEKLY_DATA!$A:$H,4,0),0)</f>
        <v>0</v>
      </c>
      <c r="T99" s="51">
        <f>IFERROR(VLOOKUP(VALUE(A99),WEEKLY_DATA!$A:$H,5,0),0)</f>
        <v>0</v>
      </c>
      <c r="U99" s="51">
        <f>IFERROR(VLOOKUP(VALUE(A99),WEEKLY_DATA!$A:$H,6,0),0)</f>
        <v>0</v>
      </c>
      <c r="V99" s="51">
        <f>IFERROR(VLOOKUP(VALUE(A99),WEEKLY_DATA!$A:$H,7,0),0)</f>
        <v>0</v>
      </c>
      <c r="W99" s="9" t="str">
        <f>IFERROR(IF(OR(Q99="",Q99=0),"",IF(VLOOKUP(VALUE($A99),WEEKLY_DATA!$A:$H,6,0)=0,"No Sales",Q99/(VLOOKUP(VALUE($A99),WEEKLY_DATA!$A:$H,6,0)/13))),"")</f>
        <v/>
      </c>
      <c r="X99" s="10">
        <f>IFERROR(VLOOKUP(VALUE(A99),WEEKLY_DATA!$A:$H,8,0),0)</f>
        <v>0</v>
      </c>
      <c r="Y99" s="13" t="str">
        <f t="shared" si="2"/>
        <v>—</v>
      </c>
      <c r="Z99" s="11"/>
      <c r="AA99" s="11"/>
      <c r="AB99" s="11"/>
      <c r="AC99" s="11"/>
      <c r="AD99" s="11"/>
      <c r="AE99" s="11"/>
      <c r="AF99" s="61" t="s">
        <v>144</v>
      </c>
      <c r="AG99" s="61"/>
      <c r="AH99" s="62"/>
      <c r="AI99" s="62"/>
      <c r="AJ99" s="61" t="s">
        <v>144</v>
      </c>
      <c r="AK99" s="61" t="s">
        <v>144</v>
      </c>
      <c r="AL99" s="61"/>
      <c r="AM99" s="58" t="str" cm="2">
        <f t="array" ref="AM99">IFERROR(LOOKUP(2, 1/SEARCH({"Black","White","Grey","Blue","Silver","Brown","Green","Blue","Purple","Red","Pink","Yellow","Gold"}, G99), {"Black","White","Grey","Blue","Silver","Brown","Green","Blue","Purple","Red","Pink","Yellow","Gold"}), "")</f>
        <v/>
      </c>
      <c r="AN99" s="58" t="str">
        <f>IFERROR(LOOKUP(2, 1/SEARCH({"8GB","16GB","32GB","64GB"}, G99), {"8GB","16GB","32GB","64GB"}), "")</f>
        <v/>
      </c>
      <c r="AO99" s="58" t="str">
        <f>IFERROR(LOOKUP(2, 1/SEARCH({"1TB","2TB","128GB","512GB","256GB"}, G99), {"1TB","2TB","128GB","512GB","256GB"}), "")</f>
        <v/>
      </c>
      <c r="AP99" s="58"/>
      <c r="AQ99" s="58" t="str">
        <f>IFERROR(LOOKUP(2, 1/SEARCH({"16-Inch","15-Inch","15.6-Inch","18-Inch","15.3-Inch","13-Inch","13.4-Inch","13.8-Inch","14-Inch","17-Inch","45-Inch","27-Inch","34-Inch","32-Inch","21.5-Inch"}, G99), {"16-Inch","15-Inch","15.6-Inch","18-Inch","15.3-Inch","13-Inch","13.4-Inch","13.8-Inch","14-Inch","17-Inch","45-Inch","27-Inch","34-Inch","32-Inch","21.5-Inch"}), "")</f>
        <v/>
      </c>
      <c r="AR99" s="58"/>
      <c r="AS99" s="91"/>
      <c r="AT99" s="93"/>
      <c r="AU99" s="93"/>
      <c r="AV99" s="93"/>
      <c r="AW99" s="93"/>
    </row>
    <row r="100" spans="1:49" ht="15" customHeight="1" x14ac:dyDescent="0.25">
      <c r="A100" s="59"/>
      <c r="B100" s="12"/>
      <c r="C100" s="12"/>
      <c r="D100" s="60"/>
      <c r="E100" s="6"/>
      <c r="F100" s="6"/>
      <c r="G100" s="12"/>
      <c r="H100" s="12" t="str" cm="2">
        <f t="array" ref="H100">IFERROR(INDEX(BrandList!$A$2:$A$50,MATCH(TRUE,ISNUMBER(SEARCH(BrandList!$A$2:$A$50,G100)),0)),"")</f>
        <v/>
      </c>
      <c r="I100" s="12" t="str" cm="2">
        <f t="array" ref="I100">IFERROR(INDEX(BrandList!$B$2:$B$200,MATCH(TRUE,ISNUMBER(SEARCH(BrandList!$B$2:$B$200,G100)),0)),"")</f>
        <v/>
      </c>
      <c r="J100" s="12"/>
      <c r="K100" s="59"/>
      <c r="L100" s="86"/>
      <c r="M100" s="86"/>
      <c r="N100" s="86"/>
      <c r="O100" s="86"/>
      <c r="P100" s="7" t="str">
        <f t="shared" si="3"/>
        <v/>
      </c>
      <c r="Q100" s="8">
        <f>IFERROR(VLOOKUP(VALUE(A100),WEEKLY_DATA!$A:$H,2,0),0)</f>
        <v>0</v>
      </c>
      <c r="R100" s="8">
        <f>IFERROR(VLOOKUP(VALUE(A100),WEEKLY_DATA!$A:$H,3,0),0)</f>
        <v>0</v>
      </c>
      <c r="S100" s="8">
        <f>IFERROR(VLOOKUP(VALUE(A100),WEEKLY_DATA!$A:$H,4,0),0)</f>
        <v>0</v>
      </c>
      <c r="T100" s="51">
        <f>IFERROR(VLOOKUP(VALUE(A100),WEEKLY_DATA!$A:$H,5,0),0)</f>
        <v>0</v>
      </c>
      <c r="U100" s="51">
        <f>IFERROR(VLOOKUP(VALUE(A100),WEEKLY_DATA!$A:$H,6,0),0)</f>
        <v>0</v>
      </c>
      <c r="V100" s="51">
        <f>IFERROR(VLOOKUP(VALUE(A100),WEEKLY_DATA!$A:$H,7,0),0)</f>
        <v>0</v>
      </c>
      <c r="W100" s="9" t="str">
        <f>IFERROR(IF(OR(Q100="",Q100=0),"",IF(VLOOKUP(VALUE($A100),WEEKLY_DATA!$A:$H,6,0)=0,"No Sales",Q100/(VLOOKUP(VALUE($A100),WEEKLY_DATA!$A:$H,6,0)/13))),"")</f>
        <v/>
      </c>
      <c r="X100" s="10">
        <f>IFERROR(VLOOKUP(VALUE(A100),WEEKLY_DATA!$A:$H,8,0),0)</f>
        <v>0</v>
      </c>
      <c r="Y100" s="13" t="str">
        <f t="shared" si="2"/>
        <v>—</v>
      </c>
      <c r="Z100" s="11"/>
      <c r="AA100" s="11"/>
      <c r="AB100" s="11"/>
      <c r="AC100" s="11"/>
      <c r="AD100" s="11"/>
      <c r="AE100" s="11"/>
      <c r="AF100" s="61" t="s">
        <v>144</v>
      </c>
      <c r="AG100" s="61"/>
      <c r="AH100" s="62"/>
      <c r="AI100" s="62"/>
      <c r="AJ100" s="61" t="s">
        <v>144</v>
      </c>
      <c r="AK100" s="61" t="s">
        <v>144</v>
      </c>
      <c r="AL100" s="61"/>
      <c r="AM100" s="58" t="str" cm="2">
        <f t="array" ref="AM100">IFERROR(LOOKUP(2, 1/SEARCH({"Black","White","Grey","Blue","Silver","Brown","Green","Blue","Purple","Red","Pink","Yellow","Gold"}, G100), {"Black","White","Grey","Blue","Silver","Brown","Green","Blue","Purple","Red","Pink","Yellow","Gold"}), "")</f>
        <v/>
      </c>
      <c r="AN100" s="58" t="str">
        <f>IFERROR(LOOKUP(2, 1/SEARCH({"8GB","16GB","32GB","64GB"}, G100), {"8GB","16GB","32GB","64GB"}), "")</f>
        <v/>
      </c>
      <c r="AO100" s="58" t="str">
        <f>IFERROR(LOOKUP(2, 1/SEARCH({"1TB","2TB","128GB","512GB","256GB"}, G100), {"1TB","2TB","128GB","512GB","256GB"}), "")</f>
        <v/>
      </c>
      <c r="AP100" s="58"/>
      <c r="AQ100" s="58" t="str">
        <f>IFERROR(LOOKUP(2, 1/SEARCH({"16-Inch","15-Inch","15.6-Inch","18-Inch","15.3-Inch","13-Inch","13.4-Inch","13.8-Inch","14-Inch","17-Inch","45-Inch","27-Inch","34-Inch","32-Inch","21.5-Inch"}, G100), {"16-Inch","15-Inch","15.6-Inch","18-Inch","15.3-Inch","13-Inch","13.4-Inch","13.8-Inch","14-Inch","17-Inch","45-Inch","27-Inch","34-Inch","32-Inch","21.5-Inch"}), "")</f>
        <v/>
      </c>
      <c r="AR100" s="58"/>
      <c r="AS100" s="91"/>
      <c r="AT100" s="93"/>
      <c r="AU100" s="93"/>
      <c r="AV100" s="93"/>
      <c r="AW100" s="93"/>
    </row>
    <row r="101" spans="1:49" ht="15" customHeight="1" x14ac:dyDescent="0.25">
      <c r="A101" s="59"/>
      <c r="B101" s="12"/>
      <c r="C101" s="12"/>
      <c r="D101" s="60"/>
      <c r="E101" s="6"/>
      <c r="F101" s="6"/>
      <c r="G101" s="12"/>
      <c r="H101" s="12" t="str" cm="2">
        <f t="array" ref="H101">IFERROR(INDEX(BrandList!$A$2:$A$50,MATCH(TRUE,ISNUMBER(SEARCH(BrandList!$A$2:$A$50,G101)),0)),"")</f>
        <v/>
      </c>
      <c r="I101" s="12" t="str" cm="2">
        <f t="array" ref="I101">IFERROR(INDEX(BrandList!$B$2:$B$200,MATCH(TRUE,ISNUMBER(SEARCH(BrandList!$B$2:$B$200,G101)),0)),"")</f>
        <v/>
      </c>
      <c r="J101" s="12"/>
      <c r="K101" s="12"/>
      <c r="L101" s="60"/>
      <c r="M101" s="60"/>
      <c r="N101" s="60"/>
      <c r="O101" s="60"/>
      <c r="P101" s="7" t="str">
        <f t="shared" si="3"/>
        <v/>
      </c>
      <c r="Q101" s="8">
        <f>IFERROR(VLOOKUP(VALUE(A101),WEEKLY_DATA!$A:$H,2,0),0)</f>
        <v>0</v>
      </c>
      <c r="R101" s="8">
        <f>IFERROR(VLOOKUP(VALUE(A101),WEEKLY_DATA!$A:$H,3,0),0)</f>
        <v>0</v>
      </c>
      <c r="S101" s="8">
        <f>IFERROR(VLOOKUP(VALUE(A101),WEEKLY_DATA!$A:$H,4,0),0)</f>
        <v>0</v>
      </c>
      <c r="T101" s="51">
        <f>IFERROR(VLOOKUP(VALUE(A101),WEEKLY_DATA!$A:$H,5,0),0)</f>
        <v>0</v>
      </c>
      <c r="U101" s="51">
        <f>IFERROR(VLOOKUP(VALUE(A101),WEEKLY_DATA!$A:$H,6,0),0)</f>
        <v>0</v>
      </c>
      <c r="V101" s="51">
        <f>IFERROR(VLOOKUP(VALUE(A101),WEEKLY_DATA!$A:$H,7,0),0)</f>
        <v>0</v>
      </c>
      <c r="W101" s="9" t="str">
        <f>IFERROR(IF(OR(Q101="",Q101=0),"",IF(VLOOKUP(VALUE($A101),WEEKLY_DATA!$A:$H,6,0)=0,"No Sales",Q101/(VLOOKUP(VALUE($A101),WEEKLY_DATA!$A:$H,6,0)/13))),"")</f>
        <v/>
      </c>
      <c r="X101" s="10">
        <f>IFERROR(VLOOKUP(VALUE(A101),WEEKLY_DATA!$A:$H,8,0),0)</f>
        <v>0</v>
      </c>
      <c r="Y101" s="13" t="str">
        <f t="shared" si="2"/>
        <v>—</v>
      </c>
      <c r="Z101" s="11"/>
      <c r="AA101" s="11"/>
      <c r="AB101" s="11"/>
      <c r="AC101" s="11"/>
      <c r="AD101" s="11"/>
      <c r="AE101" s="11"/>
      <c r="AF101" s="61" t="s">
        <v>144</v>
      </c>
      <c r="AG101" s="61"/>
      <c r="AH101" s="62"/>
      <c r="AI101" s="62"/>
      <c r="AJ101" s="61" t="s">
        <v>144</v>
      </c>
      <c r="AK101" s="61" t="s">
        <v>144</v>
      </c>
      <c r="AL101" s="61"/>
      <c r="AM101" s="58" t="str" cm="2">
        <f t="array" ref="AM101">IFERROR(LOOKUP(2, 1/SEARCH({"Black","White","Grey","Blue","Silver","Brown","Green","Blue","Purple","Red","Pink","Yellow","Gold"}, G101), {"Black","White","Grey","Blue","Silver","Brown","Green","Blue","Purple","Red","Pink","Yellow","Gold"}), "")</f>
        <v/>
      </c>
      <c r="AN101" s="58" t="str">
        <f>IFERROR(LOOKUP(2, 1/SEARCH({"8GB","16GB","32GB","64GB"}, G101), {"8GB","16GB","32GB","64GB"}), "")</f>
        <v/>
      </c>
      <c r="AO101" s="58" t="str">
        <f>IFERROR(LOOKUP(2, 1/SEARCH({"1TB","2TB","128GB","512GB","256GB"}, G101), {"1TB","2TB","128GB","512GB","256GB"}), "")</f>
        <v/>
      </c>
      <c r="AP101" s="58"/>
      <c r="AQ101" s="58" t="str">
        <f>IFERROR(LOOKUP(2, 1/SEARCH({"16-Inch","15-Inch","15.6-Inch","18-Inch","15.3-Inch","13-Inch","13.4-Inch","13.8-Inch","14-Inch","17-Inch","45-Inch","27-Inch","34-Inch","32-Inch","21.5-Inch"}, G101), {"16-Inch","15-Inch","15.6-Inch","18-Inch","15.3-Inch","13-Inch","13.4-Inch","13.8-Inch","14-Inch","17-Inch","45-Inch","27-Inch","34-Inch","32-Inch","21.5-Inch"}), "")</f>
        <v/>
      </c>
      <c r="AR101" s="58"/>
      <c r="AS101" s="91"/>
      <c r="AT101" s="93"/>
      <c r="AU101" s="93"/>
      <c r="AV101" s="93"/>
      <c r="AW101" s="93"/>
    </row>
    <row r="102" spans="1:49" ht="15" customHeight="1" x14ac:dyDescent="0.25">
      <c r="A102" s="59"/>
      <c r="B102" s="12"/>
      <c r="C102" s="12"/>
      <c r="D102" s="60"/>
      <c r="E102" s="6"/>
      <c r="F102" s="6"/>
      <c r="G102" s="12"/>
      <c r="H102" s="12" t="str" cm="2">
        <f t="array" ref="H102">IFERROR(INDEX(BrandList!$A$2:$A$50,MATCH(TRUE,ISNUMBER(SEARCH(BrandList!$A$2:$A$50,G102)),0)),"")</f>
        <v/>
      </c>
      <c r="I102" s="12" t="str" cm="2">
        <f t="array" ref="I102">IFERROR(INDEX(BrandList!$B$2:$B$200,MATCH(TRUE,ISNUMBER(SEARCH(BrandList!$B$2:$B$200,G102)),0)),"")</f>
        <v/>
      </c>
      <c r="J102" s="12"/>
      <c r="K102" s="12"/>
      <c r="L102" s="60"/>
      <c r="M102" s="60"/>
      <c r="N102" s="60"/>
      <c r="O102" s="60"/>
      <c r="P102" s="7" t="str">
        <f t="shared" si="3"/>
        <v/>
      </c>
      <c r="Q102" s="8">
        <f>IFERROR(VLOOKUP(VALUE(A102),WEEKLY_DATA!$A:$H,2,0),0)</f>
        <v>0</v>
      </c>
      <c r="R102" s="8">
        <f>IFERROR(VLOOKUP(VALUE(A102),WEEKLY_DATA!$A:$H,3,0),0)</f>
        <v>0</v>
      </c>
      <c r="S102" s="8">
        <f>IFERROR(VLOOKUP(VALUE(A102),WEEKLY_DATA!$A:$H,4,0),0)</f>
        <v>0</v>
      </c>
      <c r="T102" s="51">
        <f>IFERROR(VLOOKUP(VALUE(A102),WEEKLY_DATA!$A:$H,5,0),0)</f>
        <v>0</v>
      </c>
      <c r="U102" s="51">
        <f>IFERROR(VLOOKUP(VALUE(A102),WEEKLY_DATA!$A:$H,6,0),0)</f>
        <v>0</v>
      </c>
      <c r="V102" s="51">
        <f>IFERROR(VLOOKUP(VALUE(A102),WEEKLY_DATA!$A:$H,7,0),0)</f>
        <v>0</v>
      </c>
      <c r="W102" s="9" t="str">
        <f>IFERROR(IF(OR(Q102="",Q102=0),"",IF(VLOOKUP(VALUE($A102),WEEKLY_DATA!$A:$H,6,0)=0,"No Sales",Q102/(VLOOKUP(VALUE($A102),WEEKLY_DATA!$A:$H,6,0)/13))),"")</f>
        <v/>
      </c>
      <c r="X102" s="10">
        <f>IFERROR(VLOOKUP(VALUE(A102),WEEKLY_DATA!$A:$H,8,0),0)</f>
        <v>0</v>
      </c>
      <c r="Y102" s="13" t="str">
        <f t="shared" si="2"/>
        <v>—</v>
      </c>
      <c r="Z102" s="11"/>
      <c r="AA102" s="11"/>
      <c r="AB102" s="11"/>
      <c r="AC102" s="11"/>
      <c r="AD102" s="11"/>
      <c r="AE102" s="11"/>
      <c r="AF102" s="61" t="s">
        <v>144</v>
      </c>
      <c r="AG102" s="61"/>
      <c r="AH102" s="62"/>
      <c r="AI102" s="62"/>
      <c r="AJ102" s="61" t="s">
        <v>144</v>
      </c>
      <c r="AK102" s="61" t="s">
        <v>144</v>
      </c>
      <c r="AL102" s="61"/>
      <c r="AM102" s="58" t="str" cm="2">
        <f t="array" ref="AM102">IFERROR(LOOKUP(2, 1/SEARCH({"Black","White","Grey","Blue","Silver","Brown","Green","Blue","Purple","Red","Pink","Yellow","Gold"}, G102), {"Black","White","Grey","Blue","Silver","Brown","Green","Blue","Purple","Red","Pink","Yellow","Gold"}), "")</f>
        <v/>
      </c>
      <c r="AN102" s="58" t="str">
        <f>IFERROR(LOOKUP(2, 1/SEARCH({"8GB","16GB","32GB","64GB"}, G102), {"8GB","16GB","32GB","64GB"}), "")</f>
        <v/>
      </c>
      <c r="AO102" s="58" t="str">
        <f>IFERROR(LOOKUP(2, 1/SEARCH({"1TB","2TB","128GB","512GB","256GB"}, G102), {"1TB","2TB","128GB","512GB","256GB"}), "")</f>
        <v/>
      </c>
      <c r="AP102" s="58"/>
      <c r="AQ102" s="58" t="str">
        <f>IFERROR(LOOKUP(2, 1/SEARCH({"16-Inch","15-Inch","15.6-Inch","18-Inch","15.3-Inch","13-Inch","13.4-Inch","13.8-Inch","14-Inch","17-Inch","45-Inch","27-Inch","34-Inch","32-Inch","21.5-Inch"}, G102), {"16-Inch","15-Inch","15.6-Inch","18-Inch","15.3-Inch","13-Inch","13.4-Inch","13.8-Inch","14-Inch","17-Inch","45-Inch","27-Inch","34-Inch","32-Inch","21.5-Inch"}), "")</f>
        <v/>
      </c>
      <c r="AR102" s="58"/>
      <c r="AS102" s="91"/>
      <c r="AT102" s="93"/>
      <c r="AU102" s="93"/>
      <c r="AV102" s="93"/>
      <c r="AW102" s="93"/>
    </row>
    <row r="103" spans="1:49" ht="15" customHeight="1" x14ac:dyDescent="0.25">
      <c r="A103" s="59"/>
      <c r="B103" s="12"/>
      <c r="C103" s="12"/>
      <c r="D103" s="60"/>
      <c r="E103" s="6"/>
      <c r="F103" s="6"/>
      <c r="G103" s="12"/>
      <c r="H103" s="12" t="str" cm="2">
        <f t="array" ref="H103">IFERROR(INDEX(BrandList!$A$2:$A$50,MATCH(TRUE,ISNUMBER(SEARCH(BrandList!$A$2:$A$50,G103)),0)),"")</f>
        <v/>
      </c>
      <c r="I103" s="12" t="str" cm="2">
        <f t="array" ref="I103">IFERROR(INDEX(BrandList!$B$2:$B$200,MATCH(TRUE,ISNUMBER(SEARCH(BrandList!$B$2:$B$200,G103)),0)),"")</f>
        <v/>
      </c>
      <c r="J103" s="12"/>
      <c r="K103" s="12"/>
      <c r="L103" s="60"/>
      <c r="M103" s="60"/>
      <c r="N103" s="60"/>
      <c r="O103" s="60"/>
      <c r="P103" s="7" t="str">
        <f t="shared" si="3"/>
        <v/>
      </c>
      <c r="Q103" s="8">
        <f>IFERROR(VLOOKUP(VALUE(A103),WEEKLY_DATA!$A:$H,2,0),0)</f>
        <v>0</v>
      </c>
      <c r="R103" s="8">
        <f>IFERROR(VLOOKUP(VALUE(A103),WEEKLY_DATA!$A:$H,3,0),0)</f>
        <v>0</v>
      </c>
      <c r="S103" s="8">
        <f>IFERROR(VLOOKUP(VALUE(A103),WEEKLY_DATA!$A:$H,4,0),0)</f>
        <v>0</v>
      </c>
      <c r="T103" s="51">
        <f>IFERROR(VLOOKUP(VALUE(A103),WEEKLY_DATA!$A:$H,5,0),0)</f>
        <v>0</v>
      </c>
      <c r="U103" s="51">
        <f>IFERROR(VLOOKUP(VALUE(A103),WEEKLY_DATA!$A:$H,6,0),0)</f>
        <v>0</v>
      </c>
      <c r="V103" s="51">
        <f>IFERROR(VLOOKUP(VALUE(A103),WEEKLY_DATA!$A:$H,7,0),0)</f>
        <v>0</v>
      </c>
      <c r="W103" s="9" t="str">
        <f>IFERROR(IF(OR(Q103="",Q103=0),"",IF(VLOOKUP(VALUE($A103),WEEKLY_DATA!$A:$H,6,0)=0,"No Sales",Q103/(VLOOKUP(VALUE($A103),WEEKLY_DATA!$A:$H,6,0)/13))),"")</f>
        <v/>
      </c>
      <c r="X103" s="10">
        <f>IFERROR(VLOOKUP(VALUE(A103),WEEKLY_DATA!$A:$H,8,0),0)</f>
        <v>0</v>
      </c>
      <c r="Y103" s="13" t="str">
        <f t="shared" si="2"/>
        <v>—</v>
      </c>
      <c r="Z103" s="11"/>
      <c r="AA103" s="11"/>
      <c r="AB103" s="11"/>
      <c r="AC103" s="11"/>
      <c r="AD103" s="11"/>
      <c r="AE103" s="11"/>
      <c r="AF103" s="61" t="s">
        <v>144</v>
      </c>
      <c r="AG103" s="61"/>
      <c r="AH103" s="62"/>
      <c r="AI103" s="62"/>
      <c r="AJ103" s="61" t="s">
        <v>144</v>
      </c>
      <c r="AK103" s="61" t="s">
        <v>144</v>
      </c>
      <c r="AL103" s="61"/>
      <c r="AM103" s="58" t="str" cm="2">
        <f t="array" ref="AM103">IFERROR(LOOKUP(2, 1/SEARCH({"Black","White","Grey","Blue","Silver","Brown","Green","Blue","Purple","Red","Pink","Yellow","Gold"}, G103), {"Black","White","Grey","Blue","Silver","Brown","Green","Blue","Purple","Red","Pink","Yellow","Gold"}), "")</f>
        <v/>
      </c>
      <c r="AN103" s="58" t="str">
        <f>IFERROR(LOOKUP(2, 1/SEARCH({"8GB","16GB","32GB","64GB"}, G103), {"8GB","16GB","32GB","64GB"}), "")</f>
        <v/>
      </c>
      <c r="AO103" s="58" t="str">
        <f>IFERROR(LOOKUP(2, 1/SEARCH({"1TB","2TB","128GB","512GB","256GB"}, G103), {"1TB","2TB","128GB","512GB","256GB"}), "")</f>
        <v/>
      </c>
      <c r="AP103" s="58"/>
      <c r="AQ103" s="58" t="str">
        <f>IFERROR(LOOKUP(2, 1/SEARCH({"16-Inch","15-Inch","15.6-Inch","18-Inch","15.3-Inch","13-Inch","13.4-Inch","13.8-Inch","14-Inch","17-Inch","45-Inch","27-Inch","34-Inch","32-Inch","21.5-Inch"}, G103), {"16-Inch","15-Inch","15.6-Inch","18-Inch","15.3-Inch","13-Inch","13.4-Inch","13.8-Inch","14-Inch","17-Inch","45-Inch","27-Inch","34-Inch","32-Inch","21.5-Inch"}), "")</f>
        <v/>
      </c>
      <c r="AR103" s="58"/>
      <c r="AS103" s="91"/>
      <c r="AT103" s="93"/>
      <c r="AU103" s="93"/>
      <c r="AV103" s="93"/>
      <c r="AW103" s="93"/>
    </row>
    <row r="104" spans="1:49" ht="15" customHeight="1" x14ac:dyDescent="0.25">
      <c r="A104" s="59"/>
      <c r="B104" s="12"/>
      <c r="C104" s="12"/>
      <c r="D104" s="60"/>
      <c r="E104" s="6"/>
      <c r="F104" s="6"/>
      <c r="G104" s="12"/>
      <c r="H104" s="12" t="str" cm="2">
        <f t="array" ref="H104">IFERROR(INDEX(BrandList!$A$2:$A$50,MATCH(TRUE,ISNUMBER(SEARCH(BrandList!$A$2:$A$50,G104)),0)),"")</f>
        <v/>
      </c>
      <c r="I104" s="12" t="str" cm="2">
        <f t="array" ref="I104">IFERROR(INDEX(BrandList!$B$2:$B$200,MATCH(TRUE,ISNUMBER(SEARCH(BrandList!$B$2:$B$200,G104)),0)),"")</f>
        <v/>
      </c>
      <c r="J104" s="12"/>
      <c r="K104" s="12"/>
      <c r="L104" s="60"/>
      <c r="M104" s="60"/>
      <c r="N104" s="60"/>
      <c r="O104" s="60"/>
      <c r="P104" s="7" t="str">
        <f t="shared" si="3"/>
        <v/>
      </c>
      <c r="Q104" s="8">
        <f>IFERROR(VLOOKUP(VALUE(A104),WEEKLY_DATA!$A:$H,2,0),0)</f>
        <v>0</v>
      </c>
      <c r="R104" s="8">
        <f>IFERROR(VLOOKUP(VALUE(A104),WEEKLY_DATA!$A:$H,3,0),0)</f>
        <v>0</v>
      </c>
      <c r="S104" s="8">
        <f>IFERROR(VLOOKUP(VALUE(A104),WEEKLY_DATA!$A:$H,4,0),0)</f>
        <v>0</v>
      </c>
      <c r="T104" s="51">
        <f>IFERROR(VLOOKUP(VALUE(A104),WEEKLY_DATA!$A:$H,5,0),0)</f>
        <v>0</v>
      </c>
      <c r="U104" s="51">
        <f>IFERROR(VLOOKUP(VALUE(A104),WEEKLY_DATA!$A:$H,6,0),0)</f>
        <v>0</v>
      </c>
      <c r="V104" s="51">
        <f>IFERROR(VLOOKUP(VALUE(A104),WEEKLY_DATA!$A:$H,7,0),0)</f>
        <v>0</v>
      </c>
      <c r="W104" s="9" t="str">
        <f>IFERROR(IF(OR(Q104="",Q104=0),"",IF(VLOOKUP(VALUE($A104),WEEKLY_DATA!$A:$H,6,0)=0,"No Sales",Q104/(VLOOKUP(VALUE($A104),WEEKLY_DATA!$A:$H,6,0)/13))),"")</f>
        <v/>
      </c>
      <c r="X104" s="10">
        <f>IFERROR(VLOOKUP(VALUE(A104),WEEKLY_DATA!$A:$H,8,0),0)</f>
        <v>0</v>
      </c>
      <c r="Y104" s="13" t="str">
        <f t="shared" si="2"/>
        <v>—</v>
      </c>
      <c r="Z104" s="11"/>
      <c r="AA104" s="11"/>
      <c r="AB104" s="11"/>
      <c r="AC104" s="11"/>
      <c r="AD104" s="11"/>
      <c r="AE104" s="11"/>
      <c r="AF104" s="61" t="s">
        <v>144</v>
      </c>
      <c r="AG104" s="61"/>
      <c r="AH104" s="62"/>
      <c r="AI104" s="62"/>
      <c r="AJ104" s="61" t="s">
        <v>144</v>
      </c>
      <c r="AK104" s="61" t="s">
        <v>144</v>
      </c>
      <c r="AL104" s="61"/>
      <c r="AM104" s="58" t="str" cm="2">
        <f t="array" ref="AM104">IFERROR(LOOKUP(2, 1/SEARCH({"Black","White","Grey","Blue","Silver","Brown","Green","Blue","Purple","Red","Pink","Yellow","Gold"}, G104), {"Black","White","Grey","Blue","Silver","Brown","Green","Blue","Purple","Red","Pink","Yellow","Gold"}), "")</f>
        <v/>
      </c>
      <c r="AN104" s="58" t="str">
        <f>IFERROR(LOOKUP(2, 1/SEARCH({"8GB","16GB","32GB","64GB"}, G104), {"8GB","16GB","32GB","64GB"}), "")</f>
        <v/>
      </c>
      <c r="AO104" s="58" t="str">
        <f>IFERROR(LOOKUP(2, 1/SEARCH({"1TB","2TB","128GB","512GB","256GB"}, G104), {"1TB","2TB","128GB","512GB","256GB"}), "")</f>
        <v/>
      </c>
      <c r="AP104" s="58"/>
      <c r="AQ104" s="58" t="str">
        <f>IFERROR(LOOKUP(2, 1/SEARCH({"16-Inch","15-Inch","15.6-Inch","18-Inch","15.3-Inch","13-Inch","13.4-Inch","13.8-Inch","14-Inch","17-Inch","45-Inch","27-Inch","34-Inch","32-Inch","21.5-Inch"}, G104), {"16-Inch","15-Inch","15.6-Inch","18-Inch","15.3-Inch","13-Inch","13.4-Inch","13.8-Inch","14-Inch","17-Inch","45-Inch","27-Inch","34-Inch","32-Inch","21.5-Inch"}), "")</f>
        <v/>
      </c>
      <c r="AR104" s="58"/>
      <c r="AS104" s="91"/>
      <c r="AT104" s="93"/>
      <c r="AU104" s="93"/>
      <c r="AV104" s="93"/>
      <c r="AW104" s="93"/>
    </row>
    <row r="105" spans="1:49" ht="15" customHeight="1" x14ac:dyDescent="0.25">
      <c r="A105" s="59"/>
      <c r="B105" s="12"/>
      <c r="C105" s="12"/>
      <c r="D105" s="60"/>
      <c r="E105" s="6"/>
      <c r="F105" s="6"/>
      <c r="G105" s="12"/>
      <c r="H105" s="12" t="str" cm="2">
        <f t="array" ref="H105">IFERROR(INDEX(BrandList!$A$2:$A$50,MATCH(TRUE,ISNUMBER(SEARCH(BrandList!$A$2:$A$50,G105)),0)),"")</f>
        <v/>
      </c>
      <c r="I105" s="12" t="str" cm="2">
        <f t="array" ref="I105">IFERROR(INDEX(BrandList!$B$2:$B$200,MATCH(TRUE,ISNUMBER(SEARCH(BrandList!$B$2:$B$200,G105)),0)),"")</f>
        <v/>
      </c>
      <c r="J105" s="12"/>
      <c r="K105" s="12"/>
      <c r="L105" s="60"/>
      <c r="M105" s="60"/>
      <c r="N105" s="60"/>
      <c r="O105" s="60"/>
      <c r="P105" s="7" t="str">
        <f t="shared" si="3"/>
        <v/>
      </c>
      <c r="Q105" s="8">
        <f>IFERROR(VLOOKUP(VALUE(A105),WEEKLY_DATA!$A:$H,2,0),0)</f>
        <v>0</v>
      </c>
      <c r="R105" s="8">
        <f>IFERROR(VLOOKUP(VALUE(A105),WEEKLY_DATA!$A:$H,3,0),0)</f>
        <v>0</v>
      </c>
      <c r="S105" s="8">
        <f>IFERROR(VLOOKUP(VALUE(A105),WEEKLY_DATA!$A:$H,4,0),0)</f>
        <v>0</v>
      </c>
      <c r="T105" s="51">
        <f>IFERROR(VLOOKUP(VALUE(A105),WEEKLY_DATA!$A:$H,5,0),0)</f>
        <v>0</v>
      </c>
      <c r="U105" s="51">
        <f>IFERROR(VLOOKUP(VALUE(A105),WEEKLY_DATA!$A:$H,6,0),0)</f>
        <v>0</v>
      </c>
      <c r="V105" s="51">
        <f>IFERROR(VLOOKUP(VALUE(A105),WEEKLY_DATA!$A:$H,7,0),0)</f>
        <v>0</v>
      </c>
      <c r="W105" s="9" t="str">
        <f>IFERROR(IF(OR(Q105="",Q105=0),"",IF(VLOOKUP(VALUE($A105),WEEKLY_DATA!$A:$H,6,0)=0,"No Sales",Q105/(VLOOKUP(VALUE($A105),WEEKLY_DATA!$A:$H,6,0)/13))),"")</f>
        <v/>
      </c>
      <c r="X105" s="10">
        <f>IFERROR(VLOOKUP(VALUE(A105),WEEKLY_DATA!$A:$H,8,0),0)</f>
        <v>0</v>
      </c>
      <c r="Y105" s="13" t="str">
        <f t="shared" si="2"/>
        <v>—</v>
      </c>
      <c r="Z105" s="11"/>
      <c r="AA105" s="11"/>
      <c r="AB105" s="11"/>
      <c r="AC105" s="11"/>
      <c r="AD105" s="11"/>
      <c r="AE105" s="11"/>
      <c r="AF105" s="61" t="s">
        <v>144</v>
      </c>
      <c r="AG105" s="61"/>
      <c r="AH105" s="62"/>
      <c r="AI105" s="62"/>
      <c r="AJ105" s="61" t="s">
        <v>144</v>
      </c>
      <c r="AK105" s="61" t="s">
        <v>144</v>
      </c>
      <c r="AL105" s="61"/>
      <c r="AM105" s="58" t="str" cm="2">
        <f t="array" ref="AM105">IFERROR(LOOKUP(2, 1/SEARCH({"Black","White","Grey","Blue","Silver","Brown","Green","Blue","Purple","Red","Pink","Yellow","Gold"}, G105), {"Black","White","Grey","Blue","Silver","Brown","Green","Blue","Purple","Red","Pink","Yellow","Gold"}), "")</f>
        <v/>
      </c>
      <c r="AN105" s="58" t="str">
        <f>IFERROR(LOOKUP(2, 1/SEARCH({"8GB","16GB","32GB","64GB"}, G105), {"8GB","16GB","32GB","64GB"}), "")</f>
        <v/>
      </c>
      <c r="AO105" s="58" t="str">
        <f>IFERROR(LOOKUP(2, 1/SEARCH({"1TB","2TB","128GB","512GB","256GB"}, G105), {"1TB","2TB","128GB","512GB","256GB"}), "")</f>
        <v/>
      </c>
      <c r="AP105" s="58"/>
      <c r="AQ105" s="58" t="str">
        <f>IFERROR(LOOKUP(2, 1/SEARCH({"16-Inch","15-Inch","15.6-Inch","18-Inch","15.3-Inch","13-Inch","13.4-Inch","13.8-Inch","14-Inch","17-Inch","45-Inch","27-Inch","34-Inch","32-Inch","21.5-Inch"}, G105), {"16-Inch","15-Inch","15.6-Inch","18-Inch","15.3-Inch","13-Inch","13.4-Inch","13.8-Inch","14-Inch","17-Inch","45-Inch","27-Inch","34-Inch","32-Inch","21.5-Inch"}), "")</f>
        <v/>
      </c>
      <c r="AR105" s="58"/>
      <c r="AS105" s="91"/>
      <c r="AT105" s="93"/>
      <c r="AU105" s="93"/>
      <c r="AV105" s="93"/>
      <c r="AW105" s="93"/>
    </row>
    <row r="106" spans="1:49" ht="15" customHeight="1" x14ac:dyDescent="0.25">
      <c r="A106" s="59"/>
      <c r="B106" s="12"/>
      <c r="C106" s="12"/>
      <c r="D106" s="60"/>
      <c r="E106" s="6"/>
      <c r="F106" s="6"/>
      <c r="G106" s="12"/>
      <c r="H106" s="12" t="str" cm="2">
        <f t="array" ref="H106">IFERROR(INDEX(BrandList!$A$2:$A$50,MATCH(TRUE,ISNUMBER(SEARCH(BrandList!$A$2:$A$50,G106)),0)),"")</f>
        <v/>
      </c>
      <c r="I106" s="12" t="str" cm="2">
        <f t="array" ref="I106">IFERROR(INDEX(BrandList!$B$2:$B$200,MATCH(TRUE,ISNUMBER(SEARCH(BrandList!$B$2:$B$200,G106)),0)),"")</f>
        <v/>
      </c>
      <c r="J106" s="12"/>
      <c r="K106" s="59"/>
      <c r="L106" s="86"/>
      <c r="M106" s="86"/>
      <c r="N106" s="86"/>
      <c r="O106" s="86"/>
      <c r="P106" s="7" t="str">
        <f t="shared" si="3"/>
        <v/>
      </c>
      <c r="Q106" s="8">
        <f>IFERROR(VLOOKUP(VALUE(A106),WEEKLY_DATA!$A:$H,2,0),0)</f>
        <v>0</v>
      </c>
      <c r="R106" s="8">
        <f>IFERROR(VLOOKUP(VALUE(A106),WEEKLY_DATA!$A:$H,3,0),0)</f>
        <v>0</v>
      </c>
      <c r="S106" s="8">
        <f>IFERROR(VLOOKUP(VALUE(A106),WEEKLY_DATA!$A:$H,4,0),0)</f>
        <v>0</v>
      </c>
      <c r="T106" s="51">
        <f>IFERROR(VLOOKUP(VALUE(A106),WEEKLY_DATA!$A:$H,5,0),0)</f>
        <v>0</v>
      </c>
      <c r="U106" s="51">
        <f>IFERROR(VLOOKUP(VALUE(A106),WEEKLY_DATA!$A:$H,6,0),0)</f>
        <v>0</v>
      </c>
      <c r="V106" s="51">
        <f>IFERROR(VLOOKUP(VALUE(A106),WEEKLY_DATA!$A:$H,7,0),0)</f>
        <v>0</v>
      </c>
      <c r="W106" s="9" t="str">
        <f>IFERROR(IF(OR(Q106="",Q106=0),"",IF(VLOOKUP(VALUE($A106),WEEKLY_DATA!$A:$H,6,0)=0,"No Sales",Q106/(VLOOKUP(VALUE($A106),WEEKLY_DATA!$A:$H,6,0)/13))),"")</f>
        <v/>
      </c>
      <c r="X106" s="10">
        <f>IFERROR(VLOOKUP(VALUE(A106),WEEKLY_DATA!$A:$H,8,0),0)</f>
        <v>0</v>
      </c>
      <c r="Y106" s="13" t="str">
        <f t="shared" si="2"/>
        <v>—</v>
      </c>
      <c r="Z106" s="11"/>
      <c r="AA106" s="11"/>
      <c r="AB106" s="11"/>
      <c r="AC106" s="11"/>
      <c r="AD106" s="11"/>
      <c r="AE106" s="11"/>
      <c r="AF106" s="61" t="s">
        <v>144</v>
      </c>
      <c r="AG106" s="61"/>
      <c r="AH106" s="62"/>
      <c r="AI106" s="62"/>
      <c r="AJ106" s="61" t="s">
        <v>144</v>
      </c>
      <c r="AK106" s="61" t="s">
        <v>144</v>
      </c>
      <c r="AL106" s="61"/>
      <c r="AM106" s="58" t="str" cm="2">
        <f t="array" ref="AM106">IFERROR(LOOKUP(2, 1/SEARCH({"Black","White","Grey","Blue","Silver","Brown","Green","Blue","Purple","Red","Pink","Yellow","Gold"}, G106), {"Black","White","Grey","Blue","Silver","Brown","Green","Blue","Purple","Red","Pink","Yellow","Gold"}), "")</f>
        <v/>
      </c>
      <c r="AN106" s="58" t="str">
        <f>IFERROR(LOOKUP(2, 1/SEARCH({"8GB","16GB","32GB","64GB"}, G106), {"8GB","16GB","32GB","64GB"}), "")</f>
        <v/>
      </c>
      <c r="AO106" s="58" t="str">
        <f>IFERROR(LOOKUP(2, 1/SEARCH({"1TB","2TB","128GB","512GB","256GB"}, G106), {"1TB","2TB","128GB","512GB","256GB"}), "")</f>
        <v/>
      </c>
      <c r="AP106" s="58"/>
      <c r="AQ106" s="58" t="str">
        <f>IFERROR(LOOKUP(2, 1/SEARCH({"16-Inch","15-Inch","15.6-Inch","18-Inch","15.3-Inch","13-Inch","13.4-Inch","13.8-Inch","14-Inch","17-Inch","45-Inch","27-Inch","34-Inch","32-Inch","21.5-Inch"}, G106), {"16-Inch","15-Inch","15.6-Inch","18-Inch","15.3-Inch","13-Inch","13.4-Inch","13.8-Inch","14-Inch","17-Inch","45-Inch","27-Inch","34-Inch","32-Inch","21.5-Inch"}), "")</f>
        <v/>
      </c>
      <c r="AR106" s="58"/>
      <c r="AS106" s="91"/>
      <c r="AT106" s="93"/>
      <c r="AU106" s="93"/>
      <c r="AV106" s="93"/>
      <c r="AW106" s="93"/>
    </row>
    <row r="107" spans="1:49" ht="15" customHeight="1" x14ac:dyDescent="0.25">
      <c r="A107" s="59"/>
      <c r="B107" s="12"/>
      <c r="C107" s="12"/>
      <c r="D107" s="60"/>
      <c r="E107" s="6"/>
      <c r="F107" s="6"/>
      <c r="G107" s="12"/>
      <c r="H107" s="12" t="str" cm="2">
        <f t="array" ref="H107">IFERROR(INDEX(BrandList!$A$2:$A$50,MATCH(TRUE,ISNUMBER(SEARCH(BrandList!$A$2:$A$50,G107)),0)),"")</f>
        <v/>
      </c>
      <c r="I107" s="12" t="str" cm="2">
        <f t="array" ref="I107">IFERROR(INDEX(BrandList!$B$2:$B$200,MATCH(TRUE,ISNUMBER(SEARCH(BrandList!$B$2:$B$200,G107)),0)),"")</f>
        <v/>
      </c>
      <c r="J107" s="12"/>
      <c r="K107" s="59"/>
      <c r="L107" s="86"/>
      <c r="M107" s="86"/>
      <c r="N107" s="86"/>
      <c r="O107" s="86"/>
      <c r="P107" s="7" t="str">
        <f t="shared" si="3"/>
        <v/>
      </c>
      <c r="Q107" s="8">
        <f>IFERROR(VLOOKUP(VALUE(A107),WEEKLY_DATA!$A:$H,2,0),0)</f>
        <v>0</v>
      </c>
      <c r="R107" s="8">
        <f>IFERROR(VLOOKUP(VALUE(A107),WEEKLY_DATA!$A:$H,3,0),0)</f>
        <v>0</v>
      </c>
      <c r="S107" s="8">
        <f>IFERROR(VLOOKUP(VALUE(A107),WEEKLY_DATA!$A:$H,4,0),0)</f>
        <v>0</v>
      </c>
      <c r="T107" s="51">
        <f>IFERROR(VLOOKUP(VALUE(A107),WEEKLY_DATA!$A:$H,5,0),0)</f>
        <v>0</v>
      </c>
      <c r="U107" s="51">
        <f>IFERROR(VLOOKUP(VALUE(A107),WEEKLY_DATA!$A:$H,6,0),0)</f>
        <v>0</v>
      </c>
      <c r="V107" s="51">
        <f>IFERROR(VLOOKUP(VALUE(A107),WEEKLY_DATA!$A:$H,7,0),0)</f>
        <v>0</v>
      </c>
      <c r="W107" s="9" t="str">
        <f>IFERROR(IF(OR(Q107="",Q107=0),"",IF(VLOOKUP(VALUE($A107),WEEKLY_DATA!$A:$H,6,0)=0,"No Sales",Q107/(VLOOKUP(VALUE($A107),WEEKLY_DATA!$A:$H,6,0)/13))),"")</f>
        <v/>
      </c>
      <c r="X107" s="10">
        <f>IFERROR(VLOOKUP(VALUE(A107),WEEKLY_DATA!$A:$H,8,0),0)</f>
        <v>0</v>
      </c>
      <c r="Y107" s="13" t="str">
        <f t="shared" si="2"/>
        <v>—</v>
      </c>
      <c r="Z107" s="11"/>
      <c r="AA107" s="11"/>
      <c r="AB107" s="11"/>
      <c r="AC107" s="11"/>
      <c r="AD107" s="11"/>
      <c r="AE107" s="11"/>
      <c r="AF107" s="61" t="s">
        <v>144</v>
      </c>
      <c r="AG107" s="61"/>
      <c r="AH107" s="62"/>
      <c r="AI107" s="62"/>
      <c r="AJ107" s="61" t="s">
        <v>144</v>
      </c>
      <c r="AK107" s="61" t="s">
        <v>144</v>
      </c>
      <c r="AL107" s="61"/>
      <c r="AM107" s="58" t="str" cm="2">
        <f t="array" ref="AM107">IFERROR(LOOKUP(2, 1/SEARCH({"Black","White","Grey","Blue","Silver","Brown","Green","Blue","Purple","Red","Pink","Yellow","Gold"}, G107), {"Black","White","Grey","Blue","Silver","Brown","Green","Blue","Purple","Red","Pink","Yellow","Gold"}), "")</f>
        <v/>
      </c>
      <c r="AN107" s="58" t="str">
        <f>IFERROR(LOOKUP(2, 1/SEARCH({"8GB","16GB","32GB","64GB"}, G107), {"8GB","16GB","32GB","64GB"}), "")</f>
        <v/>
      </c>
      <c r="AO107" s="58" t="str">
        <f>IFERROR(LOOKUP(2, 1/SEARCH({"1TB","2TB","128GB","512GB","256GB"}, G107), {"1TB","2TB","128GB","512GB","256GB"}), "")</f>
        <v/>
      </c>
      <c r="AP107" s="58"/>
      <c r="AQ107" s="58" t="str">
        <f>IFERROR(LOOKUP(2, 1/SEARCH({"16-Inch","15-Inch","15.6-Inch","18-Inch","15.3-Inch","13-Inch","13.4-Inch","13.8-Inch","14-Inch","17-Inch","45-Inch","27-Inch","34-Inch","32-Inch","21.5-Inch"}, G107), {"16-Inch","15-Inch","15.6-Inch","18-Inch","15.3-Inch","13-Inch","13.4-Inch","13.8-Inch","14-Inch","17-Inch","45-Inch","27-Inch","34-Inch","32-Inch","21.5-Inch"}), "")</f>
        <v/>
      </c>
      <c r="AR107" s="58"/>
      <c r="AS107" s="91"/>
      <c r="AT107" s="93"/>
      <c r="AU107" s="93"/>
      <c r="AV107" s="93"/>
      <c r="AW107" s="93"/>
    </row>
    <row r="108" spans="1:49" ht="15" customHeight="1" x14ac:dyDescent="0.25">
      <c r="A108" s="59"/>
      <c r="B108" s="12"/>
      <c r="C108" s="12"/>
      <c r="D108" s="60"/>
      <c r="E108" s="6"/>
      <c r="F108" s="6"/>
      <c r="G108" s="12"/>
      <c r="H108" s="12" t="str" cm="2">
        <f t="array" ref="H108">IFERROR(INDEX(BrandList!$A$2:$A$50,MATCH(TRUE,ISNUMBER(SEARCH(BrandList!$A$2:$A$50,G108)),0)),"")</f>
        <v/>
      </c>
      <c r="I108" s="12" t="str" cm="2">
        <f t="array" ref="I108">IFERROR(INDEX(BrandList!$B$2:$B$200,MATCH(TRUE,ISNUMBER(SEARCH(BrandList!$B$2:$B$200,G108)),0)),"")</f>
        <v/>
      </c>
      <c r="J108" s="12"/>
      <c r="K108" s="59"/>
      <c r="L108" s="86"/>
      <c r="M108" s="86"/>
      <c r="N108" s="86"/>
      <c r="O108" s="86"/>
      <c r="P108" s="7" t="str">
        <f t="shared" si="3"/>
        <v/>
      </c>
      <c r="Q108" s="8">
        <f>IFERROR(VLOOKUP(VALUE(A108),WEEKLY_DATA!$A:$H,2,0),0)</f>
        <v>0</v>
      </c>
      <c r="R108" s="8">
        <f>IFERROR(VLOOKUP(VALUE(A108),WEEKLY_DATA!$A:$H,3,0),0)</f>
        <v>0</v>
      </c>
      <c r="S108" s="8">
        <f>IFERROR(VLOOKUP(VALUE(A108),WEEKLY_DATA!$A:$H,4,0),0)</f>
        <v>0</v>
      </c>
      <c r="T108" s="51">
        <f>IFERROR(VLOOKUP(VALUE(A108),WEEKLY_DATA!$A:$H,5,0),0)</f>
        <v>0</v>
      </c>
      <c r="U108" s="51">
        <f>IFERROR(VLOOKUP(VALUE(A108),WEEKLY_DATA!$A:$H,6,0),0)</f>
        <v>0</v>
      </c>
      <c r="V108" s="51">
        <f>IFERROR(VLOOKUP(VALUE(A108),WEEKLY_DATA!$A:$H,7,0),0)</f>
        <v>0</v>
      </c>
      <c r="W108" s="9" t="str">
        <f>IFERROR(IF(OR(Q108="",Q108=0),"",IF(VLOOKUP(VALUE($A108),WEEKLY_DATA!$A:$H,6,0)=0,"No Sales",Q108/(VLOOKUP(VALUE($A108),WEEKLY_DATA!$A:$H,6,0)/13))),"")</f>
        <v/>
      </c>
      <c r="X108" s="10">
        <f>IFERROR(VLOOKUP(VALUE(A108),WEEKLY_DATA!$A:$H,8,0),0)</f>
        <v>0</v>
      </c>
      <c r="Y108" s="13" t="str">
        <f t="shared" si="2"/>
        <v>—</v>
      </c>
      <c r="Z108" s="11"/>
      <c r="AA108" s="11"/>
      <c r="AB108" s="11"/>
      <c r="AC108" s="11"/>
      <c r="AD108" s="11"/>
      <c r="AE108" s="11"/>
      <c r="AF108" s="61" t="s">
        <v>144</v>
      </c>
      <c r="AG108" s="61"/>
      <c r="AH108" s="62"/>
      <c r="AI108" s="62"/>
      <c r="AJ108" s="61" t="s">
        <v>144</v>
      </c>
      <c r="AK108" s="61" t="s">
        <v>144</v>
      </c>
      <c r="AL108" s="61"/>
      <c r="AM108" s="58" t="str" cm="2">
        <f t="array" ref="AM108">IFERROR(LOOKUP(2, 1/SEARCH({"Black","White","Grey","Blue","Silver","Brown","Green","Blue","Purple","Red","Pink","Yellow","Gold"}, G108), {"Black","White","Grey","Blue","Silver","Brown","Green","Blue","Purple","Red","Pink","Yellow","Gold"}), "")</f>
        <v/>
      </c>
      <c r="AN108" s="58" t="str">
        <f>IFERROR(LOOKUP(2, 1/SEARCH({"8GB","16GB","32GB","64GB"}, G108), {"8GB","16GB","32GB","64GB"}), "")</f>
        <v/>
      </c>
      <c r="AO108" s="58" t="str">
        <f>IFERROR(LOOKUP(2, 1/SEARCH({"1TB","2TB","128GB","512GB","256GB"}, G108), {"1TB","2TB","128GB","512GB","256GB"}), "")</f>
        <v/>
      </c>
      <c r="AP108" s="58"/>
      <c r="AQ108" s="58" t="str">
        <f>IFERROR(LOOKUP(2, 1/SEARCH({"16-Inch","15-Inch","15.6-Inch","18-Inch","15.3-Inch","13-Inch","13.4-Inch","13.8-Inch","14-Inch","17-Inch","45-Inch","27-Inch","34-Inch","32-Inch","21.5-Inch"}, G108), {"16-Inch","15-Inch","15.6-Inch","18-Inch","15.3-Inch","13-Inch","13.4-Inch","13.8-Inch","14-Inch","17-Inch","45-Inch","27-Inch","34-Inch","32-Inch","21.5-Inch"}), "")</f>
        <v/>
      </c>
      <c r="AR108" s="58"/>
      <c r="AS108" s="91"/>
      <c r="AT108" s="93"/>
      <c r="AU108" s="93"/>
      <c r="AV108" s="93"/>
      <c r="AW108" s="93"/>
    </row>
    <row r="109" spans="1:49" ht="15" customHeight="1" x14ac:dyDescent="0.25">
      <c r="A109" s="59"/>
      <c r="B109" s="12"/>
      <c r="C109" s="12"/>
      <c r="D109" s="60"/>
      <c r="E109" s="6"/>
      <c r="F109" s="6"/>
      <c r="G109" s="12"/>
      <c r="H109" s="12" t="str" cm="2">
        <f t="array" ref="H109">IFERROR(INDEX(BrandList!$A$2:$A$50,MATCH(TRUE,ISNUMBER(SEARCH(BrandList!$A$2:$A$50,G109)),0)),"")</f>
        <v/>
      </c>
      <c r="I109" s="12" t="str" cm="2">
        <f t="array" ref="I109">IFERROR(INDEX(BrandList!$B$2:$B$200,MATCH(TRUE,ISNUMBER(SEARCH(BrandList!$B$2:$B$200,G109)),0)),"")</f>
        <v/>
      </c>
      <c r="J109" s="12"/>
      <c r="K109" s="59"/>
      <c r="L109" s="86"/>
      <c r="M109" s="86"/>
      <c r="N109" s="86"/>
      <c r="O109" s="86"/>
      <c r="P109" s="7" t="str">
        <f t="shared" si="3"/>
        <v/>
      </c>
      <c r="Q109" s="8">
        <f>IFERROR(VLOOKUP(VALUE(A109),WEEKLY_DATA!$A:$H,2,0),0)</f>
        <v>0</v>
      </c>
      <c r="R109" s="8">
        <f>IFERROR(VLOOKUP(VALUE(A109),WEEKLY_DATA!$A:$H,3,0),0)</f>
        <v>0</v>
      </c>
      <c r="S109" s="8">
        <f>IFERROR(VLOOKUP(VALUE(A109),WEEKLY_DATA!$A:$H,4,0),0)</f>
        <v>0</v>
      </c>
      <c r="T109" s="51">
        <f>IFERROR(VLOOKUP(VALUE(A109),WEEKLY_DATA!$A:$H,5,0),0)</f>
        <v>0</v>
      </c>
      <c r="U109" s="51">
        <f>IFERROR(VLOOKUP(VALUE(A109),WEEKLY_DATA!$A:$H,6,0),0)</f>
        <v>0</v>
      </c>
      <c r="V109" s="51">
        <f>IFERROR(VLOOKUP(VALUE(A109),WEEKLY_DATA!$A:$H,7,0),0)</f>
        <v>0</v>
      </c>
      <c r="W109" s="9" t="str">
        <f>IFERROR(IF(OR(Q109="",Q109=0),"",IF(VLOOKUP(VALUE($A109),WEEKLY_DATA!$A:$H,6,0)=0,"No Sales",Q109/(VLOOKUP(VALUE($A109),WEEKLY_DATA!$A:$H,6,0)/13))),"")</f>
        <v/>
      </c>
      <c r="X109" s="10">
        <f>IFERROR(VLOOKUP(VALUE(A109),WEEKLY_DATA!$A:$H,8,0),0)</f>
        <v>0</v>
      </c>
      <c r="Y109" s="13" t="str">
        <f t="shared" si="2"/>
        <v>—</v>
      </c>
      <c r="Z109" s="11"/>
      <c r="AA109" s="11"/>
      <c r="AB109" s="11"/>
      <c r="AC109" s="11"/>
      <c r="AD109" s="11"/>
      <c r="AE109" s="11"/>
      <c r="AF109" s="61" t="s">
        <v>144</v>
      </c>
      <c r="AG109" s="61"/>
      <c r="AH109" s="62"/>
      <c r="AI109" s="62"/>
      <c r="AJ109" s="61" t="s">
        <v>144</v>
      </c>
      <c r="AK109" s="61" t="s">
        <v>144</v>
      </c>
      <c r="AL109" s="61"/>
      <c r="AM109" s="58" t="str" cm="2">
        <f t="array" ref="AM109">IFERROR(LOOKUP(2, 1/SEARCH({"Black","White","Grey","Blue","Silver","Brown","Green","Blue","Purple","Red","Pink","Yellow","Gold"}, G109), {"Black","White","Grey","Blue","Silver","Brown","Green","Blue","Purple","Red","Pink","Yellow","Gold"}), "")</f>
        <v/>
      </c>
      <c r="AN109" s="58" t="str">
        <f>IFERROR(LOOKUP(2, 1/SEARCH({"8GB","16GB","32GB","64GB"}, G109), {"8GB","16GB","32GB","64GB"}), "")</f>
        <v/>
      </c>
      <c r="AO109" s="58" t="str">
        <f>IFERROR(LOOKUP(2, 1/SEARCH({"1TB","2TB","128GB","512GB","256GB"}, G109), {"1TB","2TB","128GB","512GB","256GB"}), "")</f>
        <v/>
      </c>
      <c r="AP109" s="58"/>
      <c r="AQ109" s="58" t="str">
        <f>IFERROR(LOOKUP(2, 1/SEARCH({"16-Inch","15-Inch","15.6-Inch","18-Inch","15.3-Inch","13-Inch","13.4-Inch","13.8-Inch","14-Inch","17-Inch","45-Inch","27-Inch","34-Inch","32-Inch","21.5-Inch"}, G109), {"16-Inch","15-Inch","15.6-Inch","18-Inch","15.3-Inch","13-Inch","13.4-Inch","13.8-Inch","14-Inch","17-Inch","45-Inch","27-Inch","34-Inch","32-Inch","21.5-Inch"}), "")</f>
        <v/>
      </c>
      <c r="AR109" s="58"/>
      <c r="AS109" s="91"/>
      <c r="AT109" s="93"/>
      <c r="AU109" s="93"/>
      <c r="AV109" s="93"/>
      <c r="AW109" s="93"/>
    </row>
    <row r="110" spans="1:49" ht="15" customHeight="1" x14ac:dyDescent="0.25">
      <c r="A110" s="59"/>
      <c r="B110" s="12"/>
      <c r="C110" s="12"/>
      <c r="D110" s="60"/>
      <c r="E110" s="6"/>
      <c r="F110" s="6"/>
      <c r="G110" s="12"/>
      <c r="H110" s="12" t="str" cm="2">
        <f t="array" ref="H110">IFERROR(INDEX(BrandList!$A$2:$A$50,MATCH(TRUE,ISNUMBER(SEARCH(BrandList!$A$2:$A$50,G110)),0)),"")</f>
        <v/>
      </c>
      <c r="I110" s="12" t="str" cm="2">
        <f t="array" ref="I110">IFERROR(INDEX(BrandList!$B$2:$B$200,MATCH(TRUE,ISNUMBER(SEARCH(BrandList!$B$2:$B$200,G110)),0)),"")</f>
        <v/>
      </c>
      <c r="J110" s="12"/>
      <c r="K110" s="59"/>
      <c r="L110" s="86"/>
      <c r="M110" s="86"/>
      <c r="N110" s="86"/>
      <c r="O110" s="86"/>
      <c r="P110" s="7" t="str">
        <f t="shared" si="3"/>
        <v/>
      </c>
      <c r="Q110" s="8">
        <f>IFERROR(VLOOKUP(VALUE(A110),WEEKLY_DATA!$A:$H,2,0),0)</f>
        <v>0</v>
      </c>
      <c r="R110" s="8">
        <f>IFERROR(VLOOKUP(VALUE(A110),WEEKLY_DATA!$A:$H,3,0),0)</f>
        <v>0</v>
      </c>
      <c r="S110" s="8">
        <f>IFERROR(VLOOKUP(VALUE(A110),WEEKLY_DATA!$A:$H,4,0),0)</f>
        <v>0</v>
      </c>
      <c r="T110" s="51">
        <f>IFERROR(VLOOKUP(VALUE(A110),WEEKLY_DATA!$A:$H,5,0),0)</f>
        <v>0</v>
      </c>
      <c r="U110" s="51">
        <f>IFERROR(VLOOKUP(VALUE(A110),WEEKLY_DATA!$A:$H,6,0),0)</f>
        <v>0</v>
      </c>
      <c r="V110" s="51">
        <f>IFERROR(VLOOKUP(VALUE(A110),WEEKLY_DATA!$A:$H,7,0),0)</f>
        <v>0</v>
      </c>
      <c r="W110" s="9" t="str">
        <f>IFERROR(IF(OR(Q110="",Q110=0),"",IF(VLOOKUP(VALUE($A110),WEEKLY_DATA!$A:$H,6,0)=0,"No Sales",Q110/(VLOOKUP(VALUE($A110),WEEKLY_DATA!$A:$H,6,0)/13))),"")</f>
        <v/>
      </c>
      <c r="X110" s="10">
        <f>IFERROR(VLOOKUP(VALUE(A110),WEEKLY_DATA!$A:$H,8,0),0)</f>
        <v>0</v>
      </c>
      <c r="Y110" s="13" t="str">
        <f t="shared" si="2"/>
        <v>—</v>
      </c>
      <c r="Z110" s="11"/>
      <c r="AA110" s="11"/>
      <c r="AB110" s="11"/>
      <c r="AC110" s="11"/>
      <c r="AD110" s="11"/>
      <c r="AE110" s="11"/>
      <c r="AF110" s="61" t="s">
        <v>144</v>
      </c>
      <c r="AG110" s="61"/>
      <c r="AH110" s="62"/>
      <c r="AI110" s="62"/>
      <c r="AJ110" s="61" t="s">
        <v>144</v>
      </c>
      <c r="AK110" s="61" t="s">
        <v>144</v>
      </c>
      <c r="AL110" s="61"/>
      <c r="AM110" s="58" t="str" cm="2">
        <f t="array" ref="AM110">IFERROR(LOOKUP(2, 1/SEARCH({"Black","White","Grey","Blue","Silver","Brown","Green","Blue","Purple","Red","Pink","Yellow","Gold"}, G110), {"Black","White","Grey","Blue","Silver","Brown","Green","Blue","Purple","Red","Pink","Yellow","Gold"}), "")</f>
        <v/>
      </c>
      <c r="AN110" s="58" t="str">
        <f>IFERROR(LOOKUP(2, 1/SEARCH({"8GB","16GB","32GB","64GB"}, G110), {"8GB","16GB","32GB","64GB"}), "")</f>
        <v/>
      </c>
      <c r="AO110" s="58" t="str">
        <f>IFERROR(LOOKUP(2, 1/SEARCH({"1TB","2TB","128GB","512GB","256GB"}, G110), {"1TB","2TB","128GB","512GB","256GB"}), "")</f>
        <v/>
      </c>
      <c r="AP110" s="58"/>
      <c r="AQ110" s="58" t="str">
        <f>IFERROR(LOOKUP(2, 1/SEARCH({"16-Inch","15-Inch","15.6-Inch","18-Inch","15.3-Inch","13-Inch","13.4-Inch","13.8-Inch","14-Inch","17-Inch","45-Inch","27-Inch","34-Inch","32-Inch","21.5-Inch"}, G110), {"16-Inch","15-Inch","15.6-Inch","18-Inch","15.3-Inch","13-Inch","13.4-Inch","13.8-Inch","14-Inch","17-Inch","45-Inch","27-Inch","34-Inch","32-Inch","21.5-Inch"}), "")</f>
        <v/>
      </c>
      <c r="AR110" s="58"/>
      <c r="AS110" s="91"/>
      <c r="AT110" s="93"/>
      <c r="AU110" s="93"/>
      <c r="AV110" s="93"/>
      <c r="AW110" s="93"/>
    </row>
    <row r="111" spans="1:49" ht="15" customHeight="1" x14ac:dyDescent="0.25">
      <c r="A111" s="59"/>
      <c r="B111" s="12"/>
      <c r="C111" s="12"/>
      <c r="D111" s="60"/>
      <c r="E111" s="6"/>
      <c r="F111" s="6"/>
      <c r="G111" s="12"/>
      <c r="H111" s="12" t="str" cm="2">
        <f t="array" ref="H111">IFERROR(INDEX(BrandList!$A$2:$A$50,MATCH(TRUE,ISNUMBER(SEARCH(BrandList!$A$2:$A$50,G111)),0)),"")</f>
        <v/>
      </c>
      <c r="I111" s="12" t="str" cm="2">
        <f t="array" ref="I111">IFERROR(INDEX(BrandList!$B$2:$B$200,MATCH(TRUE,ISNUMBER(SEARCH(BrandList!$B$2:$B$200,G111)),0)),"")</f>
        <v/>
      </c>
      <c r="J111" s="12"/>
      <c r="K111" s="12"/>
      <c r="L111" s="60"/>
      <c r="M111" s="60"/>
      <c r="N111" s="60"/>
      <c r="O111" s="60"/>
      <c r="P111" s="7" t="str">
        <f t="shared" si="3"/>
        <v/>
      </c>
      <c r="Q111" s="8">
        <f>IFERROR(VLOOKUP(VALUE(A111),WEEKLY_DATA!$A:$H,2,0),0)</f>
        <v>0</v>
      </c>
      <c r="R111" s="8">
        <f>IFERROR(VLOOKUP(VALUE(A111),WEEKLY_DATA!$A:$H,3,0),0)</f>
        <v>0</v>
      </c>
      <c r="S111" s="8">
        <f>IFERROR(VLOOKUP(VALUE(A111),WEEKLY_DATA!$A:$H,4,0),0)</f>
        <v>0</v>
      </c>
      <c r="T111" s="51">
        <f>IFERROR(VLOOKUP(VALUE(A111),WEEKLY_DATA!$A:$H,5,0),0)</f>
        <v>0</v>
      </c>
      <c r="U111" s="51">
        <f>IFERROR(VLOOKUP(VALUE(A111),WEEKLY_DATA!$A:$H,6,0),0)</f>
        <v>0</v>
      </c>
      <c r="V111" s="51">
        <f>IFERROR(VLOOKUP(VALUE(A111),WEEKLY_DATA!$A:$H,7,0),0)</f>
        <v>0</v>
      </c>
      <c r="W111" s="9" t="str">
        <f>IFERROR(IF(OR(Q111="",Q111=0),"",IF(VLOOKUP(VALUE($A111),WEEKLY_DATA!$A:$H,6,0)=0,"No Sales",Q111/(VLOOKUP(VALUE($A111),WEEKLY_DATA!$A:$H,6,0)/13))),"")</f>
        <v/>
      </c>
      <c r="X111" s="10">
        <f>IFERROR(VLOOKUP(VALUE(A111),WEEKLY_DATA!$A:$H,8,0),0)</f>
        <v>0</v>
      </c>
      <c r="Y111" s="13" t="str">
        <f t="shared" si="2"/>
        <v>—</v>
      </c>
      <c r="Z111" s="11"/>
      <c r="AA111" s="11"/>
      <c r="AB111" s="11"/>
      <c r="AC111" s="11"/>
      <c r="AD111" s="11"/>
      <c r="AE111" s="11"/>
      <c r="AF111" s="61" t="s">
        <v>144</v>
      </c>
      <c r="AG111" s="61"/>
      <c r="AH111" s="62"/>
      <c r="AI111" s="62"/>
      <c r="AJ111" s="61" t="s">
        <v>144</v>
      </c>
      <c r="AK111" s="61" t="s">
        <v>144</v>
      </c>
      <c r="AL111" s="61"/>
      <c r="AM111" s="58" t="str" cm="2">
        <f t="array" ref="AM111">IFERROR(LOOKUP(2, 1/SEARCH({"Black","White","Grey","Blue","Silver","Brown","Green","Blue","Purple","Red","Pink","Yellow","Gold"}, G111), {"Black","White","Grey","Blue","Silver","Brown","Green","Blue","Purple","Red","Pink","Yellow","Gold"}), "")</f>
        <v/>
      </c>
      <c r="AN111" s="58" t="str">
        <f>IFERROR(LOOKUP(2, 1/SEARCH({"8GB","16GB","32GB","64GB"}, G111), {"8GB","16GB","32GB","64GB"}), "")</f>
        <v/>
      </c>
      <c r="AO111" s="58" t="str">
        <f>IFERROR(LOOKUP(2, 1/SEARCH({"1TB","2TB","128GB","512GB","256GB"}, G111), {"1TB","2TB","128GB","512GB","256GB"}), "")</f>
        <v/>
      </c>
      <c r="AP111" s="58"/>
      <c r="AQ111" s="58" t="str">
        <f>IFERROR(LOOKUP(2, 1/SEARCH({"16-Inch","15-Inch","15.6-Inch","18-Inch","15.3-Inch","13-Inch","13.4-Inch","13.8-Inch","14-Inch","17-Inch","45-Inch","27-Inch","34-Inch","32-Inch","21.5-Inch"}, G111), {"16-Inch","15-Inch","15.6-Inch","18-Inch","15.3-Inch","13-Inch","13.4-Inch","13.8-Inch","14-Inch","17-Inch","45-Inch","27-Inch","34-Inch","32-Inch","21.5-Inch"}), "")</f>
        <v/>
      </c>
      <c r="AR111" s="58"/>
      <c r="AS111" s="91"/>
      <c r="AT111" s="93"/>
      <c r="AU111" s="93"/>
      <c r="AV111" s="93"/>
      <c r="AW111" s="93"/>
    </row>
    <row r="112" spans="1:49" ht="15" customHeight="1" x14ac:dyDescent="0.25">
      <c r="A112" s="59"/>
      <c r="B112" s="12"/>
      <c r="C112" s="12"/>
      <c r="D112" s="60"/>
      <c r="E112" s="6"/>
      <c r="F112" s="6"/>
      <c r="G112" s="12"/>
      <c r="H112" s="12" t="str" cm="2">
        <f t="array" ref="H112">IFERROR(INDEX(BrandList!$A$2:$A$50,MATCH(TRUE,ISNUMBER(SEARCH(BrandList!$A$2:$A$50,G112)),0)),"")</f>
        <v/>
      </c>
      <c r="I112" s="12" t="str" cm="2">
        <f t="array" ref="I112">IFERROR(INDEX(BrandList!$B$2:$B$200,MATCH(TRUE,ISNUMBER(SEARCH(BrandList!$B$2:$B$200,G112)),0)),"")</f>
        <v/>
      </c>
      <c r="J112" s="12"/>
      <c r="K112" s="12"/>
      <c r="L112" s="60"/>
      <c r="M112" s="60"/>
      <c r="N112" s="60"/>
      <c r="O112" s="60"/>
      <c r="P112" s="7" t="str">
        <f t="shared" si="3"/>
        <v/>
      </c>
      <c r="Q112" s="8">
        <f>IFERROR(VLOOKUP(VALUE(A112),WEEKLY_DATA!$A:$H,2,0),0)</f>
        <v>0</v>
      </c>
      <c r="R112" s="8">
        <f>IFERROR(VLOOKUP(VALUE(A112),WEEKLY_DATA!$A:$H,3,0),0)</f>
        <v>0</v>
      </c>
      <c r="S112" s="8">
        <f>IFERROR(VLOOKUP(VALUE(A112),WEEKLY_DATA!$A:$H,4,0),0)</f>
        <v>0</v>
      </c>
      <c r="T112" s="51">
        <f>IFERROR(VLOOKUP(VALUE(A112),WEEKLY_DATA!$A:$H,5,0),0)</f>
        <v>0</v>
      </c>
      <c r="U112" s="51">
        <f>IFERROR(VLOOKUP(VALUE(A112),WEEKLY_DATA!$A:$H,6,0),0)</f>
        <v>0</v>
      </c>
      <c r="V112" s="51">
        <f>IFERROR(VLOOKUP(VALUE(A112),WEEKLY_DATA!$A:$H,7,0),0)</f>
        <v>0</v>
      </c>
      <c r="W112" s="9" t="str">
        <f>IFERROR(IF(OR(Q112="",Q112=0),"",IF(VLOOKUP(VALUE($A112),WEEKLY_DATA!$A:$H,6,0)=0,"No Sales",Q112/(VLOOKUP(VALUE($A112),WEEKLY_DATA!$A:$H,6,0)/13))),"")</f>
        <v/>
      </c>
      <c r="X112" s="10">
        <f>IFERROR(VLOOKUP(VALUE(A112),WEEKLY_DATA!$A:$H,8,0),0)</f>
        <v>0</v>
      </c>
      <c r="Y112" s="13" t="str">
        <f t="shared" si="2"/>
        <v>—</v>
      </c>
      <c r="Z112" s="11"/>
      <c r="AA112" s="11"/>
      <c r="AB112" s="11"/>
      <c r="AC112" s="11"/>
      <c r="AD112" s="11"/>
      <c r="AE112" s="11"/>
      <c r="AF112" s="61" t="s">
        <v>144</v>
      </c>
      <c r="AG112" s="61"/>
      <c r="AH112" s="62"/>
      <c r="AI112" s="62"/>
      <c r="AJ112" s="61" t="s">
        <v>144</v>
      </c>
      <c r="AK112" s="61" t="s">
        <v>144</v>
      </c>
      <c r="AL112" s="61"/>
      <c r="AM112" s="58" t="str" cm="2">
        <f t="array" ref="AM112">IFERROR(LOOKUP(2, 1/SEARCH({"Black","White","Grey","Blue","Silver","Brown","Green","Blue","Purple","Red","Pink","Yellow","Gold"}, G112), {"Black","White","Grey","Blue","Silver","Brown","Green","Blue","Purple","Red","Pink","Yellow","Gold"}), "")</f>
        <v/>
      </c>
      <c r="AN112" s="58" t="str">
        <f>IFERROR(LOOKUP(2, 1/SEARCH({"8GB","16GB","32GB","64GB"}, G112), {"8GB","16GB","32GB","64GB"}), "")</f>
        <v/>
      </c>
      <c r="AO112" s="58" t="str">
        <f>IFERROR(LOOKUP(2, 1/SEARCH({"1TB","2TB","128GB","512GB","256GB"}, G112), {"1TB","2TB","128GB","512GB","256GB"}), "")</f>
        <v/>
      </c>
      <c r="AP112" s="58"/>
      <c r="AQ112" s="58" t="str">
        <f>IFERROR(LOOKUP(2, 1/SEARCH({"16-Inch","15-Inch","15.6-Inch","18-Inch","15.3-Inch","13-Inch","13.4-Inch","13.8-Inch","14-Inch","17-Inch","45-Inch","27-Inch","34-Inch","32-Inch","21.5-Inch"}, G112), {"16-Inch","15-Inch","15.6-Inch","18-Inch","15.3-Inch","13-Inch","13.4-Inch","13.8-Inch","14-Inch","17-Inch","45-Inch","27-Inch","34-Inch","32-Inch","21.5-Inch"}), "")</f>
        <v/>
      </c>
      <c r="AR112" s="58"/>
      <c r="AS112" s="91"/>
      <c r="AT112" s="93"/>
      <c r="AU112" s="93"/>
      <c r="AV112" s="93"/>
      <c r="AW112" s="93"/>
    </row>
    <row r="113" spans="1:49" ht="15" customHeight="1" x14ac:dyDescent="0.25">
      <c r="A113" s="59"/>
      <c r="B113" s="12"/>
      <c r="C113" s="12"/>
      <c r="D113" s="60"/>
      <c r="E113" s="6"/>
      <c r="F113" s="6"/>
      <c r="G113" s="12"/>
      <c r="H113" s="12" t="str" cm="2">
        <f t="array" ref="H113">IFERROR(INDEX(BrandList!$A$2:$A$50,MATCH(TRUE,ISNUMBER(SEARCH(BrandList!$A$2:$A$50,G113)),0)),"")</f>
        <v/>
      </c>
      <c r="I113" s="12" t="str" cm="2">
        <f t="array" ref="I113">IFERROR(INDEX(BrandList!$B$2:$B$200,MATCH(TRUE,ISNUMBER(SEARCH(BrandList!$B$2:$B$200,G113)),0)),"")</f>
        <v/>
      </c>
      <c r="J113" s="12"/>
      <c r="K113" s="12"/>
      <c r="L113" s="60"/>
      <c r="M113" s="60"/>
      <c r="N113" s="60"/>
      <c r="O113" s="60"/>
      <c r="P113" s="7" t="str">
        <f t="shared" si="3"/>
        <v/>
      </c>
      <c r="Q113" s="8">
        <f>IFERROR(VLOOKUP(VALUE(A113),WEEKLY_DATA!$A:$H,2,0),0)</f>
        <v>0</v>
      </c>
      <c r="R113" s="8">
        <f>IFERROR(VLOOKUP(VALUE(A113),WEEKLY_DATA!$A:$H,3,0),0)</f>
        <v>0</v>
      </c>
      <c r="S113" s="8">
        <f>IFERROR(VLOOKUP(VALUE(A113),WEEKLY_DATA!$A:$H,4,0),0)</f>
        <v>0</v>
      </c>
      <c r="T113" s="51">
        <f>IFERROR(VLOOKUP(VALUE(A113),WEEKLY_DATA!$A:$H,5,0),0)</f>
        <v>0</v>
      </c>
      <c r="U113" s="51">
        <f>IFERROR(VLOOKUP(VALUE(A113),WEEKLY_DATA!$A:$H,6,0),0)</f>
        <v>0</v>
      </c>
      <c r="V113" s="51">
        <f>IFERROR(VLOOKUP(VALUE(A113),WEEKLY_DATA!$A:$H,7,0),0)</f>
        <v>0</v>
      </c>
      <c r="W113" s="9" t="str">
        <f>IFERROR(IF(OR(Q113="",Q113=0),"",IF(VLOOKUP(VALUE($A113),WEEKLY_DATA!$A:$H,6,0)=0,"No Sales",Q113/(VLOOKUP(VALUE($A113),WEEKLY_DATA!$A:$H,6,0)/13))),"")</f>
        <v/>
      </c>
      <c r="X113" s="10">
        <f>IFERROR(VLOOKUP(VALUE(A113),WEEKLY_DATA!$A:$H,8,0),0)</f>
        <v>0</v>
      </c>
      <c r="Y113" s="13" t="str">
        <f t="shared" si="2"/>
        <v>—</v>
      </c>
      <c r="Z113" s="11"/>
      <c r="AA113" s="11"/>
      <c r="AB113" s="11"/>
      <c r="AC113" s="11"/>
      <c r="AD113" s="11"/>
      <c r="AE113" s="11"/>
      <c r="AF113" s="61" t="s">
        <v>144</v>
      </c>
      <c r="AG113" s="61"/>
      <c r="AH113" s="62"/>
      <c r="AI113" s="62"/>
      <c r="AJ113" s="61" t="s">
        <v>144</v>
      </c>
      <c r="AK113" s="61" t="s">
        <v>144</v>
      </c>
      <c r="AL113" s="61"/>
      <c r="AM113" s="58" t="str" cm="2">
        <f t="array" ref="AM113">IFERROR(LOOKUP(2, 1/SEARCH({"Black","White","Grey","Blue","Silver","Brown","Green","Blue","Purple","Red","Pink","Yellow","Gold"}, G113), {"Black","White","Grey","Blue","Silver","Brown","Green","Blue","Purple","Red","Pink","Yellow","Gold"}), "")</f>
        <v/>
      </c>
      <c r="AN113" s="58" t="str">
        <f>IFERROR(LOOKUP(2, 1/SEARCH({"8GB","16GB","32GB","64GB"}, G113), {"8GB","16GB","32GB","64GB"}), "")</f>
        <v/>
      </c>
      <c r="AO113" s="58" t="str">
        <f>IFERROR(LOOKUP(2, 1/SEARCH({"1TB","2TB","128GB","512GB","256GB"}, G113), {"1TB","2TB","128GB","512GB","256GB"}), "")</f>
        <v/>
      </c>
      <c r="AP113" s="58"/>
      <c r="AQ113" s="58" t="str">
        <f>IFERROR(LOOKUP(2, 1/SEARCH({"16-Inch","15-Inch","15.6-Inch","18-Inch","15.3-Inch","13-Inch","13.4-Inch","13.8-Inch","14-Inch","17-Inch","45-Inch","27-Inch","34-Inch","32-Inch","21.5-Inch"}, G113), {"16-Inch","15-Inch","15.6-Inch","18-Inch","15.3-Inch","13-Inch","13.4-Inch","13.8-Inch","14-Inch","17-Inch","45-Inch","27-Inch","34-Inch","32-Inch","21.5-Inch"}), "")</f>
        <v/>
      </c>
      <c r="AR113" s="58"/>
      <c r="AS113" s="91"/>
      <c r="AT113" s="93"/>
      <c r="AU113" s="93"/>
      <c r="AV113" s="93"/>
      <c r="AW113" s="93"/>
    </row>
    <row r="114" spans="1:49" ht="15" customHeight="1" x14ac:dyDescent="0.25">
      <c r="A114" s="81"/>
      <c r="B114" s="12"/>
      <c r="C114" s="12"/>
      <c r="D114" s="60"/>
      <c r="E114" s="6"/>
      <c r="F114" s="6"/>
      <c r="G114" s="12"/>
      <c r="H114" s="12" t="str" cm="2">
        <f t="array" ref="H114">IFERROR(INDEX(BrandList!$A$2:$A$50,MATCH(TRUE,ISNUMBER(SEARCH(BrandList!$A$2:$A$50,G114)),0)),"")</f>
        <v/>
      </c>
      <c r="I114" s="12" t="str" cm="2">
        <f t="array" ref="I114">IFERROR(INDEX(BrandList!$B$2:$B$200,MATCH(TRUE,ISNUMBER(SEARCH(BrandList!$B$2:$B$200,G114)),0)),"")</f>
        <v/>
      </c>
      <c r="J114" s="12"/>
      <c r="K114" s="12"/>
      <c r="L114" s="60"/>
      <c r="M114" s="60"/>
      <c r="N114" s="60"/>
      <c r="O114" s="60"/>
      <c r="P114" s="7" t="str">
        <f t="shared" si="3"/>
        <v/>
      </c>
      <c r="Q114" s="8">
        <f>IFERROR(VLOOKUP(VALUE(A114),WEEKLY_DATA!$A:$H,2,0),0)</f>
        <v>0</v>
      </c>
      <c r="R114" s="8">
        <f>IFERROR(VLOOKUP(VALUE(A114),WEEKLY_DATA!$A:$H,3,0),0)</f>
        <v>0</v>
      </c>
      <c r="S114" s="8">
        <f>IFERROR(VLOOKUP(VALUE(A114),WEEKLY_DATA!$A:$H,4,0),0)</f>
        <v>0</v>
      </c>
      <c r="T114" s="51">
        <f>IFERROR(VLOOKUP(VALUE(A114),WEEKLY_DATA!$A:$H,5,0),0)</f>
        <v>0</v>
      </c>
      <c r="U114" s="51">
        <f>IFERROR(VLOOKUP(VALUE(A114),WEEKLY_DATA!$A:$H,6,0),0)</f>
        <v>0</v>
      </c>
      <c r="V114" s="51">
        <f>IFERROR(VLOOKUP(VALUE(A114),WEEKLY_DATA!$A:$H,7,0),0)</f>
        <v>0</v>
      </c>
      <c r="W114" s="9" t="str">
        <f>IFERROR(IF(OR(Q114="",Q114=0),"",IF(VLOOKUP(VALUE($A114),WEEKLY_DATA!$A:$H,6,0)=0,"No Sales",Q114/(VLOOKUP(VALUE($A114),WEEKLY_DATA!$A:$H,6,0)/13))),"")</f>
        <v/>
      </c>
      <c r="X114" s="10">
        <f>IFERROR(VLOOKUP(VALUE(A114),WEEKLY_DATA!$A:$H,8,0),0)</f>
        <v>0</v>
      </c>
      <c r="Y114" s="13" t="str">
        <f t="shared" si="2"/>
        <v>—</v>
      </c>
      <c r="Z114" s="11"/>
      <c r="AA114" s="11"/>
      <c r="AB114" s="11"/>
      <c r="AC114" s="11"/>
      <c r="AD114" s="11"/>
      <c r="AE114" s="11"/>
      <c r="AF114" s="61" t="s">
        <v>144</v>
      </c>
      <c r="AG114" s="61"/>
      <c r="AH114" s="62"/>
      <c r="AI114" s="62"/>
      <c r="AJ114" s="61" t="s">
        <v>144</v>
      </c>
      <c r="AK114" s="61" t="s">
        <v>144</v>
      </c>
      <c r="AL114" s="61"/>
      <c r="AM114" s="58" t="str" cm="2">
        <f t="array" ref="AM114">IFERROR(LOOKUP(2, 1/SEARCH({"Black","White","Grey","Blue","Silver","Brown","Green","Blue","Purple","Red","Pink","Yellow","Gold"}, G114), {"Black","White","Grey","Blue","Silver","Brown","Green","Blue","Purple","Red","Pink","Yellow","Gold"}), "")</f>
        <v/>
      </c>
      <c r="AN114" s="58" t="str">
        <f>IFERROR(LOOKUP(2, 1/SEARCH({"8GB","16GB","32GB","64GB"}, G114), {"8GB","16GB","32GB","64GB"}), "")</f>
        <v/>
      </c>
      <c r="AO114" s="58" t="str">
        <f>IFERROR(LOOKUP(2, 1/SEARCH({"1TB","2TB","128GB","512GB","256GB"}, G114), {"1TB","2TB","128GB","512GB","256GB"}), "")</f>
        <v/>
      </c>
      <c r="AP114" s="58"/>
      <c r="AQ114" s="58" t="str">
        <f>IFERROR(LOOKUP(2, 1/SEARCH({"16-Inch","15-Inch","15.6-Inch","18-Inch","15.3-Inch","13-Inch","13.4-Inch","13.8-Inch","14-Inch","17-Inch","45-Inch","27-Inch","34-Inch","32-Inch","21.5-Inch"}, G114), {"16-Inch","15-Inch","15.6-Inch","18-Inch","15.3-Inch","13-Inch","13.4-Inch","13.8-Inch","14-Inch","17-Inch","45-Inch","27-Inch","34-Inch","32-Inch","21.5-Inch"}), "")</f>
        <v/>
      </c>
      <c r="AR114" s="58"/>
      <c r="AS114" s="91"/>
      <c r="AT114" s="93"/>
      <c r="AU114" s="93"/>
      <c r="AV114" s="93"/>
      <c r="AW114" s="93"/>
    </row>
    <row r="115" spans="1:49" ht="15" customHeight="1" x14ac:dyDescent="0.25">
      <c r="A115" s="59"/>
      <c r="B115" s="12"/>
      <c r="C115" s="12"/>
      <c r="D115" s="60"/>
      <c r="E115" s="6"/>
      <c r="F115" s="6"/>
      <c r="G115" s="12"/>
      <c r="H115" s="12" t="str" cm="2">
        <f t="array" ref="H115">IFERROR(INDEX(BrandList!$A$2:$A$50,MATCH(TRUE,ISNUMBER(SEARCH(BrandList!$A$2:$A$50,G115)),0)),"")</f>
        <v/>
      </c>
      <c r="I115" s="12" t="str" cm="2">
        <f t="array" ref="I115">IFERROR(INDEX(BrandList!$B$2:$B$200,MATCH(TRUE,ISNUMBER(SEARCH(BrandList!$B$2:$B$200,G115)),0)),"")</f>
        <v/>
      </c>
      <c r="J115" s="12"/>
      <c r="K115" s="12"/>
      <c r="L115" s="60"/>
      <c r="M115" s="60"/>
      <c r="N115" s="60"/>
      <c r="O115" s="60"/>
      <c r="P115" s="7" t="str">
        <f t="shared" si="3"/>
        <v/>
      </c>
      <c r="Q115" s="8">
        <f>IFERROR(VLOOKUP(VALUE(A115),WEEKLY_DATA!$A:$H,2,0),0)</f>
        <v>0</v>
      </c>
      <c r="R115" s="8">
        <f>IFERROR(VLOOKUP(VALUE(A115),WEEKLY_DATA!$A:$H,3,0),0)</f>
        <v>0</v>
      </c>
      <c r="S115" s="8">
        <f>IFERROR(VLOOKUP(VALUE(A115),WEEKLY_DATA!$A:$H,4,0),0)</f>
        <v>0</v>
      </c>
      <c r="T115" s="51">
        <f>IFERROR(VLOOKUP(VALUE(A115),WEEKLY_DATA!$A:$H,5,0),0)</f>
        <v>0</v>
      </c>
      <c r="U115" s="51">
        <f>IFERROR(VLOOKUP(VALUE(A115),WEEKLY_DATA!$A:$H,6,0),0)</f>
        <v>0</v>
      </c>
      <c r="V115" s="51">
        <f>IFERROR(VLOOKUP(VALUE(A115),WEEKLY_DATA!$A:$H,7,0),0)</f>
        <v>0</v>
      </c>
      <c r="W115" s="9" t="str">
        <f>IFERROR(IF(OR(Q115="",Q115=0),"",IF(VLOOKUP(VALUE($A115),WEEKLY_DATA!$A:$H,6,0)=0,"No Sales",Q115/(VLOOKUP(VALUE($A115),WEEKLY_DATA!$A:$H,6,0)/13))),"")</f>
        <v/>
      </c>
      <c r="X115" s="10">
        <f>IFERROR(VLOOKUP(VALUE(A115),WEEKLY_DATA!$A:$H,8,0),0)</f>
        <v>0</v>
      </c>
      <c r="Y115" s="13" t="str">
        <f t="shared" si="2"/>
        <v>—</v>
      </c>
      <c r="Z115" s="11"/>
      <c r="AA115" s="11"/>
      <c r="AB115" s="11"/>
      <c r="AC115" s="11"/>
      <c r="AD115" s="11"/>
      <c r="AE115" s="11"/>
      <c r="AF115" s="61" t="s">
        <v>144</v>
      </c>
      <c r="AG115" s="61"/>
      <c r="AH115" s="62"/>
      <c r="AI115" s="62"/>
      <c r="AJ115" s="61" t="s">
        <v>144</v>
      </c>
      <c r="AK115" s="61" t="s">
        <v>144</v>
      </c>
      <c r="AL115" s="61"/>
      <c r="AM115" s="58" t="str" cm="2">
        <f t="array" ref="AM115">IFERROR(LOOKUP(2, 1/SEARCH({"Black","White","Grey","Blue","Silver","Brown","Green","Blue","Purple","Red","Pink","Yellow","Gold"}, G115), {"Black","White","Grey","Blue","Silver","Brown","Green","Blue","Purple","Red","Pink","Yellow","Gold"}), "")</f>
        <v/>
      </c>
      <c r="AN115" s="58" t="str">
        <f>IFERROR(LOOKUP(2, 1/SEARCH({"8GB","16GB","32GB","64GB"}, G115), {"8GB","16GB","32GB","64GB"}), "")</f>
        <v/>
      </c>
      <c r="AO115" s="58" t="str">
        <f>IFERROR(LOOKUP(2, 1/SEARCH({"1TB","2TB","128GB","512GB","256GB"}, G115), {"1TB","2TB","128GB","512GB","256GB"}), "")</f>
        <v/>
      </c>
      <c r="AP115" s="58"/>
      <c r="AQ115" s="58" t="str">
        <f>IFERROR(LOOKUP(2, 1/SEARCH({"16-Inch","15-Inch","15.6-Inch","18-Inch","15.3-Inch","13-Inch","13.4-Inch","13.8-Inch","14-Inch","17-Inch","45-Inch","27-Inch","34-Inch","32-Inch","21.5-Inch"}, G115), {"16-Inch","15-Inch","15.6-Inch","18-Inch","15.3-Inch","13-Inch","13.4-Inch","13.8-Inch","14-Inch","17-Inch","45-Inch","27-Inch","34-Inch","32-Inch","21.5-Inch"}), "")</f>
        <v/>
      </c>
      <c r="AR115" s="58"/>
      <c r="AS115" s="91"/>
      <c r="AT115" s="93"/>
      <c r="AU115" s="93"/>
      <c r="AV115" s="93"/>
      <c r="AW115" s="93"/>
    </row>
    <row r="116" spans="1:49" ht="15" customHeight="1" x14ac:dyDescent="0.25">
      <c r="A116" s="59"/>
      <c r="B116" s="12"/>
      <c r="C116" s="12"/>
      <c r="D116" s="60"/>
      <c r="E116" s="6"/>
      <c r="F116" s="6"/>
      <c r="G116" s="12"/>
      <c r="H116" s="12" t="str" cm="2">
        <f t="array" ref="H116">IFERROR(INDEX(BrandList!$A$2:$A$50,MATCH(TRUE,ISNUMBER(SEARCH(BrandList!$A$2:$A$50,G116)),0)),"")</f>
        <v/>
      </c>
      <c r="I116" s="12" t="str" cm="2">
        <f t="array" ref="I116">IFERROR(INDEX(BrandList!$B$2:$B$200,MATCH(TRUE,ISNUMBER(SEARCH(BrandList!$B$2:$B$200,G116)),0)),"")</f>
        <v/>
      </c>
      <c r="J116" s="12"/>
      <c r="K116" s="12"/>
      <c r="L116" s="60"/>
      <c r="M116" s="60"/>
      <c r="N116" s="60"/>
      <c r="O116" s="60"/>
      <c r="P116" s="7" t="str">
        <f t="shared" si="3"/>
        <v/>
      </c>
      <c r="Q116" s="8">
        <f>IFERROR(VLOOKUP(VALUE(A116),WEEKLY_DATA!$A:$H,2,0),0)</f>
        <v>0</v>
      </c>
      <c r="R116" s="8">
        <f>IFERROR(VLOOKUP(VALUE(A116),WEEKLY_DATA!$A:$H,3,0),0)</f>
        <v>0</v>
      </c>
      <c r="S116" s="8">
        <f>IFERROR(VLOOKUP(VALUE(A116),WEEKLY_DATA!$A:$H,4,0),0)</f>
        <v>0</v>
      </c>
      <c r="T116" s="51">
        <f>IFERROR(VLOOKUP(VALUE(A116),WEEKLY_DATA!$A:$H,5,0),0)</f>
        <v>0</v>
      </c>
      <c r="U116" s="51">
        <f>IFERROR(VLOOKUP(VALUE(A116),WEEKLY_DATA!$A:$H,6,0),0)</f>
        <v>0</v>
      </c>
      <c r="V116" s="51">
        <f>IFERROR(VLOOKUP(VALUE(A116),WEEKLY_DATA!$A:$H,7,0),0)</f>
        <v>0</v>
      </c>
      <c r="W116" s="9" t="str">
        <f>IFERROR(IF(OR(Q116="",Q116=0),"",IF(VLOOKUP(VALUE($A116),WEEKLY_DATA!$A:$H,6,0)=0,"No Sales",Q116/(VLOOKUP(VALUE($A116),WEEKLY_DATA!$A:$H,6,0)/13))),"")</f>
        <v/>
      </c>
      <c r="X116" s="10">
        <f>IFERROR(VLOOKUP(VALUE(A116),WEEKLY_DATA!$A:$H,8,0),0)</f>
        <v>0</v>
      </c>
      <c r="Y116" s="13" t="str">
        <f t="shared" si="2"/>
        <v>—</v>
      </c>
      <c r="Z116" s="11"/>
      <c r="AA116" s="11"/>
      <c r="AB116" s="11"/>
      <c r="AC116" s="11"/>
      <c r="AD116" s="11"/>
      <c r="AE116" s="11"/>
      <c r="AF116" s="61" t="s">
        <v>144</v>
      </c>
      <c r="AG116" s="61"/>
      <c r="AH116" s="62"/>
      <c r="AI116" s="62"/>
      <c r="AJ116" s="61" t="s">
        <v>144</v>
      </c>
      <c r="AK116" s="61" t="s">
        <v>144</v>
      </c>
      <c r="AL116" s="61"/>
      <c r="AM116" s="58" t="str" cm="2">
        <f t="array" ref="AM116">IFERROR(LOOKUP(2, 1/SEARCH({"Black","White","Grey","Blue","Silver","Brown","Green","Blue","Purple","Red","Pink","Yellow","Gold"}, G116), {"Black","White","Grey","Blue","Silver","Brown","Green","Blue","Purple","Red","Pink","Yellow","Gold"}), "")</f>
        <v/>
      </c>
      <c r="AN116" s="58" t="str">
        <f>IFERROR(LOOKUP(2, 1/SEARCH({"8GB","16GB","32GB","64GB"}, G116), {"8GB","16GB","32GB","64GB"}), "")</f>
        <v/>
      </c>
      <c r="AO116" s="58" t="str">
        <f>IFERROR(LOOKUP(2, 1/SEARCH({"1TB","2TB","128GB","512GB","256GB"}, G116), {"1TB","2TB","128GB","512GB","256GB"}), "")</f>
        <v/>
      </c>
      <c r="AP116" s="58"/>
      <c r="AQ116" s="58" t="str">
        <f>IFERROR(LOOKUP(2, 1/SEARCH({"16-Inch","15-Inch","15.6-Inch","18-Inch","15.3-Inch","13-Inch","13.4-Inch","13.8-Inch","14-Inch","17-Inch","45-Inch","27-Inch","34-Inch","32-Inch","21.5-Inch"}, G116), {"16-Inch","15-Inch","15.6-Inch","18-Inch","15.3-Inch","13-Inch","13.4-Inch","13.8-Inch","14-Inch","17-Inch","45-Inch","27-Inch","34-Inch","32-Inch","21.5-Inch"}), "")</f>
        <v/>
      </c>
      <c r="AR116" s="58"/>
      <c r="AS116" s="91"/>
      <c r="AT116" s="93"/>
      <c r="AU116" s="93"/>
      <c r="AV116" s="93"/>
      <c r="AW116" s="93"/>
    </row>
    <row r="117" spans="1:49" ht="15" customHeight="1" x14ac:dyDescent="0.25">
      <c r="A117" s="59"/>
      <c r="B117" s="12"/>
      <c r="C117" s="12"/>
      <c r="D117" s="60"/>
      <c r="E117" s="6"/>
      <c r="F117" s="6"/>
      <c r="G117" s="12"/>
      <c r="H117" s="12" t="str" cm="2">
        <f t="array" ref="H117">IFERROR(INDEX(BrandList!$A$2:$A$50,MATCH(TRUE,ISNUMBER(SEARCH(BrandList!$A$2:$A$50,G117)),0)),"")</f>
        <v/>
      </c>
      <c r="I117" s="12" t="str" cm="2">
        <f t="array" ref="I117">IFERROR(INDEX(BrandList!$B$2:$B$200,MATCH(TRUE,ISNUMBER(SEARCH(BrandList!$B$2:$B$200,G117)),0)),"")</f>
        <v/>
      </c>
      <c r="J117" s="12"/>
      <c r="K117" s="59"/>
      <c r="L117" s="86"/>
      <c r="M117" s="86"/>
      <c r="N117" s="86"/>
      <c r="O117" s="86"/>
      <c r="P117" s="7" t="str">
        <f t="shared" si="3"/>
        <v/>
      </c>
      <c r="Q117" s="8">
        <f>IFERROR(VLOOKUP(VALUE(A117),WEEKLY_DATA!$A:$H,2,0),0)</f>
        <v>0</v>
      </c>
      <c r="R117" s="8">
        <f>IFERROR(VLOOKUP(VALUE(A117),WEEKLY_DATA!$A:$H,3,0),0)</f>
        <v>0</v>
      </c>
      <c r="S117" s="8">
        <f>IFERROR(VLOOKUP(VALUE(A117),WEEKLY_DATA!$A:$H,4,0),0)</f>
        <v>0</v>
      </c>
      <c r="T117" s="51">
        <f>IFERROR(VLOOKUP(VALUE(A117),WEEKLY_DATA!$A:$H,5,0),0)</f>
        <v>0</v>
      </c>
      <c r="U117" s="51">
        <f>IFERROR(VLOOKUP(VALUE(A117),WEEKLY_DATA!$A:$H,6,0),0)</f>
        <v>0</v>
      </c>
      <c r="V117" s="51">
        <f>IFERROR(VLOOKUP(VALUE(A117),WEEKLY_DATA!$A:$H,7,0),0)</f>
        <v>0</v>
      </c>
      <c r="W117" s="9" t="str">
        <f>IFERROR(IF(OR(Q117="",Q117=0),"",IF(VLOOKUP(VALUE($A117),WEEKLY_DATA!$A:$H,6,0)=0,"No Sales",Q117/(VLOOKUP(VALUE($A117),WEEKLY_DATA!$A:$H,6,0)/13))),"")</f>
        <v/>
      </c>
      <c r="X117" s="10">
        <f>IFERROR(VLOOKUP(VALUE(A117),WEEKLY_DATA!$A:$H,8,0),0)</f>
        <v>0</v>
      </c>
      <c r="Y117" s="13" t="str">
        <f t="shared" si="2"/>
        <v>—</v>
      </c>
      <c r="Z117" s="11"/>
      <c r="AA117" s="11"/>
      <c r="AB117" s="11"/>
      <c r="AC117" s="11"/>
      <c r="AD117" s="11"/>
      <c r="AE117" s="11"/>
      <c r="AF117" s="61" t="s">
        <v>144</v>
      </c>
      <c r="AG117" s="61"/>
      <c r="AH117" s="62"/>
      <c r="AI117" s="62"/>
      <c r="AJ117" s="61" t="s">
        <v>144</v>
      </c>
      <c r="AK117" s="61" t="s">
        <v>144</v>
      </c>
      <c r="AL117" s="61"/>
      <c r="AM117" s="58" t="str" cm="2">
        <f t="array" ref="AM117">IFERROR(LOOKUP(2, 1/SEARCH({"Black","White","Grey","Blue","Silver","Brown","Green","Blue","Purple","Red","Pink","Yellow","Gold"}, G117), {"Black","White","Grey","Blue","Silver","Brown","Green","Blue","Purple","Red","Pink","Yellow","Gold"}), "")</f>
        <v/>
      </c>
      <c r="AN117" s="58" t="str">
        <f>IFERROR(LOOKUP(2, 1/SEARCH({"8GB","16GB","32GB","64GB"}, G117), {"8GB","16GB","32GB","64GB"}), "")</f>
        <v/>
      </c>
      <c r="AO117" s="58" t="str">
        <f>IFERROR(LOOKUP(2, 1/SEARCH({"1TB","2TB","128GB","512GB","256GB"}, G117), {"1TB","2TB","128GB","512GB","256GB"}), "")</f>
        <v/>
      </c>
      <c r="AP117" s="58"/>
      <c r="AQ117" s="58" t="str">
        <f>IFERROR(LOOKUP(2, 1/SEARCH({"16-Inch","15-Inch","15.6-Inch","18-Inch","15.3-Inch","13-Inch","13.4-Inch","13.8-Inch","14-Inch","17-Inch","45-Inch","27-Inch","34-Inch","32-Inch","21.5-Inch"}, G117), {"16-Inch","15-Inch","15.6-Inch","18-Inch","15.3-Inch","13-Inch","13.4-Inch","13.8-Inch","14-Inch","17-Inch","45-Inch","27-Inch","34-Inch","32-Inch","21.5-Inch"}), "")</f>
        <v/>
      </c>
      <c r="AR117" s="58"/>
      <c r="AS117" s="91"/>
      <c r="AT117" s="93"/>
      <c r="AU117" s="93"/>
      <c r="AV117" s="93"/>
      <c r="AW117" s="93"/>
    </row>
    <row r="118" spans="1:49" ht="15" customHeight="1" x14ac:dyDescent="0.25">
      <c r="A118" s="59"/>
      <c r="B118" s="12"/>
      <c r="C118" s="12"/>
      <c r="D118" s="60"/>
      <c r="E118" s="6"/>
      <c r="F118" s="6"/>
      <c r="G118" s="12"/>
      <c r="H118" s="12" t="str" cm="2">
        <f t="array" ref="H118">IFERROR(INDEX(BrandList!$A$2:$A$50,MATCH(TRUE,ISNUMBER(SEARCH(BrandList!$A$2:$A$50,G118)),0)),"")</f>
        <v/>
      </c>
      <c r="I118" s="12" t="str" cm="2">
        <f t="array" ref="I118">IFERROR(INDEX(BrandList!$B$2:$B$200,MATCH(TRUE,ISNUMBER(SEARCH(BrandList!$B$2:$B$200,G118)),0)),"")</f>
        <v/>
      </c>
      <c r="J118" s="12"/>
      <c r="K118" s="12"/>
      <c r="L118" s="60"/>
      <c r="M118" s="60"/>
      <c r="N118" s="60"/>
      <c r="O118" s="60"/>
      <c r="P118" s="7" t="str">
        <f t="shared" si="3"/>
        <v/>
      </c>
      <c r="Q118" s="8">
        <f>IFERROR(VLOOKUP(VALUE(A118),WEEKLY_DATA!$A:$H,2,0),0)</f>
        <v>0</v>
      </c>
      <c r="R118" s="8">
        <f>IFERROR(VLOOKUP(VALUE(A118),WEEKLY_DATA!$A:$H,3,0),0)</f>
        <v>0</v>
      </c>
      <c r="S118" s="8">
        <f>IFERROR(VLOOKUP(VALUE(A118),WEEKLY_DATA!$A:$H,4,0),0)</f>
        <v>0</v>
      </c>
      <c r="T118" s="51">
        <f>IFERROR(VLOOKUP(VALUE(A118),WEEKLY_DATA!$A:$H,5,0),0)</f>
        <v>0</v>
      </c>
      <c r="U118" s="51">
        <f>IFERROR(VLOOKUP(VALUE(A118),WEEKLY_DATA!$A:$H,6,0),0)</f>
        <v>0</v>
      </c>
      <c r="V118" s="51">
        <f>IFERROR(VLOOKUP(VALUE(A118),WEEKLY_DATA!$A:$H,7,0),0)</f>
        <v>0</v>
      </c>
      <c r="W118" s="9" t="str">
        <f>IFERROR(IF(OR(Q118="",Q118=0),"",IF(VLOOKUP(VALUE($A118),WEEKLY_DATA!$A:$H,6,0)=0,"No Sales",Q118/(VLOOKUP(VALUE($A118),WEEKLY_DATA!$A:$H,6,0)/13))),"")</f>
        <v/>
      </c>
      <c r="X118" s="10">
        <f>IFERROR(VLOOKUP(VALUE(A118),WEEKLY_DATA!$A:$H,8,0),0)</f>
        <v>0</v>
      </c>
      <c r="Y118" s="13" t="str">
        <f t="shared" si="2"/>
        <v>—</v>
      </c>
      <c r="Z118" s="11"/>
      <c r="AA118" s="11"/>
      <c r="AB118" s="11"/>
      <c r="AC118" s="11"/>
      <c r="AD118" s="11"/>
      <c r="AE118" s="11"/>
      <c r="AF118" s="61" t="s">
        <v>144</v>
      </c>
      <c r="AG118" s="61"/>
      <c r="AH118" s="62"/>
      <c r="AI118" s="62"/>
      <c r="AJ118" s="61" t="s">
        <v>144</v>
      </c>
      <c r="AK118" s="61" t="s">
        <v>144</v>
      </c>
      <c r="AL118" s="61"/>
      <c r="AM118" s="58" t="str" cm="2">
        <f t="array" ref="AM118">IFERROR(LOOKUP(2, 1/SEARCH({"Black","White","Grey","Blue","Silver","Brown","Green","Blue","Purple","Red","Pink","Yellow","Gold"}, G118), {"Black","White","Grey","Blue","Silver","Brown","Green","Blue","Purple","Red","Pink","Yellow","Gold"}), "")</f>
        <v/>
      </c>
      <c r="AN118" s="58" t="str">
        <f>IFERROR(LOOKUP(2, 1/SEARCH({"8GB","16GB","32GB","64GB"}, G118), {"8GB","16GB","32GB","64GB"}), "")</f>
        <v/>
      </c>
      <c r="AO118" s="58" t="str">
        <f>IFERROR(LOOKUP(2, 1/SEARCH({"1TB","2TB","128GB","512GB","256GB"}, G118), {"1TB","2TB","128GB","512GB","256GB"}), "")</f>
        <v/>
      </c>
      <c r="AP118" s="58"/>
      <c r="AQ118" s="58" t="str">
        <f>IFERROR(LOOKUP(2, 1/SEARCH({"16-Inch","15-Inch","15.6-Inch","18-Inch","15.3-Inch","13-Inch","13.4-Inch","13.8-Inch","14-Inch","17-Inch","45-Inch","27-Inch","34-Inch","32-Inch","21.5-Inch"}, G118), {"16-Inch","15-Inch","15.6-Inch","18-Inch","15.3-Inch","13-Inch","13.4-Inch","13.8-Inch","14-Inch","17-Inch","45-Inch","27-Inch","34-Inch","32-Inch","21.5-Inch"}), "")</f>
        <v/>
      </c>
      <c r="AR118" s="58"/>
      <c r="AS118" s="91"/>
      <c r="AT118" s="93"/>
      <c r="AU118" s="93"/>
      <c r="AV118" s="93"/>
      <c r="AW118" s="93"/>
    </row>
    <row r="119" spans="1:49" ht="15" customHeight="1" x14ac:dyDescent="0.25">
      <c r="A119" s="59"/>
      <c r="B119" s="12"/>
      <c r="C119" s="12"/>
      <c r="D119" s="60"/>
      <c r="E119" s="6"/>
      <c r="F119" s="6"/>
      <c r="G119" s="12"/>
      <c r="H119" s="12" t="str" cm="2">
        <f t="array" ref="H119">IFERROR(INDEX(BrandList!$A$2:$A$50,MATCH(TRUE,ISNUMBER(SEARCH(BrandList!$A$2:$A$50,G119)),0)),"")</f>
        <v/>
      </c>
      <c r="I119" s="12" t="str" cm="2">
        <f t="array" ref="I119">IFERROR(INDEX(BrandList!$B$2:$B$200,MATCH(TRUE,ISNUMBER(SEARCH(BrandList!$B$2:$B$200,G119)),0)),"")</f>
        <v/>
      </c>
      <c r="J119" s="12"/>
      <c r="K119" s="12"/>
      <c r="L119" s="60"/>
      <c r="M119" s="60"/>
      <c r="N119" s="60"/>
      <c r="O119" s="60"/>
      <c r="P119" s="7" t="str">
        <f t="shared" si="3"/>
        <v/>
      </c>
      <c r="Q119" s="8">
        <f>IFERROR(VLOOKUP(VALUE(A119),WEEKLY_DATA!$A:$H,2,0),0)</f>
        <v>0</v>
      </c>
      <c r="R119" s="8">
        <f>IFERROR(VLOOKUP(VALUE(A119),WEEKLY_DATA!$A:$H,3,0),0)</f>
        <v>0</v>
      </c>
      <c r="S119" s="8">
        <f>IFERROR(VLOOKUP(VALUE(A119),WEEKLY_DATA!$A:$H,4,0),0)</f>
        <v>0</v>
      </c>
      <c r="T119" s="51">
        <f>IFERROR(VLOOKUP(VALUE(A119),WEEKLY_DATA!$A:$H,5,0),0)</f>
        <v>0</v>
      </c>
      <c r="U119" s="51">
        <f>IFERROR(VLOOKUP(VALUE(A119),WEEKLY_DATA!$A:$H,6,0),0)</f>
        <v>0</v>
      </c>
      <c r="V119" s="51">
        <f>IFERROR(VLOOKUP(VALUE(A119),WEEKLY_DATA!$A:$H,7,0),0)</f>
        <v>0</v>
      </c>
      <c r="W119" s="9" t="str">
        <f>IFERROR(IF(OR(Q119="",Q119=0),"",IF(VLOOKUP(VALUE($A119),WEEKLY_DATA!$A:$H,6,0)=0,"No Sales",Q119/(VLOOKUP(VALUE($A119),WEEKLY_DATA!$A:$H,6,0)/13))),"")</f>
        <v/>
      </c>
      <c r="X119" s="10">
        <f>IFERROR(VLOOKUP(VALUE(A119),WEEKLY_DATA!$A:$H,8,0),0)</f>
        <v>0</v>
      </c>
      <c r="Y119" s="13" t="str">
        <f t="shared" si="2"/>
        <v>—</v>
      </c>
      <c r="Z119" s="11"/>
      <c r="AA119" s="11"/>
      <c r="AB119" s="11"/>
      <c r="AC119" s="11"/>
      <c r="AD119" s="11"/>
      <c r="AE119" s="11"/>
      <c r="AF119" s="61" t="s">
        <v>144</v>
      </c>
      <c r="AG119" s="61"/>
      <c r="AH119" s="62"/>
      <c r="AI119" s="62"/>
      <c r="AJ119" s="61" t="s">
        <v>144</v>
      </c>
      <c r="AK119" s="61" t="s">
        <v>144</v>
      </c>
      <c r="AL119" s="61"/>
      <c r="AM119" s="58" t="str" cm="2">
        <f t="array" ref="AM119">IFERROR(LOOKUP(2, 1/SEARCH({"Black","White","Grey","Blue","Silver","Brown","Green","Blue","Purple","Red","Pink","Yellow","Gold"}, G119), {"Black","White","Grey","Blue","Silver","Brown","Green","Blue","Purple","Red","Pink","Yellow","Gold"}), "")</f>
        <v/>
      </c>
      <c r="AN119" s="58" t="str">
        <f>IFERROR(LOOKUP(2, 1/SEARCH({"8GB","16GB","32GB","64GB"}, G119), {"8GB","16GB","32GB","64GB"}), "")</f>
        <v/>
      </c>
      <c r="AO119" s="58" t="str">
        <f>IFERROR(LOOKUP(2, 1/SEARCH({"1TB","2TB","128GB","512GB","256GB"}, G119), {"1TB","2TB","128GB","512GB","256GB"}), "")</f>
        <v/>
      </c>
      <c r="AP119" s="58"/>
      <c r="AQ119" s="58" t="str">
        <f>IFERROR(LOOKUP(2, 1/SEARCH({"16-Inch","15-Inch","15.6-Inch","18-Inch","15.3-Inch","13-Inch","13.4-Inch","13.8-Inch","14-Inch","17-Inch","45-Inch","27-Inch","34-Inch","32-Inch","21.5-Inch"}, G119), {"16-Inch","15-Inch","15.6-Inch","18-Inch","15.3-Inch","13-Inch","13.4-Inch","13.8-Inch","14-Inch","17-Inch","45-Inch","27-Inch","34-Inch","32-Inch","21.5-Inch"}), "")</f>
        <v/>
      </c>
      <c r="AR119" s="58"/>
      <c r="AS119" s="91"/>
      <c r="AT119" s="93"/>
      <c r="AU119" s="93"/>
      <c r="AV119" s="93"/>
      <c r="AW119" s="93"/>
    </row>
    <row r="120" spans="1:49" ht="15" customHeight="1" x14ac:dyDescent="0.25">
      <c r="A120" s="59"/>
      <c r="B120" s="12"/>
      <c r="C120" s="12"/>
      <c r="D120" s="60"/>
      <c r="E120" s="6"/>
      <c r="F120" s="6"/>
      <c r="G120" s="12"/>
      <c r="H120" s="12" t="str" cm="2">
        <f t="array" ref="H120">IFERROR(INDEX(BrandList!$A$2:$A$50,MATCH(TRUE,ISNUMBER(SEARCH(BrandList!$A$2:$A$50,G120)),0)),"")</f>
        <v/>
      </c>
      <c r="I120" s="12" t="str" cm="2">
        <f t="array" ref="I120">IFERROR(INDEX(BrandList!$B$2:$B$200,MATCH(TRUE,ISNUMBER(SEARCH(BrandList!$B$2:$B$200,G120)),0)),"")</f>
        <v/>
      </c>
      <c r="J120" s="12"/>
      <c r="K120" s="12"/>
      <c r="L120" s="60"/>
      <c r="M120" s="60"/>
      <c r="N120" s="60"/>
      <c r="O120" s="60"/>
      <c r="P120" s="7" t="str">
        <f t="shared" si="3"/>
        <v/>
      </c>
      <c r="Q120" s="8">
        <f>IFERROR(VLOOKUP(VALUE(A120),WEEKLY_DATA!$A:$H,2,0),0)</f>
        <v>0</v>
      </c>
      <c r="R120" s="8">
        <f>IFERROR(VLOOKUP(VALUE(A120),WEEKLY_DATA!$A:$H,3,0),0)</f>
        <v>0</v>
      </c>
      <c r="S120" s="8">
        <f>IFERROR(VLOOKUP(VALUE(A120),WEEKLY_DATA!$A:$H,4,0),0)</f>
        <v>0</v>
      </c>
      <c r="T120" s="51">
        <f>IFERROR(VLOOKUP(VALUE(A120),WEEKLY_DATA!$A:$H,5,0),0)</f>
        <v>0</v>
      </c>
      <c r="U120" s="51">
        <f>IFERROR(VLOOKUP(VALUE(A120),WEEKLY_DATA!$A:$H,6,0),0)</f>
        <v>0</v>
      </c>
      <c r="V120" s="51">
        <f>IFERROR(VLOOKUP(VALUE(A120),WEEKLY_DATA!$A:$H,7,0),0)</f>
        <v>0</v>
      </c>
      <c r="W120" s="9" t="str">
        <f>IFERROR(IF(OR(Q120="",Q120=0),"",IF(VLOOKUP(VALUE($A120),WEEKLY_DATA!$A:$H,6,0)=0,"No Sales",Q120/(VLOOKUP(VALUE($A120),WEEKLY_DATA!$A:$H,6,0)/13))),"")</f>
        <v/>
      </c>
      <c r="X120" s="10">
        <f>IFERROR(VLOOKUP(VALUE(A120),WEEKLY_DATA!$A:$H,8,0),0)</f>
        <v>0</v>
      </c>
      <c r="Y120" s="13" t="str">
        <f t="shared" si="2"/>
        <v>—</v>
      </c>
      <c r="Z120" s="11"/>
      <c r="AA120" s="11"/>
      <c r="AB120" s="11"/>
      <c r="AC120" s="11"/>
      <c r="AD120" s="11"/>
      <c r="AE120" s="11"/>
      <c r="AF120" s="61" t="s">
        <v>144</v>
      </c>
      <c r="AG120" s="61"/>
      <c r="AH120" s="62"/>
      <c r="AI120" s="62"/>
      <c r="AJ120" s="61" t="s">
        <v>144</v>
      </c>
      <c r="AK120" s="61" t="s">
        <v>144</v>
      </c>
      <c r="AL120" s="61"/>
      <c r="AM120" s="58" t="str" cm="2">
        <f t="array" ref="AM120">IFERROR(LOOKUP(2, 1/SEARCH({"Black","White","Grey","Blue","Silver","Brown","Green","Blue","Purple","Red","Pink","Yellow","Gold"}, G120), {"Black","White","Grey","Blue","Silver","Brown","Green","Blue","Purple","Red","Pink","Yellow","Gold"}), "")</f>
        <v/>
      </c>
      <c r="AN120" s="58" t="str">
        <f>IFERROR(LOOKUP(2, 1/SEARCH({"8GB","16GB","32GB","64GB"}, G120), {"8GB","16GB","32GB","64GB"}), "")</f>
        <v/>
      </c>
      <c r="AO120" s="58" t="str">
        <f>IFERROR(LOOKUP(2, 1/SEARCH({"1TB","2TB","128GB","512GB","256GB"}, G120), {"1TB","2TB","128GB","512GB","256GB"}), "")</f>
        <v/>
      </c>
      <c r="AP120" s="58"/>
      <c r="AQ120" s="58" t="str">
        <f>IFERROR(LOOKUP(2, 1/SEARCH({"16-Inch","15-Inch","15.6-Inch","18-Inch","15.3-Inch","13-Inch","13.4-Inch","13.8-Inch","14-Inch","17-Inch","45-Inch","27-Inch","34-Inch","32-Inch","21.5-Inch"}, G120), {"16-Inch","15-Inch","15.6-Inch","18-Inch","15.3-Inch","13-Inch","13.4-Inch","13.8-Inch","14-Inch","17-Inch","45-Inch","27-Inch","34-Inch","32-Inch","21.5-Inch"}), "")</f>
        <v/>
      </c>
      <c r="AR120" s="58"/>
      <c r="AS120" s="91"/>
      <c r="AT120" s="93"/>
      <c r="AU120" s="93"/>
      <c r="AV120" s="93"/>
      <c r="AW120" s="93"/>
    </row>
    <row r="121" spans="1:49" ht="15" customHeight="1" x14ac:dyDescent="0.25">
      <c r="A121" s="59"/>
      <c r="B121" s="12"/>
      <c r="C121" s="12"/>
      <c r="D121" s="60"/>
      <c r="E121" s="6"/>
      <c r="F121" s="6"/>
      <c r="G121" s="12"/>
      <c r="H121" s="12" t="str" cm="2">
        <f t="array" ref="H121">IFERROR(INDEX(BrandList!$A$2:$A$50,MATCH(TRUE,ISNUMBER(SEARCH(BrandList!$A$2:$A$50,G121)),0)),"")</f>
        <v/>
      </c>
      <c r="I121" s="12" t="str" cm="2">
        <f t="array" ref="I121">IFERROR(INDEX(BrandList!$B$2:$B$200,MATCH(TRUE,ISNUMBER(SEARCH(BrandList!$B$2:$B$200,G121)),0)),"")</f>
        <v/>
      </c>
      <c r="J121" s="12"/>
      <c r="K121" s="12"/>
      <c r="L121" s="60"/>
      <c r="M121" s="60"/>
      <c r="N121" s="60"/>
      <c r="O121" s="60"/>
      <c r="P121" s="7" t="str">
        <f t="shared" si="3"/>
        <v/>
      </c>
      <c r="Q121" s="8">
        <f>IFERROR(VLOOKUP(VALUE(A121),WEEKLY_DATA!$A:$H,2,0),0)</f>
        <v>0</v>
      </c>
      <c r="R121" s="8">
        <f>IFERROR(VLOOKUP(VALUE(A121),WEEKLY_DATA!$A:$H,3,0),0)</f>
        <v>0</v>
      </c>
      <c r="S121" s="8">
        <f>IFERROR(VLOOKUP(VALUE(A121),WEEKLY_DATA!$A:$H,4,0),0)</f>
        <v>0</v>
      </c>
      <c r="T121" s="51">
        <f>IFERROR(VLOOKUP(VALUE(A121),WEEKLY_DATA!$A:$H,5,0),0)</f>
        <v>0</v>
      </c>
      <c r="U121" s="51">
        <f>IFERROR(VLOOKUP(VALUE(A121),WEEKLY_DATA!$A:$H,6,0),0)</f>
        <v>0</v>
      </c>
      <c r="V121" s="51">
        <f>IFERROR(VLOOKUP(VALUE(A121),WEEKLY_DATA!$A:$H,7,0),0)</f>
        <v>0</v>
      </c>
      <c r="W121" s="9" t="str">
        <f>IFERROR(IF(OR(Q121="",Q121=0),"",IF(VLOOKUP(VALUE($A121),WEEKLY_DATA!$A:$H,6,0)=0,"No Sales",Q121/(VLOOKUP(VALUE($A121),WEEKLY_DATA!$A:$H,6,0)/13))),"")</f>
        <v/>
      </c>
      <c r="X121" s="10">
        <f>IFERROR(VLOOKUP(VALUE(A121),WEEKLY_DATA!$A:$H,8,0),0)</f>
        <v>0</v>
      </c>
      <c r="Y121" s="13" t="str">
        <f t="shared" si="2"/>
        <v>—</v>
      </c>
      <c r="Z121" s="11"/>
      <c r="AA121" s="11"/>
      <c r="AB121" s="11"/>
      <c r="AC121" s="11"/>
      <c r="AD121" s="11"/>
      <c r="AE121" s="11"/>
      <c r="AF121" s="61" t="s">
        <v>144</v>
      </c>
      <c r="AG121" s="61"/>
      <c r="AH121" s="62"/>
      <c r="AI121" s="62"/>
      <c r="AJ121" s="61" t="s">
        <v>144</v>
      </c>
      <c r="AK121" s="61" t="s">
        <v>144</v>
      </c>
      <c r="AL121" s="61"/>
      <c r="AM121" s="58" t="str" cm="2">
        <f t="array" ref="AM121">IFERROR(LOOKUP(2, 1/SEARCH({"Black","White","Grey","Blue","Silver","Brown","Green","Blue","Purple","Red","Pink","Yellow","Gold"}, G121), {"Black","White","Grey","Blue","Silver","Brown","Green","Blue","Purple","Red","Pink","Yellow","Gold"}), "")</f>
        <v/>
      </c>
      <c r="AN121" s="58" t="str">
        <f>IFERROR(LOOKUP(2, 1/SEARCH({"8GB","16GB","32GB","64GB"}, G121), {"8GB","16GB","32GB","64GB"}), "")</f>
        <v/>
      </c>
      <c r="AO121" s="58" t="str">
        <f>IFERROR(LOOKUP(2, 1/SEARCH({"1TB","2TB","128GB","512GB","256GB"}, G121), {"1TB","2TB","128GB","512GB","256GB"}), "")</f>
        <v/>
      </c>
      <c r="AP121" s="58"/>
      <c r="AQ121" s="58" t="str">
        <f>IFERROR(LOOKUP(2, 1/SEARCH({"16-Inch","15-Inch","15.6-Inch","18-Inch","15.3-Inch","13-Inch","13.4-Inch","13.8-Inch","14-Inch","17-Inch","45-Inch","27-Inch","34-Inch","32-Inch","21.5-Inch"}, G121), {"16-Inch","15-Inch","15.6-Inch","18-Inch","15.3-Inch","13-Inch","13.4-Inch","13.8-Inch","14-Inch","17-Inch","45-Inch","27-Inch","34-Inch","32-Inch","21.5-Inch"}), "")</f>
        <v/>
      </c>
      <c r="AR121" s="58"/>
      <c r="AS121" s="91"/>
      <c r="AT121" s="93"/>
      <c r="AU121" s="93"/>
      <c r="AV121" s="93"/>
      <c r="AW121" s="93"/>
    </row>
    <row r="122" spans="1:49" ht="15" customHeight="1" x14ac:dyDescent="0.25">
      <c r="A122" s="59"/>
      <c r="B122" s="12"/>
      <c r="C122" s="12"/>
      <c r="D122" s="60"/>
      <c r="E122" s="6"/>
      <c r="F122" s="6"/>
      <c r="G122" s="12"/>
      <c r="H122" s="12" t="str" cm="2">
        <f t="array" ref="H122">IFERROR(INDEX(BrandList!$A$2:$A$50,MATCH(TRUE,ISNUMBER(SEARCH(BrandList!$A$2:$A$50,G122)),0)),"")</f>
        <v/>
      </c>
      <c r="I122" s="12" t="str" cm="2">
        <f t="array" ref="I122">IFERROR(INDEX(BrandList!$B$2:$B$200,MATCH(TRUE,ISNUMBER(SEARCH(BrandList!$B$2:$B$200,G122)),0)),"")</f>
        <v/>
      </c>
      <c r="J122" s="12"/>
      <c r="K122" s="12"/>
      <c r="L122" s="60"/>
      <c r="M122" s="60"/>
      <c r="N122" s="60"/>
      <c r="O122" s="60"/>
      <c r="P122" s="7" t="str">
        <f t="shared" si="3"/>
        <v/>
      </c>
      <c r="Q122" s="8">
        <f>IFERROR(VLOOKUP(VALUE(A122),WEEKLY_DATA!$A:$H,2,0),0)</f>
        <v>0</v>
      </c>
      <c r="R122" s="8">
        <f>IFERROR(VLOOKUP(VALUE(A122),WEEKLY_DATA!$A:$H,3,0),0)</f>
        <v>0</v>
      </c>
      <c r="S122" s="8">
        <f>IFERROR(VLOOKUP(VALUE(A122),WEEKLY_DATA!$A:$H,4,0),0)</f>
        <v>0</v>
      </c>
      <c r="T122" s="51">
        <f>IFERROR(VLOOKUP(VALUE(A122),WEEKLY_DATA!$A:$H,5,0),0)</f>
        <v>0</v>
      </c>
      <c r="U122" s="51">
        <f>IFERROR(VLOOKUP(VALUE(A122),WEEKLY_DATA!$A:$H,6,0),0)</f>
        <v>0</v>
      </c>
      <c r="V122" s="51">
        <f>IFERROR(VLOOKUP(VALUE(A122),WEEKLY_DATA!$A:$H,7,0),0)</f>
        <v>0</v>
      </c>
      <c r="W122" s="9" t="str">
        <f>IFERROR(IF(OR(Q122="",Q122=0),"",IF(VLOOKUP(VALUE($A122),WEEKLY_DATA!$A:$H,6,0)=0,"No Sales",Q122/(VLOOKUP(VALUE($A122),WEEKLY_DATA!$A:$H,6,0)/13))),"")</f>
        <v/>
      </c>
      <c r="X122" s="10">
        <f>IFERROR(VLOOKUP(VALUE(A122),WEEKLY_DATA!$A:$H,8,0),0)</f>
        <v>0</v>
      </c>
      <c r="Y122" s="13" t="str">
        <f t="shared" si="2"/>
        <v>—</v>
      </c>
      <c r="Z122" s="11"/>
      <c r="AA122" s="11"/>
      <c r="AB122" s="11"/>
      <c r="AC122" s="11"/>
      <c r="AD122" s="11"/>
      <c r="AE122" s="11"/>
      <c r="AF122" s="61" t="s">
        <v>144</v>
      </c>
      <c r="AG122" s="61"/>
      <c r="AH122" s="62"/>
      <c r="AI122" s="62"/>
      <c r="AJ122" s="61" t="s">
        <v>144</v>
      </c>
      <c r="AK122" s="61" t="s">
        <v>144</v>
      </c>
      <c r="AL122" s="61"/>
      <c r="AM122" s="58" t="str" cm="2">
        <f t="array" ref="AM122">IFERROR(LOOKUP(2, 1/SEARCH({"Black","White","Grey","Blue","Silver","Brown","Green","Blue","Purple","Red","Pink","Yellow","Gold"}, G122), {"Black","White","Grey","Blue","Silver","Brown","Green","Blue","Purple","Red","Pink","Yellow","Gold"}), "")</f>
        <v/>
      </c>
      <c r="AN122" s="58" t="str">
        <f>IFERROR(LOOKUP(2, 1/SEARCH({"8GB","16GB","32GB","64GB"}, G122), {"8GB","16GB","32GB","64GB"}), "")</f>
        <v/>
      </c>
      <c r="AO122" s="58" t="str">
        <f>IFERROR(LOOKUP(2, 1/SEARCH({"1TB","2TB","128GB","512GB","256GB"}, G122), {"1TB","2TB","128GB","512GB","256GB"}), "")</f>
        <v/>
      </c>
      <c r="AP122" s="58"/>
      <c r="AQ122" s="58" t="str">
        <f>IFERROR(LOOKUP(2, 1/SEARCH({"16-Inch","15-Inch","15.6-Inch","18-Inch","15.3-Inch","13-Inch","13.4-Inch","13.8-Inch","14-Inch","17-Inch","45-Inch","27-Inch","34-Inch","32-Inch","21.5-Inch"}, G122), {"16-Inch","15-Inch","15.6-Inch","18-Inch","15.3-Inch","13-Inch","13.4-Inch","13.8-Inch","14-Inch","17-Inch","45-Inch","27-Inch","34-Inch","32-Inch","21.5-Inch"}), "")</f>
        <v/>
      </c>
      <c r="AR122" s="58"/>
      <c r="AS122" s="91"/>
      <c r="AT122" s="93"/>
      <c r="AU122" s="93"/>
      <c r="AV122" s="93"/>
      <c r="AW122" s="93"/>
    </row>
    <row r="123" spans="1:49" ht="15" customHeight="1" x14ac:dyDescent="0.25">
      <c r="A123" s="63"/>
      <c r="B123" s="12"/>
      <c r="C123" s="12"/>
      <c r="D123" s="60"/>
      <c r="E123" s="6"/>
      <c r="F123" s="6"/>
      <c r="G123" s="12"/>
      <c r="H123" s="12" t="str" cm="2">
        <f t="array" ref="H123">IFERROR(INDEX(BrandList!$A$2:$A$50,MATCH(TRUE,ISNUMBER(SEARCH(BrandList!$A$2:$A$50,G123)),0)),"")</f>
        <v/>
      </c>
      <c r="I123" s="12" t="str" cm="2">
        <f t="array" ref="I123">IFERROR(INDEX(BrandList!$B$2:$B$200,MATCH(TRUE,ISNUMBER(SEARCH(BrandList!$B$2:$B$200,G123)),0)),"")</f>
        <v/>
      </c>
      <c r="J123" s="12"/>
      <c r="K123" s="12"/>
      <c r="L123" s="60"/>
      <c r="M123" s="60"/>
      <c r="N123" s="60"/>
      <c r="O123" s="60"/>
      <c r="P123" s="7" t="str">
        <f t="shared" si="3"/>
        <v/>
      </c>
      <c r="Q123" s="8">
        <f>IFERROR(VLOOKUP(VALUE(A123),WEEKLY_DATA!$A:$H,2,0),0)</f>
        <v>0</v>
      </c>
      <c r="R123" s="8">
        <f>IFERROR(VLOOKUP(VALUE(A123),WEEKLY_DATA!$A:$H,3,0),0)</f>
        <v>0</v>
      </c>
      <c r="S123" s="8">
        <f>IFERROR(VLOOKUP(VALUE(A123),WEEKLY_DATA!$A:$H,4,0),0)</f>
        <v>0</v>
      </c>
      <c r="T123" s="51">
        <f>IFERROR(VLOOKUP(VALUE(A123),WEEKLY_DATA!$A:$H,5,0),0)</f>
        <v>0</v>
      </c>
      <c r="U123" s="51">
        <f>IFERROR(VLOOKUP(VALUE(A123),WEEKLY_DATA!$A:$H,6,0),0)</f>
        <v>0</v>
      </c>
      <c r="V123" s="51">
        <f>IFERROR(VLOOKUP(VALUE(A123),WEEKLY_DATA!$A:$H,7,0),0)</f>
        <v>0</v>
      </c>
      <c r="W123" s="9" t="str">
        <f>IFERROR(IF(OR(Q123="",Q123=0),"",IF(VLOOKUP(VALUE($A123),WEEKLY_DATA!$A:$H,6,0)=0,"No Sales",Q123/(VLOOKUP(VALUE($A123),WEEKLY_DATA!$A:$H,6,0)/13))),"")</f>
        <v/>
      </c>
      <c r="X123" s="10">
        <f>IFERROR(VLOOKUP(VALUE(A123),WEEKLY_DATA!$A:$H,8,0),0)</f>
        <v>0</v>
      </c>
      <c r="Y123" s="13" t="str">
        <f t="shared" si="2"/>
        <v>—</v>
      </c>
      <c r="Z123" s="11"/>
      <c r="AA123" s="11"/>
      <c r="AB123" s="11"/>
      <c r="AC123" s="11"/>
      <c r="AD123" s="11"/>
      <c r="AE123" s="11"/>
      <c r="AF123" s="61"/>
      <c r="AG123" s="61"/>
      <c r="AH123" s="62"/>
      <c r="AI123" s="62"/>
      <c r="AJ123" s="61"/>
      <c r="AK123" s="61"/>
      <c r="AL123" s="61"/>
      <c r="AM123" s="58" t="str" cm="2">
        <f t="array" ref="AM123">IFERROR(LOOKUP(2, 1/SEARCH({"Black","White","Grey","Blue","Silver","Brown","Green","Blue","Purple","Red","Pink","Yellow","Gold"}, G123), {"Black","White","Grey","Blue","Silver","Brown","Green","Blue","Purple","Red","Pink","Yellow","Gold"}), "")</f>
        <v/>
      </c>
      <c r="AN123" s="58" t="str">
        <f>IFERROR(LOOKUP(2, 1/SEARCH({"8GB","16GB","32GB","64GB"}, G123), {"8GB","16GB","32GB","64GB"}), "")</f>
        <v/>
      </c>
      <c r="AO123" s="58" t="str">
        <f>IFERROR(LOOKUP(2, 1/SEARCH({"1TB","2TB","128GB","512GB","256GB"}, G123), {"1TB","2TB","128GB","512GB","256GB"}), "")</f>
        <v/>
      </c>
      <c r="AP123" s="58"/>
      <c r="AQ123" s="58" t="str">
        <f>IFERROR(LOOKUP(2, 1/SEARCH({"16-Inch","15-Inch","15.6-Inch","18-Inch","15.3-Inch","13-Inch","13.4-Inch","13.8-Inch","14-Inch","17-Inch","45-Inch","27-Inch","34-Inch","32-Inch","21.5-Inch"}, G123), {"16-Inch","15-Inch","15.6-Inch","18-Inch","15.3-Inch","13-Inch","13.4-Inch","13.8-Inch","14-Inch","17-Inch","45-Inch","27-Inch","34-Inch","32-Inch","21.5-Inch"}), "")</f>
        <v/>
      </c>
      <c r="AR123" s="58"/>
      <c r="AS123" s="91"/>
      <c r="AT123" s="93"/>
      <c r="AU123" s="93"/>
      <c r="AV123" s="93"/>
      <c r="AW123" s="93"/>
    </row>
    <row r="124" spans="1:49" ht="15" customHeight="1" x14ac:dyDescent="0.25">
      <c r="A124" s="63"/>
      <c r="B124" s="12"/>
      <c r="C124" s="12"/>
      <c r="D124" s="60"/>
      <c r="E124" s="6"/>
      <c r="F124" s="6"/>
      <c r="G124" s="12"/>
      <c r="H124" s="12" t="str" cm="2">
        <f t="array" ref="H124">IFERROR(INDEX(BrandList!$A$2:$A$50,MATCH(TRUE,ISNUMBER(SEARCH(BrandList!$A$2:$A$50,G124)),0)),"")</f>
        <v/>
      </c>
      <c r="I124" s="12" t="str" cm="2">
        <f t="array" ref="I124">IFERROR(INDEX(BrandList!$B$2:$B$200,MATCH(TRUE,ISNUMBER(SEARCH(BrandList!$B$2:$B$200,G124)),0)),"")</f>
        <v/>
      </c>
      <c r="J124" s="12"/>
      <c r="K124" s="12"/>
      <c r="L124" s="60"/>
      <c r="M124" s="60"/>
      <c r="N124" s="60"/>
      <c r="O124" s="60"/>
      <c r="P124" s="7" t="str">
        <f t="shared" si="3"/>
        <v/>
      </c>
      <c r="Q124" s="8">
        <f>IFERROR(VLOOKUP(VALUE(A124),WEEKLY_DATA!$A:$H,2,0),0)</f>
        <v>0</v>
      </c>
      <c r="R124" s="8">
        <f>IFERROR(VLOOKUP(VALUE(A124),WEEKLY_DATA!$A:$H,3,0),0)</f>
        <v>0</v>
      </c>
      <c r="S124" s="8">
        <f>IFERROR(VLOOKUP(VALUE(A124),WEEKLY_DATA!$A:$H,4,0),0)</f>
        <v>0</v>
      </c>
      <c r="T124" s="51">
        <f>IFERROR(VLOOKUP(VALUE(A124),WEEKLY_DATA!$A:$H,5,0),0)</f>
        <v>0</v>
      </c>
      <c r="U124" s="51">
        <f>IFERROR(VLOOKUP(VALUE(A124),WEEKLY_DATA!$A:$H,6,0),0)</f>
        <v>0</v>
      </c>
      <c r="V124" s="51">
        <f>IFERROR(VLOOKUP(VALUE(A124),WEEKLY_DATA!$A:$H,7,0),0)</f>
        <v>0</v>
      </c>
      <c r="W124" s="9" t="str">
        <f>IFERROR(IF(OR(Q124="",Q124=0),"",IF(VLOOKUP(VALUE($A124),WEEKLY_DATA!$A:$H,6,0)=0,"No Sales",Q124/(VLOOKUP(VALUE($A124),WEEKLY_DATA!$A:$H,6,0)/13))),"")</f>
        <v/>
      </c>
      <c r="X124" s="10">
        <f>IFERROR(VLOOKUP(VALUE(A124),WEEKLY_DATA!$A:$H,8,0),0)</f>
        <v>0</v>
      </c>
      <c r="Y124" s="13" t="str">
        <f t="shared" si="2"/>
        <v>—</v>
      </c>
      <c r="Z124" s="11"/>
      <c r="AA124" s="11"/>
      <c r="AB124" s="11"/>
      <c r="AC124" s="11"/>
      <c r="AD124" s="11"/>
      <c r="AE124" s="11"/>
      <c r="AF124" s="61"/>
      <c r="AG124" s="61"/>
      <c r="AH124" s="62"/>
      <c r="AI124" s="62"/>
      <c r="AJ124" s="61"/>
      <c r="AK124" s="61"/>
      <c r="AL124" s="61"/>
      <c r="AM124" s="58" t="str" cm="2">
        <f t="array" ref="AM124">IFERROR(LOOKUP(2, 1/SEARCH({"Black","White","Grey","Blue","Silver","Brown","Green","Blue","Purple","Red","Pink","Yellow","Gold"}, G124), {"Black","White","Grey","Blue","Silver","Brown","Green","Blue","Purple","Red","Pink","Yellow","Gold"}), "")</f>
        <v/>
      </c>
      <c r="AN124" s="58" t="str">
        <f>IFERROR(LOOKUP(2, 1/SEARCH({"8GB","16GB","32GB","64GB"}, G124), {"8GB","16GB","32GB","64GB"}), "")</f>
        <v/>
      </c>
      <c r="AO124" s="58" t="str">
        <f>IFERROR(LOOKUP(2, 1/SEARCH({"1TB","2TB","128GB","512GB","256GB"}, G124), {"1TB","2TB","128GB","512GB","256GB"}), "")</f>
        <v/>
      </c>
      <c r="AP124" s="58"/>
      <c r="AQ124" s="58" t="str">
        <f>IFERROR(LOOKUP(2, 1/SEARCH({"16-Inch","15-Inch","15.6-Inch","18-Inch","15.3-Inch","13-Inch","13.4-Inch","13.8-Inch","14-Inch","17-Inch","45-Inch","27-Inch","34-Inch","32-Inch","21.5-Inch"}, G124), {"16-Inch","15-Inch","15.6-Inch","18-Inch","15.3-Inch","13-Inch","13.4-Inch","13.8-Inch","14-Inch","17-Inch","45-Inch","27-Inch","34-Inch","32-Inch","21.5-Inch"}), "")</f>
        <v/>
      </c>
      <c r="AR124" s="58"/>
      <c r="AS124" s="91"/>
      <c r="AT124" s="93"/>
      <c r="AU124" s="93"/>
      <c r="AV124" s="93"/>
      <c r="AW124" s="93"/>
    </row>
    <row r="125" spans="1:49" ht="15" customHeight="1" x14ac:dyDescent="0.25">
      <c r="A125" s="63"/>
      <c r="B125" s="12"/>
      <c r="C125" s="12"/>
      <c r="D125" s="60"/>
      <c r="E125" s="6"/>
      <c r="F125" s="6"/>
      <c r="G125" s="12"/>
      <c r="H125" s="12" t="str" cm="2">
        <f t="array" ref="H125">IFERROR(INDEX(BrandList!$A$2:$A$50,MATCH(TRUE,ISNUMBER(SEARCH(BrandList!$A$2:$A$50,G125)),0)),"")</f>
        <v/>
      </c>
      <c r="I125" s="12" t="str" cm="2">
        <f t="array" ref="I125">IFERROR(INDEX(BrandList!$B$2:$B$200,MATCH(TRUE,ISNUMBER(SEARCH(BrandList!$B$2:$B$200,G125)),0)),"")</f>
        <v/>
      </c>
      <c r="J125" s="12"/>
      <c r="K125" s="12"/>
      <c r="L125" s="60"/>
      <c r="M125" s="60"/>
      <c r="N125" s="60"/>
      <c r="O125" s="60"/>
      <c r="P125" s="7" t="str">
        <f t="shared" si="3"/>
        <v/>
      </c>
      <c r="Q125" s="8">
        <f>IFERROR(VLOOKUP(VALUE(A125),WEEKLY_DATA!$A:$H,2,0),0)</f>
        <v>0</v>
      </c>
      <c r="R125" s="8">
        <f>IFERROR(VLOOKUP(VALUE(A125),WEEKLY_DATA!$A:$H,3,0),0)</f>
        <v>0</v>
      </c>
      <c r="S125" s="8">
        <f>IFERROR(VLOOKUP(VALUE(A125),WEEKLY_DATA!$A:$H,4,0),0)</f>
        <v>0</v>
      </c>
      <c r="T125" s="51">
        <f>IFERROR(VLOOKUP(VALUE(A125),WEEKLY_DATA!$A:$H,5,0),0)</f>
        <v>0</v>
      </c>
      <c r="U125" s="51">
        <f>IFERROR(VLOOKUP(VALUE(A125),WEEKLY_DATA!$A:$H,6,0),0)</f>
        <v>0</v>
      </c>
      <c r="V125" s="51">
        <f>IFERROR(VLOOKUP(VALUE(A125),WEEKLY_DATA!$A:$H,7,0),0)</f>
        <v>0</v>
      </c>
      <c r="W125" s="9" t="str">
        <f>IFERROR(IF(OR(Q125="",Q125=0),"",IF(VLOOKUP(VALUE($A125),WEEKLY_DATA!$A:$H,6,0)=0,"No Sales",Q125/(VLOOKUP(VALUE($A125),WEEKLY_DATA!$A:$H,6,0)/13))),"")</f>
        <v/>
      </c>
      <c r="X125" s="10">
        <f>IFERROR(VLOOKUP(VALUE(A125),WEEKLY_DATA!$A:$H,8,0),0)</f>
        <v>0</v>
      </c>
      <c r="Y125" s="13" t="str">
        <f t="shared" si="2"/>
        <v>—</v>
      </c>
      <c r="Z125" s="11"/>
      <c r="AA125" s="11"/>
      <c r="AB125" s="11"/>
      <c r="AC125" s="11"/>
      <c r="AD125" s="11"/>
      <c r="AE125" s="11"/>
      <c r="AF125" s="61"/>
      <c r="AG125" s="61"/>
      <c r="AH125" s="62"/>
      <c r="AI125" s="62"/>
      <c r="AJ125" s="61"/>
      <c r="AK125" s="61"/>
      <c r="AL125" s="61"/>
      <c r="AM125" s="58" t="str" cm="2">
        <f t="array" ref="AM125">IFERROR(LOOKUP(2, 1/SEARCH({"Black","White","Grey","Blue","Silver","Brown","Green","Blue","Purple","Red","Pink","Yellow","Gold"}, G125), {"Black","White","Grey","Blue","Silver","Brown","Green","Blue","Purple","Red","Pink","Yellow","Gold"}), "")</f>
        <v/>
      </c>
      <c r="AN125" s="58" t="str">
        <f>IFERROR(LOOKUP(2, 1/SEARCH({"8GB","16GB","32GB","64GB"}, G125), {"8GB","16GB","32GB","64GB"}), "")</f>
        <v/>
      </c>
      <c r="AO125" s="58" t="str">
        <f>IFERROR(LOOKUP(2, 1/SEARCH({"1TB","2TB","128GB","512GB","256GB"}, G125), {"1TB","2TB","128GB","512GB","256GB"}), "")</f>
        <v/>
      </c>
      <c r="AP125" s="58"/>
      <c r="AQ125" s="58" t="str">
        <f>IFERROR(LOOKUP(2, 1/SEARCH({"16-Inch","15-Inch","15.6-Inch","18-Inch","15.3-Inch","13-Inch","13.4-Inch","13.8-Inch","14-Inch","17-Inch","45-Inch","27-Inch","34-Inch","32-Inch","21.5-Inch"}, G125), {"16-Inch","15-Inch","15.6-Inch","18-Inch","15.3-Inch","13-Inch","13.4-Inch","13.8-Inch","14-Inch","17-Inch","45-Inch","27-Inch","34-Inch","32-Inch","21.5-Inch"}), "")</f>
        <v/>
      </c>
      <c r="AR125" s="58"/>
      <c r="AS125" s="91"/>
      <c r="AT125" s="93"/>
      <c r="AU125" s="93"/>
      <c r="AV125" s="93"/>
      <c r="AW125" s="93"/>
    </row>
    <row r="126" spans="1:49" ht="15" customHeight="1" x14ac:dyDescent="0.25">
      <c r="A126" s="59"/>
      <c r="B126" s="12"/>
      <c r="C126" s="12"/>
      <c r="D126" s="60"/>
      <c r="E126" s="6"/>
      <c r="F126" s="6"/>
      <c r="G126" s="12"/>
      <c r="H126" s="12" t="str" cm="2">
        <f t="array" ref="H126">IFERROR(INDEX(BrandList!$A$2:$A$50,MATCH(TRUE,ISNUMBER(SEARCH(BrandList!$A$2:$A$50,G126)),0)),"")</f>
        <v/>
      </c>
      <c r="I126" s="12" t="str" cm="2">
        <f t="array" ref="I126">IFERROR(INDEX(BrandList!$B$2:$B$200,MATCH(TRUE,ISNUMBER(SEARCH(BrandList!$B$2:$B$200,G126)),0)),"")</f>
        <v/>
      </c>
      <c r="J126" s="12"/>
      <c r="K126" s="59"/>
      <c r="L126" s="86"/>
      <c r="M126" s="86"/>
      <c r="N126" s="86"/>
      <c r="O126" s="86"/>
      <c r="P126" s="7" t="str">
        <f t="shared" si="3"/>
        <v/>
      </c>
      <c r="Q126" s="8">
        <f>IFERROR(VLOOKUP(VALUE(A126),WEEKLY_DATA!$A:$H,2,0),0)</f>
        <v>0</v>
      </c>
      <c r="R126" s="8">
        <f>IFERROR(VLOOKUP(VALUE(A126),WEEKLY_DATA!$A:$H,3,0),0)</f>
        <v>0</v>
      </c>
      <c r="S126" s="8">
        <f>IFERROR(VLOOKUP(VALUE(A126),WEEKLY_DATA!$A:$H,4,0),0)</f>
        <v>0</v>
      </c>
      <c r="T126" s="51">
        <f>IFERROR(VLOOKUP(VALUE(A126),WEEKLY_DATA!$A:$H,5,0),0)</f>
        <v>0</v>
      </c>
      <c r="U126" s="51">
        <f>IFERROR(VLOOKUP(VALUE(A126),WEEKLY_DATA!$A:$H,6,0),0)</f>
        <v>0</v>
      </c>
      <c r="V126" s="51">
        <f>IFERROR(VLOOKUP(VALUE(A126),WEEKLY_DATA!$A:$H,7,0),0)</f>
        <v>0</v>
      </c>
      <c r="W126" s="9" t="str">
        <f>IFERROR(IF(OR(Q126="",Q126=0),"",IF(VLOOKUP(VALUE($A126),WEEKLY_DATA!$A:$H,6,0)=0,"No Sales",Q126/(VLOOKUP(VALUE($A126),WEEKLY_DATA!$A:$H,6,0)/13))),"")</f>
        <v/>
      </c>
      <c r="X126" s="10">
        <f>IFERROR(VLOOKUP(VALUE(A126),WEEKLY_DATA!$A:$H,8,0),0)</f>
        <v>0</v>
      </c>
      <c r="Y126" s="13" t="str">
        <f t="shared" si="2"/>
        <v>—</v>
      </c>
      <c r="Z126" s="11"/>
      <c r="AA126" s="11"/>
      <c r="AB126" s="11"/>
      <c r="AC126" s="11"/>
      <c r="AD126" s="11"/>
      <c r="AE126" s="11"/>
      <c r="AF126" s="61" t="s">
        <v>144</v>
      </c>
      <c r="AG126" s="61"/>
      <c r="AH126" s="62"/>
      <c r="AI126" s="62"/>
      <c r="AJ126" s="61" t="s">
        <v>144</v>
      </c>
      <c r="AK126" s="61" t="s">
        <v>144</v>
      </c>
      <c r="AL126" s="61"/>
      <c r="AM126" s="58" t="str" cm="2">
        <f t="array" ref="AM126">IFERROR(LOOKUP(2, 1/SEARCH({"Black","White","Grey","Blue","Silver","Brown","Green","Blue","Purple","Red","Pink","Yellow","Gold"}, G126), {"Black","White","Grey","Blue","Silver","Brown","Green","Blue","Purple","Red","Pink","Yellow","Gold"}), "")</f>
        <v/>
      </c>
      <c r="AN126" s="58" t="str">
        <f>IFERROR(LOOKUP(2, 1/SEARCH({"8GB","16GB","32GB","64GB"}, G126), {"8GB","16GB","32GB","64GB"}), "")</f>
        <v/>
      </c>
      <c r="AO126" s="58" t="str">
        <f>IFERROR(LOOKUP(2, 1/SEARCH({"1TB","2TB","128GB","512GB","256GB"}, G126), {"1TB","2TB","128GB","512GB","256GB"}), "")</f>
        <v/>
      </c>
      <c r="AP126" s="58"/>
      <c r="AQ126" s="58" t="str">
        <f>IFERROR(LOOKUP(2, 1/SEARCH({"16-Inch","15-Inch","15.6-Inch","18-Inch","15.3-Inch","13-Inch","13.4-Inch","13.8-Inch","14-Inch","17-Inch","45-Inch","27-Inch","34-Inch","32-Inch","21.5-Inch"}, G126), {"16-Inch","15-Inch","15.6-Inch","18-Inch","15.3-Inch","13-Inch","13.4-Inch","13.8-Inch","14-Inch","17-Inch","45-Inch","27-Inch","34-Inch","32-Inch","21.5-Inch"}), "")</f>
        <v/>
      </c>
      <c r="AR126" s="58"/>
      <c r="AS126" s="91"/>
      <c r="AT126" s="93"/>
      <c r="AU126" s="93"/>
      <c r="AV126" s="93"/>
      <c r="AW126" s="93"/>
    </row>
    <row r="127" spans="1:49" ht="15" customHeight="1" x14ac:dyDescent="0.25">
      <c r="A127" s="59"/>
      <c r="B127" s="12"/>
      <c r="C127" s="12"/>
      <c r="D127" s="60"/>
      <c r="E127" s="6"/>
      <c r="F127" s="6"/>
      <c r="G127" s="12"/>
      <c r="H127" s="12" t="str" cm="2">
        <f t="array" ref="H127">IFERROR(INDEX(BrandList!$A$2:$A$50,MATCH(TRUE,ISNUMBER(SEARCH(BrandList!$A$2:$A$50,G127)),0)),"")</f>
        <v/>
      </c>
      <c r="I127" s="12" t="str" cm="2">
        <f t="array" ref="I127">IFERROR(INDEX(BrandList!$B$2:$B$200,MATCH(TRUE,ISNUMBER(SEARCH(BrandList!$B$2:$B$200,G127)),0)),"")</f>
        <v/>
      </c>
      <c r="J127" s="12"/>
      <c r="K127" s="59"/>
      <c r="L127" s="86"/>
      <c r="M127" s="86"/>
      <c r="N127" s="86"/>
      <c r="O127" s="86"/>
      <c r="P127" s="7" t="str">
        <f t="shared" si="3"/>
        <v/>
      </c>
      <c r="Q127" s="8">
        <f>IFERROR(VLOOKUP(VALUE(A127),WEEKLY_DATA!$A:$H,2,0),0)</f>
        <v>0</v>
      </c>
      <c r="R127" s="8">
        <f>IFERROR(VLOOKUP(VALUE(A127),WEEKLY_DATA!$A:$H,3,0),0)</f>
        <v>0</v>
      </c>
      <c r="S127" s="8">
        <f>IFERROR(VLOOKUP(VALUE(A127),WEEKLY_DATA!$A:$H,4,0),0)</f>
        <v>0</v>
      </c>
      <c r="T127" s="51">
        <f>IFERROR(VLOOKUP(VALUE(A127),WEEKLY_DATA!$A:$H,5,0),0)</f>
        <v>0</v>
      </c>
      <c r="U127" s="51">
        <f>IFERROR(VLOOKUP(VALUE(A127),WEEKLY_DATA!$A:$H,6,0),0)</f>
        <v>0</v>
      </c>
      <c r="V127" s="51">
        <f>IFERROR(VLOOKUP(VALUE(A127),WEEKLY_DATA!$A:$H,7,0),0)</f>
        <v>0</v>
      </c>
      <c r="W127" s="9" t="str">
        <f>IFERROR(IF(OR(Q127="",Q127=0),"",IF(VLOOKUP(VALUE($A127),WEEKLY_DATA!$A:$H,6,0)=0,"No Sales",Q127/(VLOOKUP(VALUE($A127),WEEKLY_DATA!$A:$H,6,0)/13))),"")</f>
        <v/>
      </c>
      <c r="X127" s="10">
        <f>IFERROR(VLOOKUP(VALUE(A127),WEEKLY_DATA!$A:$H,8,0),0)</f>
        <v>0</v>
      </c>
      <c r="Y127" s="13" t="str">
        <f t="shared" si="2"/>
        <v>—</v>
      </c>
      <c r="Z127" s="11"/>
      <c r="AA127" s="11"/>
      <c r="AB127" s="11"/>
      <c r="AC127" s="11"/>
      <c r="AD127" s="11"/>
      <c r="AE127" s="11"/>
      <c r="AF127" s="61" t="s">
        <v>144</v>
      </c>
      <c r="AG127" s="61"/>
      <c r="AH127" s="62"/>
      <c r="AI127" s="62"/>
      <c r="AJ127" s="61" t="s">
        <v>144</v>
      </c>
      <c r="AK127" s="61" t="s">
        <v>144</v>
      </c>
      <c r="AL127" s="61"/>
      <c r="AM127" s="58" t="str" cm="2">
        <f t="array" ref="AM127">IFERROR(LOOKUP(2, 1/SEARCH({"Black","White","Grey","Blue","Silver","Brown","Green","Blue","Purple","Red","Pink","Yellow","Gold"}, G127), {"Black","White","Grey","Blue","Silver","Brown","Green","Blue","Purple","Red","Pink","Yellow","Gold"}), "")</f>
        <v/>
      </c>
      <c r="AN127" s="58" t="str">
        <f>IFERROR(LOOKUP(2, 1/SEARCH({"8GB","16GB","32GB","64GB"}, G127), {"8GB","16GB","32GB","64GB"}), "")</f>
        <v/>
      </c>
      <c r="AO127" s="58" t="str">
        <f>IFERROR(LOOKUP(2, 1/SEARCH({"1TB","2TB","128GB","512GB","256GB"}, G127), {"1TB","2TB","128GB","512GB","256GB"}), "")</f>
        <v/>
      </c>
      <c r="AP127" s="58"/>
      <c r="AQ127" s="58" t="str">
        <f>IFERROR(LOOKUP(2, 1/SEARCH({"16-Inch","15-Inch","15.6-Inch","18-Inch","15.3-Inch","13-Inch","13.4-Inch","13.8-Inch","14-Inch","17-Inch","45-Inch","27-Inch","34-Inch","32-Inch","21.5-Inch"}, G127), {"16-Inch","15-Inch","15.6-Inch","18-Inch","15.3-Inch","13-Inch","13.4-Inch","13.8-Inch","14-Inch","17-Inch","45-Inch","27-Inch","34-Inch","32-Inch","21.5-Inch"}), "")</f>
        <v/>
      </c>
      <c r="AR127" s="58"/>
      <c r="AS127" s="91"/>
      <c r="AT127" s="93"/>
      <c r="AU127" s="93"/>
      <c r="AV127" s="93"/>
      <c r="AW127" s="93"/>
    </row>
    <row r="128" spans="1:49" ht="15" customHeight="1" x14ac:dyDescent="0.25">
      <c r="A128" s="59"/>
      <c r="B128" s="12"/>
      <c r="C128" s="12"/>
      <c r="D128" s="60"/>
      <c r="E128" s="6"/>
      <c r="F128" s="6"/>
      <c r="G128" s="12"/>
      <c r="H128" s="12" t="str" cm="2">
        <f t="array" ref="H128">IFERROR(INDEX(BrandList!$A$2:$A$50,MATCH(TRUE,ISNUMBER(SEARCH(BrandList!$A$2:$A$50,G128)),0)),"")</f>
        <v/>
      </c>
      <c r="I128" s="12" t="str" cm="2">
        <f t="array" ref="I128">IFERROR(INDEX(BrandList!$B$2:$B$200,MATCH(TRUE,ISNUMBER(SEARCH(BrandList!$B$2:$B$200,G128)),0)),"")</f>
        <v/>
      </c>
      <c r="J128" s="12"/>
      <c r="K128" s="12"/>
      <c r="L128" s="60"/>
      <c r="M128" s="60"/>
      <c r="N128" s="60"/>
      <c r="O128" s="60"/>
      <c r="P128" s="7" t="str">
        <f t="shared" si="3"/>
        <v/>
      </c>
      <c r="Q128" s="8">
        <f>IFERROR(VLOOKUP(VALUE(A128),WEEKLY_DATA!$A:$H,2,0),0)</f>
        <v>0</v>
      </c>
      <c r="R128" s="8">
        <f>IFERROR(VLOOKUP(VALUE(A128),WEEKLY_DATA!$A:$H,3,0),0)</f>
        <v>0</v>
      </c>
      <c r="S128" s="8">
        <f>IFERROR(VLOOKUP(VALUE(A128),WEEKLY_DATA!$A:$H,4,0),0)</f>
        <v>0</v>
      </c>
      <c r="T128" s="51">
        <f>IFERROR(VLOOKUP(VALUE(A128),WEEKLY_DATA!$A:$H,5,0),0)</f>
        <v>0</v>
      </c>
      <c r="U128" s="51">
        <f>IFERROR(VLOOKUP(VALUE(A128),WEEKLY_DATA!$A:$H,6,0),0)</f>
        <v>0</v>
      </c>
      <c r="V128" s="51">
        <f>IFERROR(VLOOKUP(VALUE(A128),WEEKLY_DATA!$A:$H,7,0),0)</f>
        <v>0</v>
      </c>
      <c r="W128" s="9" t="str">
        <f>IFERROR(IF(OR(Q128="",Q128=0),"",IF(VLOOKUP(VALUE($A128),WEEKLY_DATA!$A:$H,6,0)=0,"No Sales",Q128/(VLOOKUP(VALUE($A128),WEEKLY_DATA!$A:$H,6,0)/13))),"")</f>
        <v/>
      </c>
      <c r="X128" s="10">
        <f>IFERROR(VLOOKUP(VALUE(A128),WEEKLY_DATA!$A:$H,8,0),0)</f>
        <v>0</v>
      </c>
      <c r="Y128" s="13" t="str">
        <f t="shared" si="2"/>
        <v>—</v>
      </c>
      <c r="Z128" s="11"/>
      <c r="AA128" s="11"/>
      <c r="AB128" s="11"/>
      <c r="AC128" s="11"/>
      <c r="AD128" s="11"/>
      <c r="AE128" s="11"/>
      <c r="AF128" s="61" t="s">
        <v>144</v>
      </c>
      <c r="AG128" s="61"/>
      <c r="AH128" s="62"/>
      <c r="AI128" s="62"/>
      <c r="AJ128" s="61" t="s">
        <v>144</v>
      </c>
      <c r="AK128" s="61" t="s">
        <v>144</v>
      </c>
      <c r="AL128" s="61"/>
      <c r="AM128" s="58" t="str" cm="2">
        <f t="array" ref="AM128">IFERROR(LOOKUP(2, 1/SEARCH({"Black","White","Grey","Blue","Silver","Brown","Green","Blue","Purple","Red","Pink","Yellow","Gold"}, G128), {"Black","White","Grey","Blue","Silver","Brown","Green","Blue","Purple","Red","Pink","Yellow","Gold"}), "")</f>
        <v/>
      </c>
      <c r="AN128" s="58" t="str">
        <f>IFERROR(LOOKUP(2, 1/SEARCH({"8GB","16GB","32GB","64GB"}, G128), {"8GB","16GB","32GB","64GB"}), "")</f>
        <v/>
      </c>
      <c r="AO128" s="58" t="str">
        <f>IFERROR(LOOKUP(2, 1/SEARCH({"1TB","2TB","128GB","512GB","256GB"}, G128), {"1TB","2TB","128GB","512GB","256GB"}), "")</f>
        <v/>
      </c>
      <c r="AP128" s="58"/>
      <c r="AQ128" s="58" t="str">
        <f>IFERROR(LOOKUP(2, 1/SEARCH({"16-Inch","15-Inch","15.6-Inch","18-Inch","15.3-Inch","13-Inch","13.4-Inch","13.8-Inch","14-Inch","17-Inch","45-Inch","27-Inch","34-Inch","32-Inch","21.5-Inch"}, G128), {"16-Inch","15-Inch","15.6-Inch","18-Inch","15.3-Inch","13-Inch","13.4-Inch","13.8-Inch","14-Inch","17-Inch","45-Inch","27-Inch","34-Inch","32-Inch","21.5-Inch"}), "")</f>
        <v/>
      </c>
      <c r="AR128" s="58"/>
      <c r="AS128" s="91"/>
      <c r="AT128" s="93"/>
      <c r="AU128" s="93"/>
      <c r="AV128" s="93"/>
      <c r="AW128" s="93"/>
    </row>
    <row r="129" spans="1:49" ht="15" customHeight="1" x14ac:dyDescent="0.25">
      <c r="A129" s="59"/>
      <c r="B129" s="12"/>
      <c r="C129" s="12"/>
      <c r="D129" s="60"/>
      <c r="E129" s="6"/>
      <c r="F129" s="6"/>
      <c r="G129" s="12"/>
      <c r="H129" s="12" t="str" cm="2">
        <f t="array" ref="H129">IFERROR(INDEX(BrandList!$A$2:$A$50,MATCH(TRUE,ISNUMBER(SEARCH(BrandList!$A$2:$A$50,G129)),0)),"")</f>
        <v/>
      </c>
      <c r="I129" s="12" t="str" cm="2">
        <f t="array" ref="I129">IFERROR(INDEX(BrandList!$B$2:$B$200,MATCH(TRUE,ISNUMBER(SEARCH(BrandList!$B$2:$B$200,G129)),0)),"")</f>
        <v/>
      </c>
      <c r="J129" s="12"/>
      <c r="K129" s="12"/>
      <c r="L129" s="60"/>
      <c r="M129" s="60"/>
      <c r="N129" s="60"/>
      <c r="O129" s="60"/>
      <c r="P129" s="7" t="str">
        <f t="shared" si="3"/>
        <v/>
      </c>
      <c r="Q129" s="8">
        <f>IFERROR(VLOOKUP(VALUE(A129),WEEKLY_DATA!$A:$H,2,0),0)</f>
        <v>0</v>
      </c>
      <c r="R129" s="8">
        <f>IFERROR(VLOOKUP(VALUE(A129),WEEKLY_DATA!$A:$H,3,0),0)</f>
        <v>0</v>
      </c>
      <c r="S129" s="8">
        <f>IFERROR(VLOOKUP(VALUE(A129),WEEKLY_DATA!$A:$H,4,0),0)</f>
        <v>0</v>
      </c>
      <c r="T129" s="51">
        <f>IFERROR(VLOOKUP(VALUE(A129),WEEKLY_DATA!$A:$H,5,0),0)</f>
        <v>0</v>
      </c>
      <c r="U129" s="51">
        <f>IFERROR(VLOOKUP(VALUE(A129),WEEKLY_DATA!$A:$H,6,0),0)</f>
        <v>0</v>
      </c>
      <c r="V129" s="51">
        <f>IFERROR(VLOOKUP(VALUE(A129),WEEKLY_DATA!$A:$H,7,0),0)</f>
        <v>0</v>
      </c>
      <c r="W129" s="9" t="str">
        <f>IFERROR(IF(OR(Q129="",Q129=0),"",IF(VLOOKUP(VALUE($A129),WEEKLY_DATA!$A:$H,6,0)=0,"No Sales",Q129/(VLOOKUP(VALUE($A129),WEEKLY_DATA!$A:$H,6,0)/13))),"")</f>
        <v/>
      </c>
      <c r="X129" s="10">
        <f>IFERROR(VLOOKUP(VALUE(A129),WEEKLY_DATA!$A:$H,8,0),0)</f>
        <v>0</v>
      </c>
      <c r="Y129" s="13" t="str">
        <f t="shared" si="2"/>
        <v>—</v>
      </c>
      <c r="Z129" s="11"/>
      <c r="AA129" s="11"/>
      <c r="AB129" s="11"/>
      <c r="AC129" s="11"/>
      <c r="AD129" s="11"/>
      <c r="AE129" s="11"/>
      <c r="AF129" s="61" t="s">
        <v>144</v>
      </c>
      <c r="AG129" s="61"/>
      <c r="AH129" s="62"/>
      <c r="AI129" s="62"/>
      <c r="AJ129" s="61" t="s">
        <v>144</v>
      </c>
      <c r="AK129" s="61" t="s">
        <v>144</v>
      </c>
      <c r="AL129" s="61"/>
      <c r="AM129" s="58" t="str" cm="2">
        <f t="array" ref="AM129">IFERROR(LOOKUP(2, 1/SEARCH({"Black","White","Grey","Blue","Silver","Brown","Green","Blue","Purple","Red","Pink","Yellow","Gold"}, G129), {"Black","White","Grey","Blue","Silver","Brown","Green","Blue","Purple","Red","Pink","Yellow","Gold"}), "")</f>
        <v/>
      </c>
      <c r="AN129" s="58" t="str">
        <f>IFERROR(LOOKUP(2, 1/SEARCH({"8GB","16GB","32GB","64GB"}, G129), {"8GB","16GB","32GB","64GB"}), "")</f>
        <v/>
      </c>
      <c r="AO129" s="58" t="str">
        <f>IFERROR(LOOKUP(2, 1/SEARCH({"1TB","2TB","128GB","512GB","256GB"}, G129), {"1TB","2TB","128GB","512GB","256GB"}), "")</f>
        <v/>
      </c>
      <c r="AP129" s="58"/>
      <c r="AQ129" s="58" t="str">
        <f>IFERROR(LOOKUP(2, 1/SEARCH({"16-Inch","15-Inch","15.6-Inch","18-Inch","15.3-Inch","13-Inch","13.4-Inch","13.8-Inch","14-Inch","17-Inch","45-Inch","27-Inch","34-Inch","32-Inch","21.5-Inch"}, G129), {"16-Inch","15-Inch","15.6-Inch","18-Inch","15.3-Inch","13-Inch","13.4-Inch","13.8-Inch","14-Inch","17-Inch","45-Inch","27-Inch","34-Inch","32-Inch","21.5-Inch"}), "")</f>
        <v/>
      </c>
      <c r="AR129" s="58"/>
      <c r="AS129" s="91"/>
      <c r="AT129" s="93"/>
      <c r="AU129" s="93"/>
      <c r="AV129" s="93"/>
      <c r="AW129" s="93"/>
    </row>
    <row r="130" spans="1:49" ht="15" customHeight="1" x14ac:dyDescent="0.25">
      <c r="A130" s="59"/>
      <c r="B130" s="12"/>
      <c r="C130" s="12"/>
      <c r="D130" s="60"/>
      <c r="E130" s="6"/>
      <c r="F130" s="6"/>
      <c r="G130" s="12"/>
      <c r="H130" s="12" t="str" cm="2">
        <f t="array" ref="H130">IFERROR(INDEX(BrandList!$A$2:$A$50,MATCH(TRUE,ISNUMBER(SEARCH(BrandList!$A$2:$A$50,G130)),0)),"")</f>
        <v/>
      </c>
      <c r="I130" s="12" t="str" cm="2">
        <f t="array" ref="I130">IFERROR(INDEX(BrandList!$B$2:$B$200,MATCH(TRUE,ISNUMBER(SEARCH(BrandList!$B$2:$B$200,G130)),0)),"")</f>
        <v/>
      </c>
      <c r="J130" s="12"/>
      <c r="K130" s="59"/>
      <c r="L130" s="86"/>
      <c r="M130" s="86"/>
      <c r="N130" s="86"/>
      <c r="O130" s="86"/>
      <c r="P130" s="7" t="str">
        <f t="shared" si="3"/>
        <v/>
      </c>
      <c r="Q130" s="8">
        <f>IFERROR(VLOOKUP(VALUE(A130),WEEKLY_DATA!$A:$H,2,0),0)</f>
        <v>0</v>
      </c>
      <c r="R130" s="8">
        <f>IFERROR(VLOOKUP(VALUE(A130),WEEKLY_DATA!$A:$H,3,0),0)</f>
        <v>0</v>
      </c>
      <c r="S130" s="8">
        <f>IFERROR(VLOOKUP(VALUE(A130),WEEKLY_DATA!$A:$H,4,0),0)</f>
        <v>0</v>
      </c>
      <c r="T130" s="51">
        <f>IFERROR(VLOOKUP(VALUE(A130),WEEKLY_DATA!$A:$H,5,0),0)</f>
        <v>0</v>
      </c>
      <c r="U130" s="51">
        <f>IFERROR(VLOOKUP(VALUE(A130),WEEKLY_DATA!$A:$H,6,0),0)</f>
        <v>0</v>
      </c>
      <c r="V130" s="51">
        <f>IFERROR(VLOOKUP(VALUE(A130),WEEKLY_DATA!$A:$H,7,0),0)</f>
        <v>0</v>
      </c>
      <c r="W130" s="9" t="str">
        <f>IFERROR(IF(OR(Q130="",Q130=0),"",IF(VLOOKUP(VALUE($A130),WEEKLY_DATA!$A:$H,6,0)=0,"No Sales",Q130/(VLOOKUP(VALUE($A130),WEEKLY_DATA!$A:$H,6,0)/13))),"")</f>
        <v/>
      </c>
      <c r="X130" s="10">
        <f>IFERROR(VLOOKUP(VALUE(A130),WEEKLY_DATA!$A:$H,8,0),0)</f>
        <v>0</v>
      </c>
      <c r="Y130" s="13" t="str">
        <f t="shared" si="2"/>
        <v>—</v>
      </c>
      <c r="Z130" s="11"/>
      <c r="AA130" s="11"/>
      <c r="AB130" s="11"/>
      <c r="AC130" s="11"/>
      <c r="AD130" s="11"/>
      <c r="AE130" s="11"/>
      <c r="AF130" s="61" t="s">
        <v>144</v>
      </c>
      <c r="AG130" s="61"/>
      <c r="AH130" s="62"/>
      <c r="AI130" s="62"/>
      <c r="AJ130" s="61" t="s">
        <v>144</v>
      </c>
      <c r="AK130" s="61" t="s">
        <v>144</v>
      </c>
      <c r="AL130" s="61"/>
      <c r="AM130" s="58" t="str" cm="2">
        <f t="array" ref="AM130">IFERROR(LOOKUP(2, 1/SEARCH({"Black","White","Grey","Blue","Silver","Brown","Green","Blue","Purple","Red","Pink","Yellow","Gold"}, G130), {"Black","White","Grey","Blue","Silver","Brown","Green","Blue","Purple","Red","Pink","Yellow","Gold"}), "")</f>
        <v/>
      </c>
      <c r="AN130" s="58" t="str">
        <f>IFERROR(LOOKUP(2, 1/SEARCH({"8GB","16GB","32GB","64GB"}, G130), {"8GB","16GB","32GB","64GB"}), "")</f>
        <v/>
      </c>
      <c r="AO130" s="58" t="str">
        <f>IFERROR(LOOKUP(2, 1/SEARCH({"1TB","2TB","128GB","512GB","256GB"}, G130), {"1TB","2TB","128GB","512GB","256GB"}), "")</f>
        <v/>
      </c>
      <c r="AP130" s="58"/>
      <c r="AQ130" s="58" t="str">
        <f>IFERROR(LOOKUP(2, 1/SEARCH({"16-Inch","15-Inch","15.6-Inch","18-Inch","15.3-Inch","13-Inch","13.4-Inch","13.8-Inch","14-Inch","17-Inch","45-Inch","27-Inch","34-Inch","32-Inch","21.5-Inch"}, G130), {"16-Inch","15-Inch","15.6-Inch","18-Inch","15.3-Inch","13-Inch","13.4-Inch","13.8-Inch","14-Inch","17-Inch","45-Inch","27-Inch","34-Inch","32-Inch","21.5-Inch"}), "")</f>
        <v/>
      </c>
      <c r="AR130" s="58"/>
      <c r="AS130" s="91"/>
      <c r="AT130" s="93"/>
      <c r="AU130" s="93"/>
      <c r="AV130" s="93"/>
      <c r="AW130" s="93"/>
    </row>
    <row r="131" spans="1:49" ht="15" customHeight="1" x14ac:dyDescent="0.25">
      <c r="A131" s="59"/>
      <c r="B131" s="12"/>
      <c r="C131" s="12"/>
      <c r="D131" s="60"/>
      <c r="E131" s="6"/>
      <c r="F131" s="6"/>
      <c r="G131" s="12"/>
      <c r="H131" s="12" t="str" cm="2">
        <f t="array" ref="H131">IFERROR(INDEX(BrandList!$A$2:$A$50,MATCH(TRUE,ISNUMBER(SEARCH(BrandList!$A$2:$A$50,G131)),0)),"")</f>
        <v/>
      </c>
      <c r="I131" s="12" t="str" cm="2">
        <f t="array" ref="I131">IFERROR(INDEX(BrandList!$B$2:$B$200,MATCH(TRUE,ISNUMBER(SEARCH(BrandList!$B$2:$B$200,G131)),0)),"")</f>
        <v/>
      </c>
      <c r="J131" s="12"/>
      <c r="K131" s="59"/>
      <c r="L131" s="86"/>
      <c r="M131" s="86"/>
      <c r="N131" s="86"/>
      <c r="O131" s="86"/>
      <c r="P131" s="7" t="str">
        <f t="shared" si="3"/>
        <v/>
      </c>
      <c r="Q131" s="8">
        <f>IFERROR(VLOOKUP(VALUE(A131),WEEKLY_DATA!$A:$H,2,0),0)</f>
        <v>0</v>
      </c>
      <c r="R131" s="8">
        <f>IFERROR(VLOOKUP(VALUE(A131),WEEKLY_DATA!$A:$H,3,0),0)</f>
        <v>0</v>
      </c>
      <c r="S131" s="8">
        <f>IFERROR(VLOOKUP(VALUE(A131),WEEKLY_DATA!$A:$H,4,0),0)</f>
        <v>0</v>
      </c>
      <c r="T131" s="51">
        <f>IFERROR(VLOOKUP(VALUE(A131),WEEKLY_DATA!$A:$H,5,0),0)</f>
        <v>0</v>
      </c>
      <c r="U131" s="51">
        <f>IFERROR(VLOOKUP(VALUE(A131),WEEKLY_DATA!$A:$H,6,0),0)</f>
        <v>0</v>
      </c>
      <c r="V131" s="51">
        <f>IFERROR(VLOOKUP(VALUE(A131),WEEKLY_DATA!$A:$H,7,0),0)</f>
        <v>0</v>
      </c>
      <c r="W131" s="9" t="str">
        <f>IFERROR(IF(OR(Q131="",Q131=0),"",IF(VLOOKUP(VALUE($A131),WEEKLY_DATA!$A:$H,6,0)=0,"No Sales",Q131/(VLOOKUP(VALUE($A131),WEEKLY_DATA!$A:$H,6,0)/13))),"")</f>
        <v/>
      </c>
      <c r="X131" s="10">
        <f>IFERROR(VLOOKUP(VALUE(A131),WEEKLY_DATA!$A:$H,8,0),0)</f>
        <v>0</v>
      </c>
      <c r="Y131" s="13" t="str">
        <f t="shared" si="2"/>
        <v>—</v>
      </c>
      <c r="Z131" s="11"/>
      <c r="AA131" s="11"/>
      <c r="AB131" s="11"/>
      <c r="AC131" s="11"/>
      <c r="AD131" s="11"/>
      <c r="AE131" s="11"/>
      <c r="AF131" s="61" t="s">
        <v>144</v>
      </c>
      <c r="AG131" s="61"/>
      <c r="AH131" s="62"/>
      <c r="AI131" s="62"/>
      <c r="AJ131" s="61" t="s">
        <v>144</v>
      </c>
      <c r="AK131" s="61" t="s">
        <v>144</v>
      </c>
      <c r="AL131" s="61"/>
      <c r="AM131" s="58" t="str" cm="2">
        <f t="array" ref="AM131">IFERROR(LOOKUP(2, 1/SEARCH({"Black","White","Grey","Blue","Silver","Brown","Green","Blue","Purple","Red","Pink","Yellow","Gold"}, G131), {"Black","White","Grey","Blue","Silver","Brown","Green","Blue","Purple","Red","Pink","Yellow","Gold"}), "")</f>
        <v/>
      </c>
      <c r="AN131" s="58" t="str">
        <f>IFERROR(LOOKUP(2, 1/SEARCH({"8GB","16GB","32GB","64GB"}, G131), {"8GB","16GB","32GB","64GB"}), "")</f>
        <v/>
      </c>
      <c r="AO131" s="58" t="str">
        <f>IFERROR(LOOKUP(2, 1/SEARCH({"1TB","2TB","128GB","512GB","256GB"}, G131), {"1TB","2TB","128GB","512GB","256GB"}), "")</f>
        <v/>
      </c>
      <c r="AP131" s="58"/>
      <c r="AQ131" s="58" t="str">
        <f>IFERROR(LOOKUP(2, 1/SEARCH({"16-Inch","15-Inch","15.6-Inch","18-Inch","15.3-Inch","13-Inch","13.4-Inch","13.8-Inch","14-Inch","17-Inch","45-Inch","27-Inch","34-Inch","32-Inch","21.5-Inch"}, G131), {"16-Inch","15-Inch","15.6-Inch","18-Inch","15.3-Inch","13-Inch","13.4-Inch","13.8-Inch","14-Inch","17-Inch","45-Inch","27-Inch","34-Inch","32-Inch","21.5-Inch"}), "")</f>
        <v/>
      </c>
      <c r="AR131" s="58"/>
      <c r="AS131" s="91"/>
      <c r="AT131" s="93"/>
      <c r="AU131" s="93"/>
      <c r="AV131" s="93"/>
      <c r="AW131" s="93"/>
    </row>
    <row r="132" spans="1:49" ht="15" customHeight="1" x14ac:dyDescent="0.25">
      <c r="A132" s="59"/>
      <c r="B132" s="12"/>
      <c r="C132" s="12"/>
      <c r="D132" s="60"/>
      <c r="E132" s="6"/>
      <c r="F132" s="6"/>
      <c r="G132" s="12"/>
      <c r="H132" s="12" t="str" cm="2">
        <f t="array" ref="H132">IFERROR(INDEX(BrandList!$A$2:$A$50,MATCH(TRUE,ISNUMBER(SEARCH(BrandList!$A$2:$A$50,G132)),0)),"")</f>
        <v/>
      </c>
      <c r="I132" s="12" t="str" cm="2">
        <f t="array" ref="I132">IFERROR(INDEX(BrandList!$B$2:$B$200,MATCH(TRUE,ISNUMBER(SEARCH(BrandList!$B$2:$B$200,G132)),0)),"")</f>
        <v/>
      </c>
      <c r="J132" s="12"/>
      <c r="K132" s="59"/>
      <c r="L132" s="86"/>
      <c r="M132" s="86"/>
      <c r="N132" s="86"/>
      <c r="O132" s="86"/>
      <c r="P132" s="7" t="str">
        <f t="shared" si="3"/>
        <v/>
      </c>
      <c r="Q132" s="8">
        <f>IFERROR(VLOOKUP(VALUE(A132),WEEKLY_DATA!$A:$H,2,0),0)</f>
        <v>0</v>
      </c>
      <c r="R132" s="8">
        <f>IFERROR(VLOOKUP(VALUE(A132),WEEKLY_DATA!$A:$H,3,0),0)</f>
        <v>0</v>
      </c>
      <c r="S132" s="8">
        <f>IFERROR(VLOOKUP(VALUE(A132),WEEKLY_DATA!$A:$H,4,0),0)</f>
        <v>0</v>
      </c>
      <c r="T132" s="51">
        <f>IFERROR(VLOOKUP(VALUE(A132),WEEKLY_DATA!$A:$H,5,0),0)</f>
        <v>0</v>
      </c>
      <c r="U132" s="51">
        <f>IFERROR(VLOOKUP(VALUE(A132),WEEKLY_DATA!$A:$H,6,0),0)</f>
        <v>0</v>
      </c>
      <c r="V132" s="51">
        <f>IFERROR(VLOOKUP(VALUE(A132),WEEKLY_DATA!$A:$H,7,0),0)</f>
        <v>0</v>
      </c>
      <c r="W132" s="9" t="str">
        <f>IFERROR(IF(OR(Q132="",Q132=0),"",IF(VLOOKUP(VALUE($A132),WEEKLY_DATA!$A:$H,6,0)=0,"No Sales",Q132/(VLOOKUP(VALUE($A132),WEEKLY_DATA!$A:$H,6,0)/13))),"")</f>
        <v/>
      </c>
      <c r="X132" s="10">
        <f>IFERROR(VLOOKUP(VALUE(A132),WEEKLY_DATA!$A:$H,8,0),0)</f>
        <v>0</v>
      </c>
      <c r="Y132" s="13" t="str">
        <f t="shared" si="2"/>
        <v>—</v>
      </c>
      <c r="Z132" s="11"/>
      <c r="AA132" s="11"/>
      <c r="AB132" s="11"/>
      <c r="AC132" s="11"/>
      <c r="AD132" s="11"/>
      <c r="AE132" s="11"/>
      <c r="AF132" s="61" t="s">
        <v>144</v>
      </c>
      <c r="AG132" s="61"/>
      <c r="AH132" s="62"/>
      <c r="AI132" s="62"/>
      <c r="AJ132" s="61" t="s">
        <v>144</v>
      </c>
      <c r="AK132" s="61" t="s">
        <v>144</v>
      </c>
      <c r="AL132" s="61"/>
      <c r="AM132" s="58" t="str" cm="2">
        <f t="array" ref="AM132">IFERROR(LOOKUP(2, 1/SEARCH({"Black","White","Grey","Blue","Silver","Brown","Green","Blue","Purple","Red","Pink","Yellow","Gold"}, G132), {"Black","White","Grey","Blue","Silver","Brown","Green","Blue","Purple","Red","Pink","Yellow","Gold"}), "")</f>
        <v/>
      </c>
      <c r="AN132" s="58" t="str">
        <f>IFERROR(LOOKUP(2, 1/SEARCH({"8GB","16GB","32GB","64GB"}, G132), {"8GB","16GB","32GB","64GB"}), "")</f>
        <v/>
      </c>
      <c r="AO132" s="58" t="str">
        <f>IFERROR(LOOKUP(2, 1/SEARCH({"1TB","2TB","128GB","512GB","256GB"}, G132), {"1TB","2TB","128GB","512GB","256GB"}), "")</f>
        <v/>
      </c>
      <c r="AP132" s="58"/>
      <c r="AQ132" s="58" t="str">
        <f>IFERROR(LOOKUP(2, 1/SEARCH({"16-Inch","15-Inch","15.6-Inch","18-Inch","15.3-Inch","13-Inch","13.4-Inch","13.8-Inch","14-Inch","17-Inch","45-Inch","27-Inch","34-Inch","32-Inch","21.5-Inch"}, G132), {"16-Inch","15-Inch","15.6-Inch","18-Inch","15.3-Inch","13-Inch","13.4-Inch","13.8-Inch","14-Inch","17-Inch","45-Inch","27-Inch","34-Inch","32-Inch","21.5-Inch"}), "")</f>
        <v/>
      </c>
      <c r="AR132" s="58"/>
      <c r="AS132" s="91"/>
      <c r="AT132" s="93"/>
      <c r="AU132" s="93"/>
      <c r="AV132" s="93"/>
      <c r="AW132" s="93"/>
    </row>
    <row r="133" spans="1:49" ht="15" customHeight="1" x14ac:dyDescent="0.25">
      <c r="A133" s="59"/>
      <c r="B133" s="12"/>
      <c r="C133" s="12"/>
      <c r="D133" s="60"/>
      <c r="E133" s="6"/>
      <c r="F133" s="6"/>
      <c r="G133" s="12"/>
      <c r="H133" s="12" t="str" cm="2">
        <f t="array" ref="H133">IFERROR(INDEX(BrandList!$A$2:$A$50,MATCH(TRUE,ISNUMBER(SEARCH(BrandList!$A$2:$A$50,G133)),0)),"")</f>
        <v/>
      </c>
      <c r="I133" s="12" t="str" cm="2">
        <f t="array" ref="I133">IFERROR(INDEX(BrandList!$B$2:$B$200,MATCH(TRUE,ISNUMBER(SEARCH(BrandList!$B$2:$B$200,G133)),0)),"")</f>
        <v/>
      </c>
      <c r="J133" s="12"/>
      <c r="K133" s="12"/>
      <c r="L133" s="60"/>
      <c r="M133" s="60"/>
      <c r="N133" s="60"/>
      <c r="O133" s="60"/>
      <c r="P133" s="7" t="str">
        <f t="shared" si="3"/>
        <v/>
      </c>
      <c r="Q133" s="8">
        <f>IFERROR(VLOOKUP(VALUE(A133),WEEKLY_DATA!$A:$H,2,0),0)</f>
        <v>0</v>
      </c>
      <c r="R133" s="8">
        <f>IFERROR(VLOOKUP(VALUE(A133),WEEKLY_DATA!$A:$H,3,0),0)</f>
        <v>0</v>
      </c>
      <c r="S133" s="8">
        <f>IFERROR(VLOOKUP(VALUE(A133),WEEKLY_DATA!$A:$H,4,0),0)</f>
        <v>0</v>
      </c>
      <c r="T133" s="51">
        <f>IFERROR(VLOOKUP(VALUE(A133),WEEKLY_DATA!$A:$H,5,0),0)</f>
        <v>0</v>
      </c>
      <c r="U133" s="51">
        <f>IFERROR(VLOOKUP(VALUE(A133),WEEKLY_DATA!$A:$H,6,0),0)</f>
        <v>0</v>
      </c>
      <c r="V133" s="51">
        <f>IFERROR(VLOOKUP(VALUE(A133),WEEKLY_DATA!$A:$H,7,0),0)</f>
        <v>0</v>
      </c>
      <c r="W133" s="9" t="str">
        <f>IFERROR(IF(OR(Q133="",Q133=0),"",IF(VLOOKUP(VALUE($A133),WEEKLY_DATA!$A:$H,6,0)=0,"No Sales",Q133/(VLOOKUP(VALUE($A133),WEEKLY_DATA!$A:$H,6,0)/13))),"")</f>
        <v/>
      </c>
      <c r="X133" s="10">
        <f>IFERROR(VLOOKUP(VALUE(A133),WEEKLY_DATA!$A:$H,8,0),0)</f>
        <v>0</v>
      </c>
      <c r="Y133" s="13" t="str">
        <f t="shared" si="2"/>
        <v>—</v>
      </c>
      <c r="Z133" s="11"/>
      <c r="AA133" s="11"/>
      <c r="AB133" s="11"/>
      <c r="AC133" s="11"/>
      <c r="AD133" s="11"/>
      <c r="AE133" s="11"/>
      <c r="AF133" s="61" t="s">
        <v>144</v>
      </c>
      <c r="AG133" s="61"/>
      <c r="AH133" s="62"/>
      <c r="AI133" s="62"/>
      <c r="AJ133" s="61" t="s">
        <v>144</v>
      </c>
      <c r="AK133" s="61" t="s">
        <v>144</v>
      </c>
      <c r="AL133" s="61"/>
      <c r="AM133" s="58" t="str" cm="2">
        <f t="array" ref="AM133">IFERROR(LOOKUP(2, 1/SEARCH({"Black","White","Grey","Blue","Silver","Brown","Green","Blue","Purple","Red","Pink","Yellow","Gold"}, G133), {"Black","White","Grey","Blue","Silver","Brown","Green","Blue","Purple","Red","Pink","Yellow","Gold"}), "")</f>
        <v/>
      </c>
      <c r="AN133" s="58" t="str">
        <f>IFERROR(LOOKUP(2, 1/SEARCH({"8GB","16GB","32GB","64GB"}, G133), {"8GB","16GB","32GB","64GB"}), "")</f>
        <v/>
      </c>
      <c r="AO133" s="58" t="str">
        <f>IFERROR(LOOKUP(2, 1/SEARCH({"1TB","2TB","128GB","512GB","256GB"}, G133), {"1TB","2TB","128GB","512GB","256GB"}), "")</f>
        <v/>
      </c>
      <c r="AP133" s="58"/>
      <c r="AQ133" s="58" t="str">
        <f>IFERROR(LOOKUP(2, 1/SEARCH({"16-Inch","15-Inch","15.6-Inch","18-Inch","15.3-Inch","13-Inch","13.4-Inch","13.8-Inch","14-Inch","17-Inch","45-Inch","27-Inch","34-Inch","32-Inch","21.5-Inch"}, G133), {"16-Inch","15-Inch","15.6-Inch","18-Inch","15.3-Inch","13-Inch","13.4-Inch","13.8-Inch","14-Inch","17-Inch","45-Inch","27-Inch","34-Inch","32-Inch","21.5-Inch"}), "")</f>
        <v/>
      </c>
      <c r="AR133" s="58"/>
      <c r="AS133" s="91"/>
      <c r="AT133" s="93"/>
      <c r="AU133" s="93"/>
      <c r="AV133" s="93"/>
      <c r="AW133" s="93"/>
    </row>
    <row r="134" spans="1:49" ht="15" customHeight="1" x14ac:dyDescent="0.25">
      <c r="A134" s="59"/>
      <c r="B134" s="12"/>
      <c r="C134" s="12"/>
      <c r="D134" s="60"/>
      <c r="E134" s="6"/>
      <c r="F134" s="6"/>
      <c r="G134" s="12"/>
      <c r="H134" s="12" t="str" cm="2">
        <f t="array" ref="H134">IFERROR(INDEX(BrandList!$A$2:$A$50,MATCH(TRUE,ISNUMBER(SEARCH(BrandList!$A$2:$A$50,G134)),0)),"")</f>
        <v/>
      </c>
      <c r="I134" s="12" t="str" cm="2">
        <f t="array" ref="I134">IFERROR(INDEX(BrandList!$B$2:$B$200,MATCH(TRUE,ISNUMBER(SEARCH(BrandList!$B$2:$B$200,G134)),0)),"")</f>
        <v/>
      </c>
      <c r="J134" s="12"/>
      <c r="K134" s="59"/>
      <c r="L134" s="86"/>
      <c r="M134" s="86"/>
      <c r="N134" s="86"/>
      <c r="O134" s="86"/>
      <c r="P134" s="7" t="str">
        <f t="shared" si="3"/>
        <v/>
      </c>
      <c r="Q134" s="8">
        <f>IFERROR(VLOOKUP(VALUE(A134),WEEKLY_DATA!$A:$H,2,0),0)</f>
        <v>0</v>
      </c>
      <c r="R134" s="8">
        <f>IFERROR(VLOOKUP(VALUE(A134),WEEKLY_DATA!$A:$H,3,0),0)</f>
        <v>0</v>
      </c>
      <c r="S134" s="8">
        <f>IFERROR(VLOOKUP(VALUE(A134),WEEKLY_DATA!$A:$H,4,0),0)</f>
        <v>0</v>
      </c>
      <c r="T134" s="51">
        <f>IFERROR(VLOOKUP(VALUE(A134),WEEKLY_DATA!$A:$H,5,0),0)</f>
        <v>0</v>
      </c>
      <c r="U134" s="51">
        <f>IFERROR(VLOOKUP(VALUE(A134),WEEKLY_DATA!$A:$H,6,0),0)</f>
        <v>0</v>
      </c>
      <c r="V134" s="51">
        <f>IFERROR(VLOOKUP(VALUE(A134),WEEKLY_DATA!$A:$H,7,0),0)</f>
        <v>0</v>
      </c>
      <c r="W134" s="9" t="str">
        <f>IFERROR(IF(OR(Q134="",Q134=0),"",IF(VLOOKUP(VALUE($A134),WEEKLY_DATA!$A:$H,6,0)=0,"No Sales",Q134/(VLOOKUP(VALUE($A134),WEEKLY_DATA!$A:$H,6,0)/13))),"")</f>
        <v/>
      </c>
      <c r="X134" s="10">
        <f>IFERROR(VLOOKUP(VALUE(A134),WEEKLY_DATA!$A:$H,8,0),0)</f>
        <v>0</v>
      </c>
      <c r="Y134" s="13" t="str">
        <f t="shared" ref="Y134:Y197" si="4">IFERROR(
IF(J134="Discontinued","🔴 EOL",
IF(J134="Drop Ship","📦 Drop Ship",
IF(J134="New","🆕 New",
IF(W134="","—",
IF(W134&lt;2,"🔴 Critical",
IF(W134&lt;4,"🟡 Low",
IF(W134&gt;26,"🔵 Overstock","🟢 Healthy")
)))))),"")</f>
        <v>—</v>
      </c>
      <c r="Z134" s="11"/>
      <c r="AA134" s="11"/>
      <c r="AB134" s="11"/>
      <c r="AC134" s="11"/>
      <c r="AD134" s="11"/>
      <c r="AE134" s="11"/>
      <c r="AF134" s="61" t="s">
        <v>144</v>
      </c>
      <c r="AG134" s="61"/>
      <c r="AH134" s="62"/>
      <c r="AI134" s="62"/>
      <c r="AJ134" s="61" t="s">
        <v>144</v>
      </c>
      <c r="AK134" s="61" t="s">
        <v>144</v>
      </c>
      <c r="AL134" s="61"/>
      <c r="AM134" s="58" t="str" cm="2">
        <f t="array" ref="AM134">IFERROR(LOOKUP(2, 1/SEARCH({"Black","White","Grey","Blue","Silver","Brown","Green","Blue","Purple","Red","Pink","Yellow","Gold"}, G134), {"Black","White","Grey","Blue","Silver","Brown","Green","Blue","Purple","Red","Pink","Yellow","Gold"}), "")</f>
        <v/>
      </c>
      <c r="AN134" s="58" t="str">
        <f>IFERROR(LOOKUP(2, 1/SEARCH({"8GB","16GB","32GB","64GB"}, G134), {"8GB","16GB","32GB","64GB"}), "")</f>
        <v/>
      </c>
      <c r="AO134" s="58" t="str">
        <f>IFERROR(LOOKUP(2, 1/SEARCH({"1TB","2TB","128GB","512GB","256GB"}, G134), {"1TB","2TB","128GB","512GB","256GB"}), "")</f>
        <v/>
      </c>
      <c r="AP134" s="58"/>
      <c r="AQ134" s="58" t="str">
        <f>IFERROR(LOOKUP(2, 1/SEARCH({"16-Inch","15-Inch","15.6-Inch","18-Inch","15.3-Inch","13-Inch","13.4-Inch","13.8-Inch","14-Inch","17-Inch","45-Inch","27-Inch","34-Inch","32-Inch","21.5-Inch"}, G134), {"16-Inch","15-Inch","15.6-Inch","18-Inch","15.3-Inch","13-Inch","13.4-Inch","13.8-Inch","14-Inch","17-Inch","45-Inch","27-Inch","34-Inch","32-Inch","21.5-Inch"}), "")</f>
        <v/>
      </c>
      <c r="AR134" s="58"/>
      <c r="AS134" s="91"/>
      <c r="AT134" s="93"/>
      <c r="AU134" s="93"/>
      <c r="AV134" s="93"/>
      <c r="AW134" s="93"/>
    </row>
    <row r="135" spans="1:49" ht="15" customHeight="1" x14ac:dyDescent="0.25">
      <c r="A135" s="59"/>
      <c r="B135" s="12"/>
      <c r="C135" s="12"/>
      <c r="D135" s="60"/>
      <c r="E135" s="6"/>
      <c r="F135" s="6"/>
      <c r="G135" s="12"/>
      <c r="H135" s="12" t="str" cm="2">
        <f t="array" ref="H135">IFERROR(INDEX(BrandList!$A$2:$A$50,MATCH(TRUE,ISNUMBER(SEARCH(BrandList!$A$2:$A$50,G135)),0)),"")</f>
        <v/>
      </c>
      <c r="I135" s="12" t="str" cm="2">
        <f t="array" ref="I135">IFERROR(INDEX(BrandList!$B$2:$B$200,MATCH(TRUE,ISNUMBER(SEARCH(BrandList!$B$2:$B$200,G135)),0)),"")</f>
        <v/>
      </c>
      <c r="J135" s="12"/>
      <c r="K135" s="59"/>
      <c r="L135" s="86"/>
      <c r="M135" s="86"/>
      <c r="N135" s="86"/>
      <c r="O135" s="86"/>
      <c r="P135" s="7" t="str">
        <f t="shared" ref="P135:P198" si="5">IFERROR(IF(OR(E135="",F135="",F135=0),"",(F135-E135)/F135),"")</f>
        <v/>
      </c>
      <c r="Q135" s="8">
        <f>IFERROR(VLOOKUP(VALUE(A135),WEEKLY_DATA!$A:$H,2,0),0)</f>
        <v>0</v>
      </c>
      <c r="R135" s="8">
        <f>IFERROR(VLOOKUP(VALUE(A135),WEEKLY_DATA!$A:$H,3,0),0)</f>
        <v>0</v>
      </c>
      <c r="S135" s="8">
        <f>IFERROR(VLOOKUP(VALUE(A135),WEEKLY_DATA!$A:$H,4,0),0)</f>
        <v>0</v>
      </c>
      <c r="T135" s="51">
        <f>IFERROR(VLOOKUP(VALUE(A135),WEEKLY_DATA!$A:$H,5,0),0)</f>
        <v>0</v>
      </c>
      <c r="U135" s="51">
        <f>IFERROR(VLOOKUP(VALUE(A135),WEEKLY_DATA!$A:$H,6,0),0)</f>
        <v>0</v>
      </c>
      <c r="V135" s="51">
        <f>IFERROR(VLOOKUP(VALUE(A135),WEEKLY_DATA!$A:$H,7,0),0)</f>
        <v>0</v>
      </c>
      <c r="W135" s="9" t="str">
        <f>IFERROR(IF(OR(Q135="",Q135=0),"",IF(VLOOKUP(VALUE($A135),WEEKLY_DATA!$A:$H,6,0)=0,"No Sales",Q135/(VLOOKUP(VALUE($A135),WEEKLY_DATA!$A:$H,6,0)/13))),"")</f>
        <v/>
      </c>
      <c r="X135" s="10">
        <f>IFERROR(VLOOKUP(VALUE(A135),WEEKLY_DATA!$A:$H,8,0),0)</f>
        <v>0</v>
      </c>
      <c r="Y135" s="13" t="str">
        <f t="shared" si="4"/>
        <v>—</v>
      </c>
      <c r="Z135" s="11"/>
      <c r="AA135" s="11"/>
      <c r="AB135" s="11"/>
      <c r="AC135" s="11"/>
      <c r="AD135" s="11"/>
      <c r="AE135" s="11"/>
      <c r="AF135" s="61" t="s">
        <v>144</v>
      </c>
      <c r="AG135" s="61"/>
      <c r="AH135" s="62"/>
      <c r="AI135" s="62"/>
      <c r="AJ135" s="61" t="s">
        <v>144</v>
      </c>
      <c r="AK135" s="61" t="s">
        <v>144</v>
      </c>
      <c r="AL135" s="61"/>
      <c r="AM135" s="58" t="str" cm="2">
        <f t="array" ref="AM135">IFERROR(LOOKUP(2, 1/SEARCH({"Black","White","Grey","Blue","Silver","Brown","Green","Blue","Purple","Red","Pink","Yellow","Gold"}, G135), {"Black","White","Grey","Blue","Silver","Brown","Green","Blue","Purple","Red","Pink","Yellow","Gold"}), "")</f>
        <v/>
      </c>
      <c r="AN135" s="58" t="str">
        <f>IFERROR(LOOKUP(2, 1/SEARCH({"8GB","16GB","32GB","64GB"}, G135), {"8GB","16GB","32GB","64GB"}), "")</f>
        <v/>
      </c>
      <c r="AO135" s="58" t="str">
        <f>IFERROR(LOOKUP(2, 1/SEARCH({"1TB","2TB","128GB","512GB","256GB"}, G135), {"1TB","2TB","128GB","512GB","256GB"}), "")</f>
        <v/>
      </c>
      <c r="AP135" s="58"/>
      <c r="AQ135" s="58" t="str">
        <f>IFERROR(LOOKUP(2, 1/SEARCH({"16-Inch","15-Inch","15.6-Inch","18-Inch","15.3-Inch","13-Inch","13.4-Inch","13.8-Inch","14-Inch","17-Inch","45-Inch","27-Inch","34-Inch","32-Inch","21.5-Inch"}, G135), {"16-Inch","15-Inch","15.6-Inch","18-Inch","15.3-Inch","13-Inch","13.4-Inch","13.8-Inch","14-Inch","17-Inch","45-Inch","27-Inch","34-Inch","32-Inch","21.5-Inch"}), "")</f>
        <v/>
      </c>
      <c r="AR135" s="58"/>
      <c r="AS135" s="91"/>
      <c r="AT135" s="93"/>
      <c r="AU135" s="93"/>
      <c r="AV135" s="93"/>
      <c r="AW135" s="93"/>
    </row>
    <row r="136" spans="1:49" ht="15" customHeight="1" x14ac:dyDescent="0.25">
      <c r="A136" s="59"/>
      <c r="B136" s="12"/>
      <c r="C136" s="12"/>
      <c r="D136" s="60"/>
      <c r="E136" s="6"/>
      <c r="F136" s="6"/>
      <c r="G136" s="12"/>
      <c r="H136" s="12" t="str" cm="2">
        <f t="array" ref="H136">IFERROR(INDEX(BrandList!$A$2:$A$50,MATCH(TRUE,ISNUMBER(SEARCH(BrandList!$A$2:$A$50,G136)),0)),"")</f>
        <v/>
      </c>
      <c r="I136" s="12" t="str" cm="2">
        <f t="array" ref="I136">IFERROR(INDEX(BrandList!$B$2:$B$200,MATCH(TRUE,ISNUMBER(SEARCH(BrandList!$B$2:$B$200,G136)),0)),"")</f>
        <v/>
      </c>
      <c r="J136" s="12"/>
      <c r="K136" s="12"/>
      <c r="L136" s="60"/>
      <c r="M136" s="60"/>
      <c r="N136" s="60"/>
      <c r="O136" s="60"/>
      <c r="P136" s="7" t="str">
        <f t="shared" si="5"/>
        <v/>
      </c>
      <c r="Q136" s="8">
        <f>IFERROR(VLOOKUP(VALUE(A136),WEEKLY_DATA!$A:$H,2,0),0)</f>
        <v>0</v>
      </c>
      <c r="R136" s="8">
        <f>IFERROR(VLOOKUP(VALUE(A136),WEEKLY_DATA!$A:$H,3,0),0)</f>
        <v>0</v>
      </c>
      <c r="S136" s="8">
        <f>IFERROR(VLOOKUP(VALUE(A136),WEEKLY_DATA!$A:$H,4,0),0)</f>
        <v>0</v>
      </c>
      <c r="T136" s="51">
        <f>IFERROR(VLOOKUP(VALUE(A136),WEEKLY_DATA!$A:$H,5,0),0)</f>
        <v>0</v>
      </c>
      <c r="U136" s="51">
        <f>IFERROR(VLOOKUP(VALUE(A136),WEEKLY_DATA!$A:$H,6,0),0)</f>
        <v>0</v>
      </c>
      <c r="V136" s="51">
        <f>IFERROR(VLOOKUP(VALUE(A136),WEEKLY_DATA!$A:$H,7,0),0)</f>
        <v>0</v>
      </c>
      <c r="W136" s="9" t="str">
        <f>IFERROR(IF(OR(Q136="",Q136=0),"",IF(VLOOKUP(VALUE($A136),WEEKLY_DATA!$A:$H,6,0)=0,"No Sales",Q136/(VLOOKUP(VALUE($A136),WEEKLY_DATA!$A:$H,6,0)/13))),"")</f>
        <v/>
      </c>
      <c r="X136" s="10">
        <f>IFERROR(VLOOKUP(VALUE(A136),WEEKLY_DATA!$A:$H,8,0),0)</f>
        <v>0</v>
      </c>
      <c r="Y136" s="13" t="str">
        <f t="shared" si="4"/>
        <v>—</v>
      </c>
      <c r="Z136" s="11"/>
      <c r="AA136" s="11"/>
      <c r="AB136" s="11"/>
      <c r="AC136" s="11"/>
      <c r="AD136" s="11"/>
      <c r="AE136" s="11"/>
      <c r="AF136" s="61" t="s">
        <v>144</v>
      </c>
      <c r="AG136" s="61"/>
      <c r="AH136" s="62"/>
      <c r="AI136" s="62"/>
      <c r="AJ136" s="61" t="s">
        <v>144</v>
      </c>
      <c r="AK136" s="61" t="s">
        <v>144</v>
      </c>
      <c r="AL136" s="61"/>
      <c r="AM136" s="58" t="str" cm="2">
        <f t="array" ref="AM136">IFERROR(LOOKUP(2, 1/SEARCH({"Black","White","Grey","Blue","Silver","Brown","Green","Blue","Purple","Red","Pink","Yellow","Gold"}, G136), {"Black","White","Grey","Blue","Silver","Brown","Green","Blue","Purple","Red","Pink","Yellow","Gold"}), "")</f>
        <v/>
      </c>
      <c r="AN136" s="58" t="str">
        <f>IFERROR(LOOKUP(2, 1/SEARCH({"8GB","16GB","32GB","64GB"}, G136), {"8GB","16GB","32GB","64GB"}), "")</f>
        <v/>
      </c>
      <c r="AO136" s="58" t="str">
        <f>IFERROR(LOOKUP(2, 1/SEARCH({"1TB","2TB","128GB","512GB","256GB"}, G136), {"1TB","2TB","128GB","512GB","256GB"}), "")</f>
        <v/>
      </c>
      <c r="AP136" s="58"/>
      <c r="AQ136" s="58" t="str">
        <f>IFERROR(LOOKUP(2, 1/SEARCH({"16-Inch","15-Inch","15.6-Inch","18-Inch","15.3-Inch","13-Inch","13.4-Inch","13.8-Inch","14-Inch","17-Inch","45-Inch","27-Inch","34-Inch","32-Inch","21.5-Inch"}, G136), {"16-Inch","15-Inch","15.6-Inch","18-Inch","15.3-Inch","13-Inch","13.4-Inch","13.8-Inch","14-Inch","17-Inch","45-Inch","27-Inch","34-Inch","32-Inch","21.5-Inch"}), "")</f>
        <v/>
      </c>
      <c r="AR136" s="58"/>
      <c r="AS136" s="91"/>
      <c r="AT136" s="93"/>
      <c r="AU136" s="93"/>
      <c r="AV136" s="93"/>
      <c r="AW136" s="93"/>
    </row>
    <row r="137" spans="1:49" ht="15" customHeight="1" x14ac:dyDescent="0.25">
      <c r="A137" s="59"/>
      <c r="B137" s="12"/>
      <c r="C137" s="12"/>
      <c r="D137" s="60"/>
      <c r="E137" s="6"/>
      <c r="F137" s="6"/>
      <c r="G137" s="12"/>
      <c r="H137" s="12" t="str" cm="2">
        <f t="array" ref="H137">IFERROR(INDEX(BrandList!$A$2:$A$50,MATCH(TRUE,ISNUMBER(SEARCH(BrandList!$A$2:$A$50,G137)),0)),"")</f>
        <v/>
      </c>
      <c r="I137" s="12" t="str" cm="2">
        <f t="array" ref="I137">IFERROR(INDEX(BrandList!$B$2:$B$200,MATCH(TRUE,ISNUMBER(SEARCH(BrandList!$B$2:$B$200,G137)),0)),"")</f>
        <v/>
      </c>
      <c r="J137" s="12"/>
      <c r="K137" s="12"/>
      <c r="L137" s="60"/>
      <c r="M137" s="60"/>
      <c r="N137" s="60"/>
      <c r="O137" s="60"/>
      <c r="P137" s="7" t="str">
        <f t="shared" si="5"/>
        <v/>
      </c>
      <c r="Q137" s="8">
        <f>IFERROR(VLOOKUP(VALUE(A137),WEEKLY_DATA!$A:$H,2,0),0)</f>
        <v>0</v>
      </c>
      <c r="R137" s="8">
        <f>IFERROR(VLOOKUP(VALUE(A137),WEEKLY_DATA!$A:$H,3,0),0)</f>
        <v>0</v>
      </c>
      <c r="S137" s="8">
        <f>IFERROR(VLOOKUP(VALUE(A137),WEEKLY_DATA!$A:$H,4,0),0)</f>
        <v>0</v>
      </c>
      <c r="T137" s="51">
        <f>IFERROR(VLOOKUP(VALUE(A137),WEEKLY_DATA!$A:$H,5,0),0)</f>
        <v>0</v>
      </c>
      <c r="U137" s="51">
        <f>IFERROR(VLOOKUP(VALUE(A137),WEEKLY_DATA!$A:$H,6,0),0)</f>
        <v>0</v>
      </c>
      <c r="V137" s="51">
        <f>IFERROR(VLOOKUP(VALUE(A137),WEEKLY_DATA!$A:$H,7,0),0)</f>
        <v>0</v>
      </c>
      <c r="W137" s="9" t="str">
        <f>IFERROR(IF(OR(Q137="",Q137=0),"",IF(VLOOKUP(VALUE($A137),WEEKLY_DATA!$A:$H,6,0)=0,"No Sales",Q137/(VLOOKUP(VALUE($A137),WEEKLY_DATA!$A:$H,6,0)/13))),"")</f>
        <v/>
      </c>
      <c r="X137" s="10">
        <f>IFERROR(VLOOKUP(VALUE(A137),WEEKLY_DATA!$A:$H,8,0),0)</f>
        <v>0</v>
      </c>
      <c r="Y137" s="13" t="str">
        <f t="shared" si="4"/>
        <v>—</v>
      </c>
      <c r="Z137" s="11"/>
      <c r="AA137" s="11"/>
      <c r="AB137" s="11"/>
      <c r="AC137" s="11"/>
      <c r="AD137" s="11"/>
      <c r="AE137" s="11"/>
      <c r="AF137" s="61" t="s">
        <v>144</v>
      </c>
      <c r="AG137" s="61"/>
      <c r="AH137" s="62"/>
      <c r="AI137" s="62"/>
      <c r="AJ137" s="61" t="s">
        <v>144</v>
      </c>
      <c r="AK137" s="61" t="s">
        <v>144</v>
      </c>
      <c r="AL137" s="61"/>
      <c r="AM137" s="58" t="str" cm="2">
        <f t="array" ref="AM137">IFERROR(LOOKUP(2, 1/SEARCH({"Black","White","Grey","Blue","Silver","Brown","Green","Blue","Purple","Red","Pink","Yellow","Gold"}, G137), {"Black","White","Grey","Blue","Silver","Brown","Green","Blue","Purple","Red","Pink","Yellow","Gold"}), "")</f>
        <v/>
      </c>
      <c r="AN137" s="58" t="str">
        <f>IFERROR(LOOKUP(2, 1/SEARCH({"8GB","16GB","32GB","64GB"}, G137), {"8GB","16GB","32GB","64GB"}), "")</f>
        <v/>
      </c>
      <c r="AO137" s="58" t="str">
        <f>IFERROR(LOOKUP(2, 1/SEARCH({"1TB","2TB","128GB","512GB","256GB"}, G137), {"1TB","2TB","128GB","512GB","256GB"}), "")</f>
        <v/>
      </c>
      <c r="AP137" s="58"/>
      <c r="AQ137" s="58" t="str">
        <f>IFERROR(LOOKUP(2, 1/SEARCH({"16-Inch","15-Inch","15.6-Inch","18-Inch","15.3-Inch","13-Inch","13.4-Inch","13.8-Inch","14-Inch","17-Inch","45-Inch","27-Inch","34-Inch","32-Inch","21.5-Inch"}, G137), {"16-Inch","15-Inch","15.6-Inch","18-Inch","15.3-Inch","13-Inch","13.4-Inch","13.8-Inch","14-Inch","17-Inch","45-Inch","27-Inch","34-Inch","32-Inch","21.5-Inch"}), "")</f>
        <v/>
      </c>
      <c r="AR137" s="58"/>
      <c r="AS137" s="91"/>
      <c r="AT137" s="93"/>
      <c r="AU137" s="93"/>
      <c r="AV137" s="93"/>
      <c r="AW137" s="93"/>
    </row>
    <row r="138" spans="1:49" ht="15" customHeight="1" x14ac:dyDescent="0.25">
      <c r="A138" s="59"/>
      <c r="B138" s="12"/>
      <c r="C138" s="12"/>
      <c r="D138" s="60"/>
      <c r="E138" s="6"/>
      <c r="F138" s="6"/>
      <c r="G138" s="12"/>
      <c r="H138" s="12" t="str" cm="2">
        <f t="array" ref="H138">IFERROR(INDEX(BrandList!$A$2:$A$50,MATCH(TRUE,ISNUMBER(SEARCH(BrandList!$A$2:$A$50,G138)),0)),"")</f>
        <v/>
      </c>
      <c r="I138" s="12" t="str" cm="2">
        <f t="array" ref="I138">IFERROR(INDEX(BrandList!$B$2:$B$200,MATCH(TRUE,ISNUMBER(SEARCH(BrandList!$B$2:$B$200,G138)),0)),"")</f>
        <v/>
      </c>
      <c r="J138" s="12"/>
      <c r="K138" s="59"/>
      <c r="L138" s="86"/>
      <c r="M138" s="86"/>
      <c r="N138" s="86"/>
      <c r="O138" s="86"/>
      <c r="P138" s="7" t="str">
        <f t="shared" si="5"/>
        <v/>
      </c>
      <c r="Q138" s="8">
        <f>IFERROR(VLOOKUP(VALUE(A138),WEEKLY_DATA!$A:$H,2,0),0)</f>
        <v>0</v>
      </c>
      <c r="R138" s="8">
        <f>IFERROR(VLOOKUP(VALUE(A138),WEEKLY_DATA!$A:$H,3,0),0)</f>
        <v>0</v>
      </c>
      <c r="S138" s="8">
        <f>IFERROR(VLOOKUP(VALUE(A138),WEEKLY_DATA!$A:$H,4,0),0)</f>
        <v>0</v>
      </c>
      <c r="T138" s="51">
        <f>IFERROR(VLOOKUP(VALUE(A138),WEEKLY_DATA!$A:$H,5,0),0)</f>
        <v>0</v>
      </c>
      <c r="U138" s="51">
        <f>IFERROR(VLOOKUP(VALUE(A138),WEEKLY_DATA!$A:$H,6,0),0)</f>
        <v>0</v>
      </c>
      <c r="V138" s="51">
        <f>IFERROR(VLOOKUP(VALUE(A138),WEEKLY_DATA!$A:$H,7,0),0)</f>
        <v>0</v>
      </c>
      <c r="W138" s="9" t="str">
        <f>IFERROR(IF(OR(Q138="",Q138=0),"",IF(VLOOKUP(VALUE($A138),WEEKLY_DATA!$A:$H,6,0)=0,"No Sales",Q138/(VLOOKUP(VALUE($A138),WEEKLY_DATA!$A:$H,6,0)/13))),"")</f>
        <v/>
      </c>
      <c r="X138" s="10">
        <f>IFERROR(VLOOKUP(VALUE(A138),WEEKLY_DATA!$A:$H,8,0),0)</f>
        <v>0</v>
      </c>
      <c r="Y138" s="13" t="str">
        <f t="shared" si="4"/>
        <v>—</v>
      </c>
      <c r="Z138" s="11"/>
      <c r="AA138" s="11"/>
      <c r="AB138" s="11"/>
      <c r="AC138" s="11"/>
      <c r="AD138" s="11"/>
      <c r="AE138" s="11"/>
      <c r="AF138" s="61" t="s">
        <v>144</v>
      </c>
      <c r="AG138" s="61"/>
      <c r="AH138" s="62" t="s">
        <v>144</v>
      </c>
      <c r="AI138" s="62"/>
      <c r="AJ138" s="61" t="s">
        <v>144</v>
      </c>
      <c r="AK138" s="61" t="s">
        <v>144</v>
      </c>
      <c r="AL138" s="61"/>
      <c r="AM138" s="58" t="str" cm="2">
        <f t="array" ref="AM138">IFERROR(LOOKUP(2, 1/SEARCH({"Black","White","Grey","Blue","Silver","Brown","Green","Blue","Purple","Red","Pink","Yellow","Gold"}, G138), {"Black","White","Grey","Blue","Silver","Brown","Green","Blue","Purple","Red","Pink","Yellow","Gold"}), "")</f>
        <v/>
      </c>
      <c r="AN138" s="58" t="str">
        <f>IFERROR(LOOKUP(2, 1/SEARCH({"8GB","16GB","32GB","64GB"}, G138), {"8GB","16GB","32GB","64GB"}), "")</f>
        <v/>
      </c>
      <c r="AO138" s="58" t="str">
        <f>IFERROR(LOOKUP(2, 1/SEARCH({"1TB","2TB","128GB","512GB","256GB"}, G138), {"1TB","2TB","128GB","512GB","256GB"}), "")</f>
        <v/>
      </c>
      <c r="AP138" s="58"/>
      <c r="AQ138" s="58" t="str">
        <f>IFERROR(LOOKUP(2, 1/SEARCH({"16-Inch","15-Inch","15.6-Inch","18-Inch","15.3-Inch","13-Inch","13.4-Inch","13.8-Inch","14-Inch","17-Inch","45-Inch","27-Inch","34-Inch","32-Inch","21.5-Inch"}, G138), {"16-Inch","15-Inch","15.6-Inch","18-Inch","15.3-Inch","13-Inch","13.4-Inch","13.8-Inch","14-Inch","17-Inch","45-Inch","27-Inch","34-Inch","32-Inch","21.5-Inch"}), "")</f>
        <v/>
      </c>
      <c r="AR138" s="58"/>
      <c r="AS138" s="91"/>
      <c r="AT138" s="93"/>
      <c r="AU138" s="93"/>
      <c r="AV138" s="93"/>
      <c r="AW138" s="93"/>
    </row>
    <row r="139" spans="1:49" ht="15" customHeight="1" x14ac:dyDescent="0.25">
      <c r="A139" s="59"/>
      <c r="B139" s="12"/>
      <c r="C139" s="12"/>
      <c r="D139" s="60"/>
      <c r="E139" s="6"/>
      <c r="F139" s="6"/>
      <c r="G139" s="12"/>
      <c r="H139" s="12" t="str" cm="2">
        <f t="array" ref="H139">IFERROR(INDEX(BrandList!$A$2:$A$50,MATCH(TRUE,ISNUMBER(SEARCH(BrandList!$A$2:$A$50,G139)),0)),"")</f>
        <v/>
      </c>
      <c r="I139" s="12" t="str" cm="2">
        <f t="array" ref="I139">IFERROR(INDEX(BrandList!$B$2:$B$200,MATCH(TRUE,ISNUMBER(SEARCH(BrandList!$B$2:$B$200,G139)),0)),"")</f>
        <v/>
      </c>
      <c r="J139" s="12"/>
      <c r="K139" s="59"/>
      <c r="L139" s="86"/>
      <c r="M139" s="86"/>
      <c r="N139" s="86"/>
      <c r="O139" s="86"/>
      <c r="P139" s="7" t="str">
        <f t="shared" si="5"/>
        <v/>
      </c>
      <c r="Q139" s="8">
        <f>IFERROR(VLOOKUP(VALUE(A139),WEEKLY_DATA!$A:$H,2,0),0)</f>
        <v>0</v>
      </c>
      <c r="R139" s="8">
        <f>IFERROR(VLOOKUP(VALUE(A139),WEEKLY_DATA!$A:$H,3,0),0)</f>
        <v>0</v>
      </c>
      <c r="S139" s="8">
        <f>IFERROR(VLOOKUP(VALUE(A139),WEEKLY_DATA!$A:$H,4,0),0)</f>
        <v>0</v>
      </c>
      <c r="T139" s="51">
        <f>IFERROR(VLOOKUP(VALUE(A139),WEEKLY_DATA!$A:$H,5,0),0)</f>
        <v>0</v>
      </c>
      <c r="U139" s="51">
        <f>IFERROR(VLOOKUP(VALUE(A139),WEEKLY_DATA!$A:$H,6,0),0)</f>
        <v>0</v>
      </c>
      <c r="V139" s="51">
        <f>IFERROR(VLOOKUP(VALUE(A139),WEEKLY_DATA!$A:$H,7,0),0)</f>
        <v>0</v>
      </c>
      <c r="W139" s="9" t="str">
        <f>IFERROR(IF(OR(Q139="",Q139=0),"",IF(VLOOKUP(VALUE($A139),WEEKLY_DATA!$A:$H,6,0)=0,"No Sales",Q139/(VLOOKUP(VALUE($A139),WEEKLY_DATA!$A:$H,6,0)/13))),"")</f>
        <v/>
      </c>
      <c r="X139" s="10">
        <f>IFERROR(VLOOKUP(VALUE(A139),WEEKLY_DATA!$A:$H,8,0),0)</f>
        <v>0</v>
      </c>
      <c r="Y139" s="13" t="str">
        <f t="shared" si="4"/>
        <v>—</v>
      </c>
      <c r="Z139" s="11"/>
      <c r="AA139" s="11"/>
      <c r="AB139" s="11"/>
      <c r="AC139" s="11"/>
      <c r="AD139" s="11"/>
      <c r="AE139" s="11"/>
      <c r="AF139" s="61" t="s">
        <v>144</v>
      </c>
      <c r="AG139" s="61"/>
      <c r="AH139" s="62" t="s">
        <v>144</v>
      </c>
      <c r="AI139" s="62"/>
      <c r="AJ139" s="61" t="s">
        <v>144</v>
      </c>
      <c r="AK139" s="61" t="s">
        <v>144</v>
      </c>
      <c r="AL139" s="61"/>
      <c r="AM139" s="58" t="str" cm="2">
        <f t="array" ref="AM139">IFERROR(LOOKUP(2, 1/SEARCH({"Black","White","Grey","Blue","Silver","Brown","Green","Blue","Purple","Red","Pink","Yellow","Gold"}, G139), {"Black","White","Grey","Blue","Silver","Brown","Green","Blue","Purple","Red","Pink","Yellow","Gold"}), "")</f>
        <v/>
      </c>
      <c r="AN139" s="58" t="str">
        <f>IFERROR(LOOKUP(2, 1/SEARCH({"8GB","16GB","32GB","64GB"}, G139), {"8GB","16GB","32GB","64GB"}), "")</f>
        <v/>
      </c>
      <c r="AO139" s="58" t="str">
        <f>IFERROR(LOOKUP(2, 1/SEARCH({"1TB","2TB","128GB","512GB","256GB"}, G139), {"1TB","2TB","128GB","512GB","256GB"}), "")</f>
        <v/>
      </c>
      <c r="AP139" s="58"/>
      <c r="AQ139" s="58" t="str">
        <f>IFERROR(LOOKUP(2, 1/SEARCH({"16-Inch","15-Inch","15.6-Inch","18-Inch","15.3-Inch","13-Inch","13.4-Inch","13.8-Inch","14-Inch","17-Inch","45-Inch","27-Inch","34-Inch","32-Inch","21.5-Inch"}, G139), {"16-Inch","15-Inch","15.6-Inch","18-Inch","15.3-Inch","13-Inch","13.4-Inch","13.8-Inch","14-Inch","17-Inch","45-Inch","27-Inch","34-Inch","32-Inch","21.5-Inch"}), "")</f>
        <v/>
      </c>
      <c r="AR139" s="58"/>
      <c r="AS139" s="91"/>
      <c r="AT139" s="93"/>
      <c r="AU139" s="93"/>
      <c r="AV139" s="93"/>
      <c r="AW139" s="93"/>
    </row>
    <row r="140" spans="1:49" x14ac:dyDescent="0.25">
      <c r="A140" s="59"/>
      <c r="B140" s="12"/>
      <c r="C140" s="12"/>
      <c r="D140" s="60"/>
      <c r="E140" s="6"/>
      <c r="F140" s="6"/>
      <c r="G140" s="12"/>
      <c r="H140" s="12" t="str" cm="2">
        <f t="array" ref="H140">IFERROR(INDEX(BrandList!$A$2:$A$50,MATCH(TRUE,ISNUMBER(SEARCH(BrandList!$A$2:$A$50,G140)),0)),"")</f>
        <v/>
      </c>
      <c r="I140" s="12" t="str" cm="2">
        <f t="array" ref="I140">IFERROR(INDEX(BrandList!$B$2:$B$200,MATCH(TRUE,ISNUMBER(SEARCH(BrandList!$B$2:$B$200,G140)),0)),"")</f>
        <v/>
      </c>
      <c r="J140" s="12"/>
      <c r="K140" s="59"/>
      <c r="L140" s="86"/>
      <c r="M140" s="86"/>
      <c r="N140" s="86"/>
      <c r="O140" s="86"/>
      <c r="P140" s="7" t="str">
        <f t="shared" si="5"/>
        <v/>
      </c>
      <c r="Q140" s="8">
        <f>IFERROR(VLOOKUP(VALUE(A140),WEEKLY_DATA!$A:$H,2,0),0)</f>
        <v>0</v>
      </c>
      <c r="R140" s="8">
        <f>IFERROR(VLOOKUP(VALUE(A140),WEEKLY_DATA!$A:$H,3,0),0)</f>
        <v>0</v>
      </c>
      <c r="S140" s="8">
        <f>IFERROR(VLOOKUP(VALUE(A140),WEEKLY_DATA!$A:$H,4,0),0)</f>
        <v>0</v>
      </c>
      <c r="T140" s="51">
        <f>IFERROR(VLOOKUP(VALUE(A140),WEEKLY_DATA!$A:$H,5,0),0)</f>
        <v>0</v>
      </c>
      <c r="U140" s="51">
        <f>IFERROR(VLOOKUP(VALUE(A140),WEEKLY_DATA!$A:$H,6,0),0)</f>
        <v>0</v>
      </c>
      <c r="V140" s="51">
        <f>IFERROR(VLOOKUP(VALUE(A140),WEEKLY_DATA!$A:$H,7,0),0)</f>
        <v>0</v>
      </c>
      <c r="W140" s="9" t="str">
        <f>IFERROR(IF(OR(Q140="",Q140=0),"",IF(VLOOKUP(VALUE($A140),WEEKLY_DATA!$A:$H,6,0)=0,"No Sales",Q140/(VLOOKUP(VALUE($A140),WEEKLY_DATA!$A:$H,6,0)/13))),"")</f>
        <v/>
      </c>
      <c r="X140" s="10">
        <f>IFERROR(VLOOKUP(VALUE(A140),WEEKLY_DATA!$A:$H,8,0),0)</f>
        <v>0</v>
      </c>
      <c r="Y140" s="13" t="str">
        <f t="shared" si="4"/>
        <v>—</v>
      </c>
      <c r="Z140" s="11"/>
      <c r="AA140" s="11"/>
      <c r="AB140" s="11"/>
      <c r="AC140" s="11"/>
      <c r="AD140" s="11"/>
      <c r="AE140" s="11"/>
      <c r="AF140" s="61" t="s">
        <v>144</v>
      </c>
      <c r="AG140" s="61"/>
      <c r="AH140" s="62" t="s">
        <v>144</v>
      </c>
      <c r="AI140" s="62"/>
      <c r="AJ140" s="61" t="s">
        <v>144</v>
      </c>
      <c r="AK140" s="61" t="s">
        <v>144</v>
      </c>
      <c r="AL140" s="61"/>
      <c r="AM140" s="58" t="str" cm="2">
        <f t="array" ref="AM140">IFERROR(LOOKUP(2, 1/SEARCH({"Black","White","Grey","Blue","Silver","Brown","Green","Blue","Purple","Red","Pink","Yellow","Gold"}, G140), {"Black","White","Grey","Blue","Silver","Brown","Green","Blue","Purple","Red","Pink","Yellow","Gold"}), "")</f>
        <v/>
      </c>
      <c r="AN140" s="58" t="str">
        <f>IFERROR(LOOKUP(2, 1/SEARCH({"8GB","16GB","32GB","64GB"}, G140), {"8GB","16GB","32GB","64GB"}), "")</f>
        <v/>
      </c>
      <c r="AO140" s="58" t="str">
        <f>IFERROR(LOOKUP(2, 1/SEARCH({"1TB","2TB","128GB","512GB","256GB"}, G140), {"1TB","2TB","128GB","512GB","256GB"}), "")</f>
        <v/>
      </c>
      <c r="AP140" s="58"/>
      <c r="AQ140" s="58" t="str">
        <f>IFERROR(LOOKUP(2, 1/SEARCH({"16-Inch","15-Inch","15.6-Inch","18-Inch","15.3-Inch","13-Inch","13.4-Inch","13.8-Inch","14-Inch","17-Inch","45-Inch","27-Inch","34-Inch","32-Inch","21.5-Inch"}, G140), {"16-Inch","15-Inch","15.6-Inch","18-Inch","15.3-Inch","13-Inch","13.4-Inch","13.8-Inch","14-Inch","17-Inch","45-Inch","27-Inch","34-Inch","32-Inch","21.5-Inch"}), "")</f>
        <v/>
      </c>
      <c r="AR140" s="58"/>
      <c r="AS140" s="91"/>
      <c r="AT140" s="93"/>
      <c r="AU140" s="93"/>
      <c r="AV140" s="93"/>
      <c r="AW140" s="93"/>
    </row>
    <row r="141" spans="1:49" ht="15" customHeight="1" x14ac:dyDescent="0.25">
      <c r="A141" s="59"/>
      <c r="B141" s="12"/>
      <c r="C141" s="12"/>
      <c r="D141" s="60"/>
      <c r="E141" s="6"/>
      <c r="F141" s="6"/>
      <c r="G141" s="12"/>
      <c r="H141" s="12" t="str" cm="2">
        <f t="array" ref="H141">IFERROR(INDEX(BrandList!$A$2:$A$50,MATCH(TRUE,ISNUMBER(SEARCH(BrandList!$A$2:$A$50,G141)),0)),"")</f>
        <v/>
      </c>
      <c r="I141" s="12" t="str" cm="2">
        <f t="array" ref="I141">IFERROR(INDEX(BrandList!$B$2:$B$200,MATCH(TRUE,ISNUMBER(SEARCH(BrandList!$B$2:$B$200,G141)),0)),"")</f>
        <v/>
      </c>
      <c r="J141" s="12"/>
      <c r="K141" s="59"/>
      <c r="L141" s="86"/>
      <c r="M141" s="86"/>
      <c r="N141" s="86"/>
      <c r="O141" s="86"/>
      <c r="P141" s="7" t="str">
        <f t="shared" si="5"/>
        <v/>
      </c>
      <c r="Q141" s="8">
        <f>IFERROR(VLOOKUP(VALUE(A141),WEEKLY_DATA!$A:$H,2,0),0)</f>
        <v>0</v>
      </c>
      <c r="R141" s="8">
        <f>IFERROR(VLOOKUP(VALUE(A141),WEEKLY_DATA!$A:$H,3,0),0)</f>
        <v>0</v>
      </c>
      <c r="S141" s="8">
        <f>IFERROR(VLOOKUP(VALUE(A141),WEEKLY_DATA!$A:$H,4,0),0)</f>
        <v>0</v>
      </c>
      <c r="T141" s="51">
        <f>IFERROR(VLOOKUP(VALUE(A141),WEEKLY_DATA!$A:$H,5,0),0)</f>
        <v>0</v>
      </c>
      <c r="U141" s="51">
        <f>IFERROR(VLOOKUP(VALUE(A141),WEEKLY_DATA!$A:$H,6,0),0)</f>
        <v>0</v>
      </c>
      <c r="V141" s="51">
        <f>IFERROR(VLOOKUP(VALUE(A141),WEEKLY_DATA!$A:$H,7,0),0)</f>
        <v>0</v>
      </c>
      <c r="W141" s="9" t="str">
        <f>IFERROR(IF(OR(Q141="",Q141=0),"",IF(VLOOKUP(VALUE($A141),WEEKLY_DATA!$A:$H,6,0)=0,"No Sales",Q141/(VLOOKUP(VALUE($A141),WEEKLY_DATA!$A:$H,6,0)/13))),"")</f>
        <v/>
      </c>
      <c r="X141" s="10">
        <f>IFERROR(VLOOKUP(VALUE(A141),WEEKLY_DATA!$A:$H,8,0),0)</f>
        <v>0</v>
      </c>
      <c r="Y141" s="13" t="str">
        <f t="shared" si="4"/>
        <v>—</v>
      </c>
      <c r="Z141" s="11"/>
      <c r="AA141" s="11"/>
      <c r="AB141" s="11"/>
      <c r="AC141" s="11"/>
      <c r="AD141" s="11"/>
      <c r="AE141" s="11"/>
      <c r="AF141" s="61"/>
      <c r="AG141" s="61"/>
      <c r="AH141" s="62"/>
      <c r="AI141" s="62"/>
      <c r="AJ141" s="61"/>
      <c r="AK141" s="61"/>
      <c r="AL141" s="61"/>
      <c r="AM141" s="58" t="str" cm="2">
        <f t="array" ref="AM141">IFERROR(LOOKUP(2, 1/SEARCH({"Black","White","Grey","Blue","Silver","Brown","Green","Blue","Purple","Red","Pink","Yellow","Gold"}, G141), {"Black","White","Grey","Blue","Silver","Brown","Green","Blue","Purple","Red","Pink","Yellow","Gold"}), "")</f>
        <v/>
      </c>
      <c r="AN141" s="58" t="str">
        <f>IFERROR(LOOKUP(2, 1/SEARCH({"8GB","16GB","32GB","64GB"}, G141), {"8GB","16GB","32GB","64GB"}), "")</f>
        <v/>
      </c>
      <c r="AO141" s="58" t="str">
        <f>IFERROR(LOOKUP(2, 1/SEARCH({"1TB","2TB","128GB","512GB","256GB"}, G141), {"1TB","2TB","128GB","512GB","256GB"}), "")</f>
        <v/>
      </c>
      <c r="AP141" s="58"/>
      <c r="AQ141" s="58" t="str">
        <f>IFERROR(LOOKUP(2, 1/SEARCH({"16-Inch","15-Inch","15.6-Inch","18-Inch","15.3-Inch","13-Inch","13.4-Inch","13.8-Inch","14-Inch","17-Inch","45-Inch","27-Inch","34-Inch","32-Inch","21.5-Inch"}, G141), {"16-Inch","15-Inch","15.6-Inch","18-Inch","15.3-Inch","13-Inch","13.4-Inch","13.8-Inch","14-Inch","17-Inch","45-Inch","27-Inch","34-Inch","32-Inch","21.5-Inch"}), "")</f>
        <v/>
      </c>
      <c r="AR141" s="58"/>
      <c r="AS141" s="91"/>
      <c r="AT141" s="93"/>
      <c r="AU141" s="93"/>
      <c r="AV141" s="93"/>
      <c r="AW141" s="93"/>
    </row>
    <row r="142" spans="1:49" ht="15" customHeight="1" x14ac:dyDescent="0.25">
      <c r="A142" s="59"/>
      <c r="B142" s="12"/>
      <c r="C142" s="12"/>
      <c r="D142" s="60"/>
      <c r="E142" s="6"/>
      <c r="F142" s="6"/>
      <c r="G142" s="12"/>
      <c r="H142" s="12" t="str" cm="2">
        <f t="array" ref="H142">IFERROR(INDEX(BrandList!$A$2:$A$50,MATCH(TRUE,ISNUMBER(SEARCH(BrandList!$A$2:$A$50,G142)),0)),"")</f>
        <v/>
      </c>
      <c r="I142" s="12" t="str" cm="2">
        <f t="array" ref="I142">IFERROR(INDEX(BrandList!$B$2:$B$200,MATCH(TRUE,ISNUMBER(SEARCH(BrandList!$B$2:$B$200,G142)),0)),"")</f>
        <v/>
      </c>
      <c r="J142" s="12"/>
      <c r="K142" s="59"/>
      <c r="L142" s="86"/>
      <c r="M142" s="86"/>
      <c r="N142" s="86"/>
      <c r="O142" s="86"/>
      <c r="P142" s="7" t="str">
        <f t="shared" si="5"/>
        <v/>
      </c>
      <c r="Q142" s="8">
        <f>IFERROR(VLOOKUP(VALUE(A142),WEEKLY_DATA!$A:$H,2,0),0)</f>
        <v>0</v>
      </c>
      <c r="R142" s="8">
        <f>IFERROR(VLOOKUP(VALUE(A142),WEEKLY_DATA!$A:$H,3,0),0)</f>
        <v>0</v>
      </c>
      <c r="S142" s="8">
        <f>IFERROR(VLOOKUP(VALUE(A142),WEEKLY_DATA!$A:$H,4,0),0)</f>
        <v>0</v>
      </c>
      <c r="T142" s="51">
        <f>IFERROR(VLOOKUP(VALUE(A142),WEEKLY_DATA!$A:$H,5,0),0)</f>
        <v>0</v>
      </c>
      <c r="U142" s="51">
        <f>IFERROR(VLOOKUP(VALUE(A142),WEEKLY_DATA!$A:$H,6,0),0)</f>
        <v>0</v>
      </c>
      <c r="V142" s="51">
        <f>IFERROR(VLOOKUP(VALUE(A142),WEEKLY_DATA!$A:$H,7,0),0)</f>
        <v>0</v>
      </c>
      <c r="W142" s="9" t="str">
        <f>IFERROR(IF(OR(Q142="",Q142=0),"",IF(VLOOKUP(VALUE($A142),WEEKLY_DATA!$A:$H,6,0)=0,"No Sales",Q142/(VLOOKUP(VALUE($A142),WEEKLY_DATA!$A:$H,6,0)/13))),"")</f>
        <v/>
      </c>
      <c r="X142" s="10">
        <f>IFERROR(VLOOKUP(VALUE(A142),WEEKLY_DATA!$A:$H,8,0),0)</f>
        <v>0</v>
      </c>
      <c r="Y142" s="13" t="str">
        <f t="shared" si="4"/>
        <v>—</v>
      </c>
      <c r="Z142" s="11"/>
      <c r="AA142" s="11"/>
      <c r="AB142" s="11"/>
      <c r="AC142" s="11"/>
      <c r="AD142" s="11"/>
      <c r="AE142" s="11"/>
      <c r="AF142" s="61" t="s">
        <v>144</v>
      </c>
      <c r="AG142" s="61"/>
      <c r="AH142" s="62" t="s">
        <v>144</v>
      </c>
      <c r="AI142" s="62"/>
      <c r="AJ142" s="61" t="s">
        <v>144</v>
      </c>
      <c r="AK142" s="61" t="s">
        <v>144</v>
      </c>
      <c r="AL142" s="61"/>
      <c r="AM142" s="58" t="str" cm="2">
        <f t="array" ref="AM142">IFERROR(LOOKUP(2, 1/SEARCH({"Black","White","Grey","Blue","Silver","Brown","Green","Blue","Purple","Red","Pink","Yellow","Gold"}, G142), {"Black","White","Grey","Blue","Silver","Brown","Green","Blue","Purple","Red","Pink","Yellow","Gold"}), "")</f>
        <v/>
      </c>
      <c r="AN142" s="58" t="str">
        <f>IFERROR(LOOKUP(2, 1/SEARCH({"8GB","16GB","32GB","64GB"}, G142), {"8GB","16GB","32GB","64GB"}), "")</f>
        <v/>
      </c>
      <c r="AO142" s="58" t="str">
        <f>IFERROR(LOOKUP(2, 1/SEARCH({"1TB","2TB","128GB","512GB","256GB"}, G142), {"1TB","2TB","128GB","512GB","256GB"}), "")</f>
        <v/>
      </c>
      <c r="AP142" s="58"/>
      <c r="AQ142" s="58" t="str">
        <f>IFERROR(LOOKUP(2, 1/SEARCH({"16-Inch","15-Inch","15.6-Inch","18-Inch","15.3-Inch","13-Inch","13.4-Inch","13.8-Inch","14-Inch","17-Inch","45-Inch","27-Inch","34-Inch","32-Inch","21.5-Inch"}, G142), {"16-Inch","15-Inch","15.6-Inch","18-Inch","15.3-Inch","13-Inch","13.4-Inch","13.8-Inch","14-Inch","17-Inch","45-Inch","27-Inch","34-Inch","32-Inch","21.5-Inch"}), "")</f>
        <v/>
      </c>
      <c r="AR142" s="58"/>
      <c r="AS142" s="91"/>
      <c r="AT142" s="93"/>
      <c r="AU142" s="93"/>
      <c r="AV142" s="93"/>
      <c r="AW142" s="93"/>
    </row>
    <row r="143" spans="1:49" ht="15" customHeight="1" x14ac:dyDescent="0.25">
      <c r="A143" s="59"/>
      <c r="B143" s="12"/>
      <c r="C143" s="12"/>
      <c r="D143" s="60"/>
      <c r="E143" s="6"/>
      <c r="F143" s="6"/>
      <c r="G143" s="12"/>
      <c r="H143" s="12" t="str" cm="2">
        <f t="array" ref="H143">IFERROR(INDEX(BrandList!$A$2:$A$50,MATCH(TRUE,ISNUMBER(SEARCH(BrandList!$A$2:$A$50,G143)),0)),"")</f>
        <v/>
      </c>
      <c r="I143" s="12" t="str" cm="2">
        <f t="array" ref="I143">IFERROR(INDEX(BrandList!$B$2:$B$200,MATCH(TRUE,ISNUMBER(SEARCH(BrandList!$B$2:$B$200,G143)),0)),"")</f>
        <v/>
      </c>
      <c r="J143" s="12"/>
      <c r="K143" s="59"/>
      <c r="L143" s="86"/>
      <c r="M143" s="86"/>
      <c r="N143" s="86"/>
      <c r="O143" s="86"/>
      <c r="P143" s="7" t="str">
        <f t="shared" si="5"/>
        <v/>
      </c>
      <c r="Q143" s="8">
        <f>IFERROR(VLOOKUP(VALUE(A143),WEEKLY_DATA!$A:$H,2,0),0)</f>
        <v>0</v>
      </c>
      <c r="R143" s="8">
        <f>IFERROR(VLOOKUP(VALUE(A143),WEEKLY_DATA!$A:$H,3,0),0)</f>
        <v>0</v>
      </c>
      <c r="S143" s="8">
        <f>IFERROR(VLOOKUP(VALUE(A143),WEEKLY_DATA!$A:$H,4,0),0)</f>
        <v>0</v>
      </c>
      <c r="T143" s="51">
        <f>IFERROR(VLOOKUP(VALUE(A143),WEEKLY_DATA!$A:$H,5,0),0)</f>
        <v>0</v>
      </c>
      <c r="U143" s="51">
        <f>IFERROR(VLOOKUP(VALUE(A143),WEEKLY_DATA!$A:$H,6,0),0)</f>
        <v>0</v>
      </c>
      <c r="V143" s="51">
        <f>IFERROR(VLOOKUP(VALUE(A143),WEEKLY_DATA!$A:$H,7,0),0)</f>
        <v>0</v>
      </c>
      <c r="W143" s="9" t="str">
        <f>IFERROR(IF(OR(Q143="",Q143=0),"",IF(VLOOKUP(VALUE($A143),WEEKLY_DATA!$A:$H,6,0)=0,"No Sales",Q143/(VLOOKUP(VALUE($A143),WEEKLY_DATA!$A:$H,6,0)/13))),"")</f>
        <v/>
      </c>
      <c r="X143" s="10">
        <f>IFERROR(VLOOKUP(VALUE(A143),WEEKLY_DATA!$A:$H,8,0),0)</f>
        <v>0</v>
      </c>
      <c r="Y143" s="13" t="str">
        <f t="shared" si="4"/>
        <v>—</v>
      </c>
      <c r="Z143" s="11"/>
      <c r="AA143" s="11"/>
      <c r="AB143" s="11"/>
      <c r="AC143" s="11"/>
      <c r="AD143" s="11"/>
      <c r="AE143" s="11"/>
      <c r="AF143" s="61" t="s">
        <v>144</v>
      </c>
      <c r="AG143" s="61"/>
      <c r="AH143" s="62" t="s">
        <v>144</v>
      </c>
      <c r="AI143" s="62"/>
      <c r="AJ143" s="61" t="s">
        <v>144</v>
      </c>
      <c r="AK143" s="61" t="s">
        <v>144</v>
      </c>
      <c r="AL143" s="61"/>
      <c r="AM143" s="58" t="str" cm="2">
        <f t="array" ref="AM143">IFERROR(LOOKUP(2, 1/SEARCH({"Black","White","Grey","Blue","Silver","Brown","Green","Blue","Purple","Red","Pink","Yellow","Gold"}, G143), {"Black","White","Grey","Blue","Silver","Brown","Green","Blue","Purple","Red","Pink","Yellow","Gold"}), "")</f>
        <v/>
      </c>
      <c r="AN143" s="58" t="str">
        <f>IFERROR(LOOKUP(2, 1/SEARCH({"8GB","16GB","32GB","64GB"}, G143), {"8GB","16GB","32GB","64GB"}), "")</f>
        <v/>
      </c>
      <c r="AO143" s="58" t="str">
        <f>IFERROR(LOOKUP(2, 1/SEARCH({"1TB","2TB","128GB","512GB","256GB"}, G143), {"1TB","2TB","128GB","512GB","256GB"}), "")</f>
        <v/>
      </c>
      <c r="AP143" s="58"/>
      <c r="AQ143" s="58" t="str">
        <f>IFERROR(LOOKUP(2, 1/SEARCH({"16-Inch","15-Inch","15.6-Inch","18-Inch","15.3-Inch","13-Inch","13.4-Inch","13.8-Inch","14-Inch","17-Inch","45-Inch","27-Inch","34-Inch","32-Inch","21.5-Inch"}, G143), {"16-Inch","15-Inch","15.6-Inch","18-Inch","15.3-Inch","13-Inch","13.4-Inch","13.8-Inch","14-Inch","17-Inch","45-Inch","27-Inch","34-Inch","32-Inch","21.5-Inch"}), "")</f>
        <v/>
      </c>
      <c r="AR143" s="58"/>
      <c r="AS143" s="91"/>
      <c r="AT143" s="93"/>
      <c r="AU143" s="93"/>
      <c r="AV143" s="93"/>
      <c r="AW143" s="93"/>
    </row>
    <row r="144" spans="1:49" ht="15" customHeight="1" x14ac:dyDescent="0.25">
      <c r="A144" s="59"/>
      <c r="B144" s="12"/>
      <c r="C144" s="12"/>
      <c r="D144" s="60"/>
      <c r="E144" s="6"/>
      <c r="F144" s="6"/>
      <c r="G144" s="12"/>
      <c r="H144" s="12" t="str" cm="2">
        <f t="array" ref="H144">IFERROR(INDEX(BrandList!$A$2:$A$50,MATCH(TRUE,ISNUMBER(SEARCH(BrandList!$A$2:$A$50,G144)),0)),"")</f>
        <v/>
      </c>
      <c r="I144" s="12" t="str" cm="2">
        <f t="array" ref="I144">IFERROR(INDEX(BrandList!$B$2:$B$200,MATCH(TRUE,ISNUMBER(SEARCH(BrandList!$B$2:$B$200,G144)),0)),"")</f>
        <v/>
      </c>
      <c r="J144" s="12"/>
      <c r="K144" s="59"/>
      <c r="L144" s="86"/>
      <c r="M144" s="86"/>
      <c r="N144" s="86"/>
      <c r="O144" s="86"/>
      <c r="P144" s="7" t="str">
        <f t="shared" si="5"/>
        <v/>
      </c>
      <c r="Q144" s="8">
        <f>IFERROR(VLOOKUP(VALUE(A144),WEEKLY_DATA!$A:$H,2,0),0)</f>
        <v>0</v>
      </c>
      <c r="R144" s="8">
        <f>IFERROR(VLOOKUP(VALUE(A144),WEEKLY_DATA!$A:$H,3,0),0)</f>
        <v>0</v>
      </c>
      <c r="S144" s="8">
        <f>IFERROR(VLOOKUP(VALUE(A144),WEEKLY_DATA!$A:$H,4,0),0)</f>
        <v>0</v>
      </c>
      <c r="T144" s="51">
        <f>IFERROR(VLOOKUP(VALUE(A144),WEEKLY_DATA!$A:$H,5,0),0)</f>
        <v>0</v>
      </c>
      <c r="U144" s="51">
        <f>IFERROR(VLOOKUP(VALUE(A144),WEEKLY_DATA!$A:$H,6,0),0)</f>
        <v>0</v>
      </c>
      <c r="V144" s="51">
        <f>IFERROR(VLOOKUP(VALUE(A144),WEEKLY_DATA!$A:$H,7,0),0)</f>
        <v>0</v>
      </c>
      <c r="W144" s="9" t="str">
        <f>IFERROR(IF(OR(Q144="",Q144=0),"",IF(VLOOKUP(VALUE($A144),WEEKLY_DATA!$A:$H,6,0)=0,"No Sales",Q144/(VLOOKUP(VALUE($A144),WEEKLY_DATA!$A:$H,6,0)/13))),"")</f>
        <v/>
      </c>
      <c r="X144" s="10">
        <f>IFERROR(VLOOKUP(VALUE(A144),WEEKLY_DATA!$A:$H,8,0),0)</f>
        <v>0</v>
      </c>
      <c r="Y144" s="13" t="str">
        <f t="shared" si="4"/>
        <v>—</v>
      </c>
      <c r="Z144" s="11"/>
      <c r="AA144" s="11"/>
      <c r="AB144" s="11"/>
      <c r="AC144" s="11"/>
      <c r="AD144" s="11"/>
      <c r="AE144" s="11"/>
      <c r="AF144" s="61"/>
      <c r="AG144" s="61"/>
      <c r="AH144" s="62"/>
      <c r="AI144" s="62"/>
      <c r="AJ144" s="61"/>
      <c r="AK144" s="61"/>
      <c r="AL144" s="61"/>
      <c r="AM144" s="58" t="str" cm="2">
        <f t="array" ref="AM144">IFERROR(LOOKUP(2, 1/SEARCH({"Black","White","Grey","Blue","Silver","Brown","Green","Blue","Purple","Red","Pink","Yellow","Gold"}, G144), {"Black","White","Grey","Blue","Silver","Brown","Green","Blue","Purple","Red","Pink","Yellow","Gold"}), "")</f>
        <v/>
      </c>
      <c r="AN144" s="58" t="str">
        <f>IFERROR(LOOKUP(2, 1/SEARCH({"8GB","16GB","32GB","64GB"}, G144), {"8GB","16GB","32GB","64GB"}), "")</f>
        <v/>
      </c>
      <c r="AO144" s="58" t="str">
        <f>IFERROR(LOOKUP(2, 1/SEARCH({"1TB","2TB","128GB","512GB","256GB"}, G144), {"1TB","2TB","128GB","512GB","256GB"}), "")</f>
        <v/>
      </c>
      <c r="AP144" s="58"/>
      <c r="AQ144" s="58" t="str">
        <f>IFERROR(LOOKUP(2, 1/SEARCH({"16-Inch","15-Inch","15.6-Inch","18-Inch","15.3-Inch","13-Inch","13.4-Inch","13.8-Inch","14-Inch","17-Inch","45-Inch","27-Inch","34-Inch","32-Inch","21.5-Inch"}, G144), {"16-Inch","15-Inch","15.6-Inch","18-Inch","15.3-Inch","13-Inch","13.4-Inch","13.8-Inch","14-Inch","17-Inch","45-Inch","27-Inch","34-Inch","32-Inch","21.5-Inch"}), "")</f>
        <v/>
      </c>
      <c r="AR144" s="58"/>
      <c r="AS144" s="91"/>
      <c r="AT144" s="93"/>
      <c r="AU144" s="93"/>
      <c r="AV144" s="93"/>
      <c r="AW144" s="93"/>
    </row>
    <row r="145" spans="1:49" ht="15" customHeight="1" x14ac:dyDescent="0.25">
      <c r="A145" s="59"/>
      <c r="B145" s="12"/>
      <c r="C145" s="12"/>
      <c r="D145" s="60"/>
      <c r="E145" s="6"/>
      <c r="F145" s="6"/>
      <c r="G145" s="12"/>
      <c r="H145" s="12" t="str" cm="2">
        <f t="array" ref="H145">IFERROR(INDEX(BrandList!$A$2:$A$50,MATCH(TRUE,ISNUMBER(SEARCH(BrandList!$A$2:$A$50,G145)),0)),"")</f>
        <v/>
      </c>
      <c r="I145" s="12" t="str" cm="2">
        <f t="array" ref="I145">IFERROR(INDEX(BrandList!$B$2:$B$200,MATCH(TRUE,ISNUMBER(SEARCH(BrandList!$B$2:$B$200,G145)),0)),"")</f>
        <v/>
      </c>
      <c r="J145" s="12"/>
      <c r="K145" s="12"/>
      <c r="L145" s="60"/>
      <c r="M145" s="60"/>
      <c r="N145" s="60"/>
      <c r="O145" s="60"/>
      <c r="P145" s="7" t="str">
        <f t="shared" si="5"/>
        <v/>
      </c>
      <c r="Q145" s="8">
        <f>IFERROR(VLOOKUP(VALUE(A145),WEEKLY_DATA!$A:$H,2,0),0)</f>
        <v>0</v>
      </c>
      <c r="R145" s="8">
        <f>IFERROR(VLOOKUP(VALUE(A145),WEEKLY_DATA!$A:$H,3,0),0)</f>
        <v>0</v>
      </c>
      <c r="S145" s="8">
        <f>IFERROR(VLOOKUP(VALUE(A145),WEEKLY_DATA!$A:$H,4,0),0)</f>
        <v>0</v>
      </c>
      <c r="T145" s="51">
        <f>IFERROR(VLOOKUP(VALUE(A145),WEEKLY_DATA!$A:$H,5,0),0)</f>
        <v>0</v>
      </c>
      <c r="U145" s="51">
        <f>IFERROR(VLOOKUP(VALUE(A145),WEEKLY_DATA!$A:$H,6,0),0)</f>
        <v>0</v>
      </c>
      <c r="V145" s="51">
        <f>IFERROR(VLOOKUP(VALUE(A145),WEEKLY_DATA!$A:$H,7,0),0)</f>
        <v>0</v>
      </c>
      <c r="W145" s="9" t="str">
        <f>IFERROR(IF(OR(Q145="",Q145=0),"",IF(VLOOKUP(VALUE($A145),WEEKLY_DATA!$A:$H,6,0)=0,"No Sales",Q145/(VLOOKUP(VALUE($A145),WEEKLY_DATA!$A:$H,6,0)/13))),"")</f>
        <v/>
      </c>
      <c r="X145" s="10">
        <f>IFERROR(VLOOKUP(VALUE(A145),WEEKLY_DATA!$A:$H,8,0),0)</f>
        <v>0</v>
      </c>
      <c r="Y145" s="13" t="str">
        <f t="shared" si="4"/>
        <v>—</v>
      </c>
      <c r="Z145" s="11"/>
      <c r="AA145" s="11"/>
      <c r="AB145" s="11"/>
      <c r="AC145" s="11"/>
      <c r="AD145" s="11"/>
      <c r="AE145" s="11"/>
      <c r="AF145" s="61" t="s">
        <v>144</v>
      </c>
      <c r="AG145" s="61"/>
      <c r="AH145" s="62" t="s">
        <v>144</v>
      </c>
      <c r="AI145" s="62"/>
      <c r="AJ145" s="61" t="s">
        <v>144</v>
      </c>
      <c r="AK145" s="61" t="s">
        <v>144</v>
      </c>
      <c r="AL145" s="61"/>
      <c r="AM145" s="58" t="str" cm="2">
        <f t="array" ref="AM145">IFERROR(LOOKUP(2, 1/SEARCH({"Black","White","Grey","Blue","Silver","Brown","Green","Blue","Purple","Red","Pink","Yellow","Gold"}, G145), {"Black","White","Grey","Blue","Silver","Brown","Green","Blue","Purple","Red","Pink","Yellow","Gold"}), "")</f>
        <v/>
      </c>
      <c r="AN145" s="58" t="str">
        <f>IFERROR(LOOKUP(2, 1/SEARCH({"8GB","16GB","32GB","64GB"}, G145), {"8GB","16GB","32GB","64GB"}), "")</f>
        <v/>
      </c>
      <c r="AO145" s="58" t="str">
        <f>IFERROR(LOOKUP(2, 1/SEARCH({"1TB","2TB","128GB","512GB","256GB"}, G145), {"1TB","2TB","128GB","512GB","256GB"}), "")</f>
        <v/>
      </c>
      <c r="AP145" s="58"/>
      <c r="AQ145" s="58" t="str">
        <f>IFERROR(LOOKUP(2, 1/SEARCH({"16-Inch","15-Inch","15.6-Inch","18-Inch","15.3-Inch","13-Inch","13.4-Inch","13.8-Inch","14-Inch","17-Inch","45-Inch","27-Inch","34-Inch","32-Inch","21.5-Inch"}, G145), {"16-Inch","15-Inch","15.6-Inch","18-Inch","15.3-Inch","13-Inch","13.4-Inch","13.8-Inch","14-Inch","17-Inch","45-Inch","27-Inch","34-Inch","32-Inch","21.5-Inch"}), "")</f>
        <v/>
      </c>
      <c r="AR145" s="58"/>
      <c r="AS145" s="91"/>
      <c r="AT145" s="93"/>
      <c r="AU145" s="93"/>
      <c r="AV145" s="93"/>
      <c r="AW145" s="93"/>
    </row>
    <row r="146" spans="1:49" ht="15" customHeight="1" x14ac:dyDescent="0.25">
      <c r="A146" s="59"/>
      <c r="B146" s="12"/>
      <c r="C146" s="12"/>
      <c r="D146" s="60"/>
      <c r="E146" s="6"/>
      <c r="F146" s="6"/>
      <c r="G146" s="12"/>
      <c r="H146" s="12" t="str" cm="2">
        <f t="array" ref="H146">IFERROR(INDEX(BrandList!$A$2:$A$50,MATCH(TRUE,ISNUMBER(SEARCH(BrandList!$A$2:$A$50,G146)),0)),"")</f>
        <v/>
      </c>
      <c r="I146" s="12" t="str" cm="2">
        <f t="array" ref="I146">IFERROR(INDEX(BrandList!$B$2:$B$200,MATCH(TRUE,ISNUMBER(SEARCH(BrandList!$B$2:$B$200,G146)),0)),"")</f>
        <v/>
      </c>
      <c r="J146" s="12"/>
      <c r="K146" s="12"/>
      <c r="L146" s="60"/>
      <c r="M146" s="60"/>
      <c r="N146" s="60"/>
      <c r="O146" s="60"/>
      <c r="P146" s="7" t="str">
        <f t="shared" si="5"/>
        <v/>
      </c>
      <c r="Q146" s="8">
        <f>IFERROR(VLOOKUP(VALUE(A146),WEEKLY_DATA!$A:$H,2,0),0)</f>
        <v>0</v>
      </c>
      <c r="R146" s="8">
        <f>IFERROR(VLOOKUP(VALUE(A146),WEEKLY_DATA!$A:$H,3,0),0)</f>
        <v>0</v>
      </c>
      <c r="S146" s="8">
        <f>IFERROR(VLOOKUP(VALUE(A146),WEEKLY_DATA!$A:$H,4,0),0)</f>
        <v>0</v>
      </c>
      <c r="T146" s="51">
        <f>IFERROR(VLOOKUP(VALUE(A146),WEEKLY_DATA!$A:$H,5,0),0)</f>
        <v>0</v>
      </c>
      <c r="U146" s="51">
        <f>IFERROR(VLOOKUP(VALUE(A146),WEEKLY_DATA!$A:$H,6,0),0)</f>
        <v>0</v>
      </c>
      <c r="V146" s="51">
        <f>IFERROR(VLOOKUP(VALUE(A146),WEEKLY_DATA!$A:$H,7,0),0)</f>
        <v>0</v>
      </c>
      <c r="W146" s="9" t="str">
        <f>IFERROR(IF(OR(Q146="",Q146=0),"",IF(VLOOKUP(VALUE($A146),WEEKLY_DATA!$A:$H,6,0)=0,"No Sales",Q146/(VLOOKUP(VALUE($A146),WEEKLY_DATA!$A:$H,6,0)/13))),"")</f>
        <v/>
      </c>
      <c r="X146" s="10">
        <f>IFERROR(VLOOKUP(VALUE(A146),WEEKLY_DATA!$A:$H,8,0),0)</f>
        <v>0</v>
      </c>
      <c r="Y146" s="13" t="str">
        <f t="shared" si="4"/>
        <v>—</v>
      </c>
      <c r="Z146" s="11"/>
      <c r="AA146" s="11"/>
      <c r="AB146" s="11"/>
      <c r="AC146" s="11"/>
      <c r="AD146" s="11"/>
      <c r="AE146" s="11"/>
      <c r="AF146" s="61" t="s">
        <v>144</v>
      </c>
      <c r="AG146" s="61"/>
      <c r="AH146" s="62" t="s">
        <v>144</v>
      </c>
      <c r="AI146" s="62"/>
      <c r="AJ146" s="61" t="s">
        <v>144</v>
      </c>
      <c r="AK146" s="61" t="s">
        <v>144</v>
      </c>
      <c r="AL146" s="61"/>
      <c r="AM146" s="58" t="str" cm="2">
        <f t="array" ref="AM146">IFERROR(LOOKUP(2, 1/SEARCH({"Black","White","Grey","Blue","Silver","Brown","Green","Blue","Purple","Red","Pink","Yellow","Gold"}, G146), {"Black","White","Grey","Blue","Silver","Brown","Green","Blue","Purple","Red","Pink","Yellow","Gold"}), "")</f>
        <v/>
      </c>
      <c r="AN146" s="58" t="str">
        <f>IFERROR(LOOKUP(2, 1/SEARCH({"8GB","16GB","32GB","64GB"}, G146), {"8GB","16GB","32GB","64GB"}), "")</f>
        <v/>
      </c>
      <c r="AO146" s="58" t="str">
        <f>IFERROR(LOOKUP(2, 1/SEARCH({"1TB","2TB","128GB","512GB","256GB"}, G146), {"1TB","2TB","128GB","512GB","256GB"}), "")</f>
        <v/>
      </c>
      <c r="AP146" s="58"/>
      <c r="AQ146" s="58" t="str">
        <f>IFERROR(LOOKUP(2, 1/SEARCH({"16-Inch","15-Inch","15.6-Inch","18-Inch","15.3-Inch","13-Inch","13.4-Inch","13.8-Inch","14-Inch","17-Inch","45-Inch","27-Inch","34-Inch","32-Inch","21.5-Inch"}, G146), {"16-Inch","15-Inch","15.6-Inch","18-Inch","15.3-Inch","13-Inch","13.4-Inch","13.8-Inch","14-Inch","17-Inch","45-Inch","27-Inch","34-Inch","32-Inch","21.5-Inch"}), "")</f>
        <v/>
      </c>
      <c r="AR146" s="58"/>
      <c r="AS146" s="91"/>
      <c r="AT146" s="93"/>
      <c r="AU146" s="93"/>
      <c r="AV146" s="93"/>
      <c r="AW146" s="93"/>
    </row>
    <row r="147" spans="1:49" ht="15" customHeight="1" x14ac:dyDescent="0.25">
      <c r="A147" s="59"/>
      <c r="B147" s="12"/>
      <c r="C147" s="12"/>
      <c r="D147" s="60"/>
      <c r="E147" s="6"/>
      <c r="F147" s="6"/>
      <c r="G147" s="12"/>
      <c r="H147" s="12" t="str" cm="2">
        <f t="array" ref="H147">IFERROR(INDEX(BrandList!$A$2:$A$50,MATCH(TRUE,ISNUMBER(SEARCH(BrandList!$A$2:$A$50,G147)),0)),"")</f>
        <v/>
      </c>
      <c r="I147" s="12" t="str" cm="2">
        <f t="array" ref="I147">IFERROR(INDEX(BrandList!$B$2:$B$200,MATCH(TRUE,ISNUMBER(SEARCH(BrandList!$B$2:$B$200,G147)),0)),"")</f>
        <v/>
      </c>
      <c r="J147" s="12"/>
      <c r="K147" s="12"/>
      <c r="L147" s="60"/>
      <c r="M147" s="60"/>
      <c r="N147" s="60"/>
      <c r="O147" s="60"/>
      <c r="P147" s="7" t="str">
        <f t="shared" si="5"/>
        <v/>
      </c>
      <c r="Q147" s="8">
        <f>IFERROR(VLOOKUP(VALUE(A147),WEEKLY_DATA!$A:$H,2,0),0)</f>
        <v>0</v>
      </c>
      <c r="R147" s="8">
        <f>IFERROR(VLOOKUP(VALUE(A147),WEEKLY_DATA!$A:$H,3,0),0)</f>
        <v>0</v>
      </c>
      <c r="S147" s="8">
        <f>IFERROR(VLOOKUP(VALUE(A147),WEEKLY_DATA!$A:$H,4,0),0)</f>
        <v>0</v>
      </c>
      <c r="T147" s="51">
        <f>IFERROR(VLOOKUP(VALUE(A147),WEEKLY_DATA!$A:$H,5,0),0)</f>
        <v>0</v>
      </c>
      <c r="U147" s="51">
        <f>IFERROR(VLOOKUP(VALUE(A147),WEEKLY_DATA!$A:$H,6,0),0)</f>
        <v>0</v>
      </c>
      <c r="V147" s="51">
        <f>IFERROR(VLOOKUP(VALUE(A147),WEEKLY_DATA!$A:$H,7,0),0)</f>
        <v>0</v>
      </c>
      <c r="W147" s="9" t="str">
        <f>IFERROR(IF(OR(Q147="",Q147=0),"",IF(VLOOKUP(VALUE($A147),WEEKLY_DATA!$A:$H,6,0)=0,"No Sales",Q147/(VLOOKUP(VALUE($A147),WEEKLY_DATA!$A:$H,6,0)/13))),"")</f>
        <v/>
      </c>
      <c r="X147" s="10">
        <f>IFERROR(VLOOKUP(VALUE(A147),WEEKLY_DATA!$A:$H,8,0),0)</f>
        <v>0</v>
      </c>
      <c r="Y147" s="13" t="str">
        <f t="shared" si="4"/>
        <v>—</v>
      </c>
      <c r="Z147" s="11"/>
      <c r="AA147" s="11"/>
      <c r="AB147" s="11"/>
      <c r="AC147" s="11"/>
      <c r="AD147" s="11"/>
      <c r="AE147" s="11"/>
      <c r="AF147" s="61" t="s">
        <v>144</v>
      </c>
      <c r="AG147" s="61"/>
      <c r="AH147" s="62" t="s">
        <v>144</v>
      </c>
      <c r="AI147" s="62"/>
      <c r="AJ147" s="61" t="s">
        <v>144</v>
      </c>
      <c r="AK147" s="61" t="s">
        <v>144</v>
      </c>
      <c r="AL147" s="61"/>
      <c r="AM147" s="58" t="str" cm="2">
        <f t="array" ref="AM147">IFERROR(LOOKUP(2, 1/SEARCH({"Black","White","Grey","Blue","Silver","Brown","Green","Blue","Purple","Red","Pink","Yellow","Gold"}, G147), {"Black","White","Grey","Blue","Silver","Brown","Green","Blue","Purple","Red","Pink","Yellow","Gold"}), "")</f>
        <v/>
      </c>
      <c r="AN147" s="58" t="str">
        <f>IFERROR(LOOKUP(2, 1/SEARCH({"8GB","16GB","32GB","64GB"}, G147), {"8GB","16GB","32GB","64GB"}), "")</f>
        <v/>
      </c>
      <c r="AO147" s="58" t="str">
        <f>IFERROR(LOOKUP(2, 1/SEARCH({"1TB","2TB","128GB","512GB","256GB"}, G147), {"1TB","2TB","128GB","512GB","256GB"}), "")</f>
        <v/>
      </c>
      <c r="AP147" s="58"/>
      <c r="AQ147" s="58" t="str">
        <f>IFERROR(LOOKUP(2, 1/SEARCH({"16-Inch","15-Inch","15.6-Inch","18-Inch","15.3-Inch","13-Inch","13.4-Inch","13.8-Inch","14-Inch","17-Inch","45-Inch","27-Inch","34-Inch","32-Inch","21.5-Inch"}, G147), {"16-Inch","15-Inch","15.6-Inch","18-Inch","15.3-Inch","13-Inch","13.4-Inch","13.8-Inch","14-Inch","17-Inch","45-Inch","27-Inch","34-Inch","32-Inch","21.5-Inch"}), "")</f>
        <v/>
      </c>
      <c r="AR147" s="58"/>
      <c r="AS147" s="91"/>
      <c r="AT147" s="93"/>
      <c r="AU147" s="93"/>
      <c r="AV147" s="93"/>
      <c r="AW147" s="93"/>
    </row>
    <row r="148" spans="1:49" ht="15" customHeight="1" x14ac:dyDescent="0.25">
      <c r="A148" s="59"/>
      <c r="B148" s="12"/>
      <c r="C148" s="12"/>
      <c r="D148" s="60"/>
      <c r="E148" s="6"/>
      <c r="F148" s="6"/>
      <c r="G148" s="12"/>
      <c r="H148" s="12" t="str" cm="2">
        <f t="array" ref="H148">IFERROR(INDEX(BrandList!$A$2:$A$50,MATCH(TRUE,ISNUMBER(SEARCH(BrandList!$A$2:$A$50,G148)),0)),"")</f>
        <v/>
      </c>
      <c r="I148" s="12" t="str" cm="2">
        <f t="array" ref="I148">IFERROR(INDEX(BrandList!$B$2:$B$200,MATCH(TRUE,ISNUMBER(SEARCH(BrandList!$B$2:$B$200,G148)),0)),"")</f>
        <v/>
      </c>
      <c r="J148" s="12"/>
      <c r="K148" s="12"/>
      <c r="L148" s="60"/>
      <c r="M148" s="60"/>
      <c r="N148" s="60"/>
      <c r="O148" s="60"/>
      <c r="P148" s="7" t="str">
        <f t="shared" si="5"/>
        <v/>
      </c>
      <c r="Q148" s="8">
        <f>IFERROR(VLOOKUP(VALUE(A148),WEEKLY_DATA!$A:$H,2,0),0)</f>
        <v>0</v>
      </c>
      <c r="R148" s="8">
        <f>IFERROR(VLOOKUP(VALUE(A148),WEEKLY_DATA!$A:$H,3,0),0)</f>
        <v>0</v>
      </c>
      <c r="S148" s="8">
        <f>IFERROR(VLOOKUP(VALUE(A148),WEEKLY_DATA!$A:$H,4,0),0)</f>
        <v>0</v>
      </c>
      <c r="T148" s="51">
        <f>IFERROR(VLOOKUP(VALUE(A148),WEEKLY_DATA!$A:$H,5,0),0)</f>
        <v>0</v>
      </c>
      <c r="U148" s="51">
        <f>IFERROR(VLOOKUP(VALUE(A148),WEEKLY_DATA!$A:$H,6,0),0)</f>
        <v>0</v>
      </c>
      <c r="V148" s="51">
        <f>IFERROR(VLOOKUP(VALUE(A148),WEEKLY_DATA!$A:$H,7,0),0)</f>
        <v>0</v>
      </c>
      <c r="W148" s="9" t="str">
        <f>IFERROR(IF(OR(Q148="",Q148=0),"",IF(VLOOKUP(VALUE($A148),WEEKLY_DATA!$A:$H,6,0)=0,"No Sales",Q148/(VLOOKUP(VALUE($A148),WEEKLY_DATA!$A:$H,6,0)/13))),"")</f>
        <v/>
      </c>
      <c r="X148" s="10">
        <f>IFERROR(VLOOKUP(VALUE(A148),WEEKLY_DATA!$A:$H,8,0),0)</f>
        <v>0</v>
      </c>
      <c r="Y148" s="13" t="str">
        <f t="shared" si="4"/>
        <v>—</v>
      </c>
      <c r="Z148" s="11"/>
      <c r="AA148" s="11"/>
      <c r="AB148" s="11"/>
      <c r="AC148" s="11"/>
      <c r="AD148" s="11"/>
      <c r="AE148" s="11"/>
      <c r="AF148" s="61" t="s">
        <v>144</v>
      </c>
      <c r="AG148" s="61"/>
      <c r="AH148" s="62" t="s">
        <v>144</v>
      </c>
      <c r="AI148" s="62"/>
      <c r="AJ148" s="61" t="s">
        <v>144</v>
      </c>
      <c r="AK148" s="61" t="s">
        <v>144</v>
      </c>
      <c r="AL148" s="61"/>
      <c r="AM148" s="58" t="str" cm="2">
        <f t="array" ref="AM148">IFERROR(LOOKUP(2, 1/SEARCH({"Black","White","Grey","Blue","Silver","Brown","Green","Blue","Purple","Red","Pink","Yellow","Gold"}, G148), {"Black","White","Grey","Blue","Silver","Brown","Green","Blue","Purple","Red","Pink","Yellow","Gold"}), "")</f>
        <v/>
      </c>
      <c r="AN148" s="58" t="str">
        <f>IFERROR(LOOKUP(2, 1/SEARCH({"8GB","16GB","32GB","64GB"}, G148), {"8GB","16GB","32GB","64GB"}), "")</f>
        <v/>
      </c>
      <c r="AO148" s="58" t="str">
        <f>IFERROR(LOOKUP(2, 1/SEARCH({"1TB","2TB","128GB","512GB","256GB"}, G148), {"1TB","2TB","128GB","512GB","256GB"}), "")</f>
        <v/>
      </c>
      <c r="AP148" s="58"/>
      <c r="AQ148" s="58" t="str">
        <f>IFERROR(LOOKUP(2, 1/SEARCH({"16-Inch","15-Inch","15.6-Inch","18-Inch","15.3-Inch","13-Inch","13.4-Inch","13.8-Inch","14-Inch","17-Inch","45-Inch","27-Inch","34-Inch","32-Inch","21.5-Inch"}, G148), {"16-Inch","15-Inch","15.6-Inch","18-Inch","15.3-Inch","13-Inch","13.4-Inch","13.8-Inch","14-Inch","17-Inch","45-Inch","27-Inch","34-Inch","32-Inch","21.5-Inch"}), "")</f>
        <v/>
      </c>
      <c r="AR148" s="58"/>
      <c r="AS148" s="91"/>
      <c r="AT148" s="93"/>
      <c r="AU148" s="93"/>
      <c r="AV148" s="93"/>
      <c r="AW148" s="93"/>
    </row>
    <row r="149" spans="1:49" ht="15" customHeight="1" x14ac:dyDescent="0.25">
      <c r="A149" s="59"/>
      <c r="B149" s="12"/>
      <c r="C149" s="12"/>
      <c r="D149" s="60"/>
      <c r="E149" s="6"/>
      <c r="F149" s="6"/>
      <c r="G149" s="12"/>
      <c r="H149" s="12" t="str" cm="2">
        <f t="array" ref="H149">IFERROR(INDEX(BrandList!$A$2:$A$50,MATCH(TRUE,ISNUMBER(SEARCH(BrandList!$A$2:$A$50,G149)),0)),"")</f>
        <v/>
      </c>
      <c r="I149" s="12" t="str" cm="2">
        <f t="array" ref="I149">IFERROR(INDEX(BrandList!$B$2:$B$200,MATCH(TRUE,ISNUMBER(SEARCH(BrandList!$B$2:$B$200,G149)),0)),"")</f>
        <v/>
      </c>
      <c r="J149" s="12"/>
      <c r="K149" s="12"/>
      <c r="L149" s="60"/>
      <c r="M149" s="60"/>
      <c r="N149" s="60"/>
      <c r="O149" s="60"/>
      <c r="P149" s="7" t="str">
        <f t="shared" si="5"/>
        <v/>
      </c>
      <c r="Q149" s="8">
        <f>IFERROR(VLOOKUP(VALUE(A149),WEEKLY_DATA!$A:$H,2,0),0)</f>
        <v>0</v>
      </c>
      <c r="R149" s="8">
        <f>IFERROR(VLOOKUP(VALUE(A149),WEEKLY_DATA!$A:$H,3,0),0)</f>
        <v>0</v>
      </c>
      <c r="S149" s="8">
        <f>IFERROR(VLOOKUP(VALUE(A149),WEEKLY_DATA!$A:$H,4,0),0)</f>
        <v>0</v>
      </c>
      <c r="T149" s="51">
        <f>IFERROR(VLOOKUP(VALUE(A149),WEEKLY_DATA!$A:$H,5,0),0)</f>
        <v>0</v>
      </c>
      <c r="U149" s="51">
        <f>IFERROR(VLOOKUP(VALUE(A149),WEEKLY_DATA!$A:$H,6,0),0)</f>
        <v>0</v>
      </c>
      <c r="V149" s="51">
        <f>IFERROR(VLOOKUP(VALUE(A149),WEEKLY_DATA!$A:$H,7,0),0)</f>
        <v>0</v>
      </c>
      <c r="W149" s="9" t="str">
        <f>IFERROR(IF(OR(Q149="",Q149=0),"",IF(VLOOKUP(VALUE($A149),WEEKLY_DATA!$A:$H,6,0)=0,"No Sales",Q149/(VLOOKUP(VALUE($A149),WEEKLY_DATA!$A:$H,6,0)/13))),"")</f>
        <v/>
      </c>
      <c r="X149" s="10">
        <f>IFERROR(VLOOKUP(VALUE(A149),WEEKLY_DATA!$A:$H,8,0),0)</f>
        <v>0</v>
      </c>
      <c r="Y149" s="13" t="str">
        <f t="shared" si="4"/>
        <v>—</v>
      </c>
      <c r="Z149" s="11"/>
      <c r="AA149" s="11"/>
      <c r="AB149" s="11"/>
      <c r="AC149" s="11"/>
      <c r="AD149" s="11"/>
      <c r="AE149" s="11"/>
      <c r="AF149" s="61" t="s">
        <v>144</v>
      </c>
      <c r="AG149" s="61"/>
      <c r="AH149" s="62"/>
      <c r="AI149" s="62"/>
      <c r="AJ149" s="61" t="s">
        <v>144</v>
      </c>
      <c r="AK149" s="61" t="s">
        <v>144</v>
      </c>
      <c r="AL149" s="61"/>
      <c r="AM149" s="58" t="str" cm="2">
        <f t="array" ref="AM149">IFERROR(LOOKUP(2, 1/SEARCH({"Black","White","Grey","Blue","Silver","Brown","Green","Blue","Purple","Red","Pink","Yellow","Gold"}, G149), {"Black","White","Grey","Blue","Silver","Brown","Green","Blue","Purple","Red","Pink","Yellow","Gold"}), "")</f>
        <v/>
      </c>
      <c r="AN149" s="58" t="str">
        <f>IFERROR(LOOKUP(2, 1/SEARCH({"8GB","16GB","32GB","64GB"}, G149), {"8GB","16GB","32GB","64GB"}), "")</f>
        <v/>
      </c>
      <c r="AO149" s="58" t="str">
        <f>IFERROR(LOOKUP(2, 1/SEARCH({"1TB","2TB","128GB","512GB","256GB"}, G149), {"1TB","2TB","128GB","512GB","256GB"}), "")</f>
        <v/>
      </c>
      <c r="AP149" s="58"/>
      <c r="AQ149" s="58" t="str">
        <f>IFERROR(LOOKUP(2, 1/SEARCH({"16-Inch","15-Inch","15.6-Inch","18-Inch","15.3-Inch","13-Inch","13.4-Inch","13.8-Inch","14-Inch","17-Inch","45-Inch","27-Inch","34-Inch","32-Inch","21.5-Inch"}, G149), {"16-Inch","15-Inch","15.6-Inch","18-Inch","15.3-Inch","13-Inch","13.4-Inch","13.8-Inch","14-Inch","17-Inch","45-Inch","27-Inch","34-Inch","32-Inch","21.5-Inch"}), "")</f>
        <v/>
      </c>
      <c r="AR149" s="58"/>
      <c r="AS149" s="91"/>
      <c r="AT149" s="93"/>
      <c r="AU149" s="93"/>
      <c r="AV149" s="93"/>
      <c r="AW149" s="93"/>
    </row>
    <row r="150" spans="1:49" ht="15" customHeight="1" x14ac:dyDescent="0.25">
      <c r="A150" s="59"/>
      <c r="B150" s="12"/>
      <c r="C150" s="12"/>
      <c r="D150" s="60"/>
      <c r="E150" s="6"/>
      <c r="F150" s="6"/>
      <c r="G150" s="12"/>
      <c r="H150" s="12" t="str" cm="2">
        <f t="array" ref="H150">IFERROR(INDEX(BrandList!$A$2:$A$50,MATCH(TRUE,ISNUMBER(SEARCH(BrandList!$A$2:$A$50,G150)),0)),"")</f>
        <v/>
      </c>
      <c r="I150" s="12" t="str" cm="2">
        <f t="array" ref="I150">IFERROR(INDEX(BrandList!$B$2:$B$200,MATCH(TRUE,ISNUMBER(SEARCH(BrandList!$B$2:$B$200,G150)),0)),"")</f>
        <v/>
      </c>
      <c r="J150" s="12"/>
      <c r="K150" s="59"/>
      <c r="L150" s="86"/>
      <c r="M150" s="86"/>
      <c r="N150" s="86"/>
      <c r="O150" s="86"/>
      <c r="P150" s="7" t="str">
        <f t="shared" si="5"/>
        <v/>
      </c>
      <c r="Q150" s="8">
        <f>IFERROR(VLOOKUP(VALUE(A150),WEEKLY_DATA!$A:$H,2,0),0)</f>
        <v>0</v>
      </c>
      <c r="R150" s="8">
        <f>IFERROR(VLOOKUP(VALUE(A150),WEEKLY_DATA!$A:$H,3,0),0)</f>
        <v>0</v>
      </c>
      <c r="S150" s="8">
        <f>IFERROR(VLOOKUP(VALUE(A150),WEEKLY_DATA!$A:$H,4,0),0)</f>
        <v>0</v>
      </c>
      <c r="T150" s="51">
        <f>IFERROR(VLOOKUP(VALUE(A150),WEEKLY_DATA!$A:$H,5,0),0)</f>
        <v>0</v>
      </c>
      <c r="U150" s="51">
        <f>IFERROR(VLOOKUP(VALUE(A150),WEEKLY_DATA!$A:$H,6,0),0)</f>
        <v>0</v>
      </c>
      <c r="V150" s="51">
        <f>IFERROR(VLOOKUP(VALUE(A150),WEEKLY_DATA!$A:$H,7,0),0)</f>
        <v>0</v>
      </c>
      <c r="W150" s="9" t="str">
        <f>IFERROR(IF(OR(Q150="",Q150=0),"",IF(VLOOKUP(VALUE($A150),WEEKLY_DATA!$A:$H,6,0)=0,"No Sales",Q150/(VLOOKUP(VALUE($A150),WEEKLY_DATA!$A:$H,6,0)/13))),"")</f>
        <v/>
      </c>
      <c r="X150" s="10">
        <f>IFERROR(VLOOKUP(VALUE(A150),WEEKLY_DATA!$A:$H,8,0),0)</f>
        <v>0</v>
      </c>
      <c r="Y150" s="13" t="str">
        <f t="shared" si="4"/>
        <v>—</v>
      </c>
      <c r="Z150" s="11"/>
      <c r="AA150" s="11"/>
      <c r="AB150" s="11"/>
      <c r="AC150" s="11"/>
      <c r="AD150" s="11"/>
      <c r="AE150" s="11"/>
      <c r="AF150" s="61" t="s">
        <v>144</v>
      </c>
      <c r="AG150" s="61"/>
      <c r="AH150" s="62" t="s">
        <v>144</v>
      </c>
      <c r="AI150" s="62"/>
      <c r="AJ150" s="61" t="s">
        <v>144</v>
      </c>
      <c r="AK150" s="61" t="s">
        <v>144</v>
      </c>
      <c r="AL150" s="61"/>
      <c r="AM150" s="58" t="str" cm="2">
        <f t="array" ref="AM150">IFERROR(LOOKUP(2, 1/SEARCH({"Black","White","Grey","Blue","Silver","Brown","Green","Blue","Purple","Red","Pink","Yellow","Gold"}, G150), {"Black","White","Grey","Blue","Silver","Brown","Green","Blue","Purple","Red","Pink","Yellow","Gold"}), "")</f>
        <v/>
      </c>
      <c r="AN150" s="58" t="str">
        <f>IFERROR(LOOKUP(2, 1/SEARCH({"8GB","16GB","32GB","64GB"}, G150), {"8GB","16GB","32GB","64GB"}), "")</f>
        <v/>
      </c>
      <c r="AO150" s="58" t="str">
        <f>IFERROR(LOOKUP(2, 1/SEARCH({"1TB","2TB","128GB","512GB","256GB"}, G150), {"1TB","2TB","128GB","512GB","256GB"}), "")</f>
        <v/>
      </c>
      <c r="AP150" s="58"/>
      <c r="AQ150" s="58" t="str">
        <f>IFERROR(LOOKUP(2, 1/SEARCH({"16-Inch","15-Inch","15.6-Inch","18-Inch","15.3-Inch","13-Inch","13.4-Inch","13.8-Inch","14-Inch","17-Inch","45-Inch","27-Inch","34-Inch","32-Inch","21.5-Inch"}, G150), {"16-Inch","15-Inch","15.6-Inch","18-Inch","15.3-Inch","13-Inch","13.4-Inch","13.8-Inch","14-Inch","17-Inch","45-Inch","27-Inch","34-Inch","32-Inch","21.5-Inch"}), "")</f>
        <v/>
      </c>
      <c r="AR150" s="58"/>
      <c r="AS150" s="91"/>
      <c r="AT150" s="93"/>
      <c r="AU150" s="93"/>
      <c r="AV150" s="93"/>
      <c r="AW150" s="93"/>
    </row>
    <row r="151" spans="1:49" ht="15" customHeight="1" x14ac:dyDescent="0.25">
      <c r="A151" s="59"/>
      <c r="B151" s="12"/>
      <c r="C151" s="12"/>
      <c r="D151" s="60"/>
      <c r="E151" s="6"/>
      <c r="F151" s="6"/>
      <c r="G151" s="12"/>
      <c r="H151" s="12" t="str" cm="2">
        <f t="array" ref="H151">IFERROR(INDEX(BrandList!$A$2:$A$50,MATCH(TRUE,ISNUMBER(SEARCH(BrandList!$A$2:$A$50,G151)),0)),"")</f>
        <v/>
      </c>
      <c r="I151" s="12" t="str" cm="2">
        <f t="array" ref="I151">IFERROR(INDEX(BrandList!$B$2:$B$200,MATCH(TRUE,ISNUMBER(SEARCH(BrandList!$B$2:$B$200,G151)),0)),"")</f>
        <v/>
      </c>
      <c r="J151" s="12"/>
      <c r="K151" s="59"/>
      <c r="L151" s="86"/>
      <c r="M151" s="86"/>
      <c r="N151" s="86"/>
      <c r="O151" s="86"/>
      <c r="P151" s="7" t="str">
        <f t="shared" si="5"/>
        <v/>
      </c>
      <c r="Q151" s="8">
        <f>IFERROR(VLOOKUP(VALUE(A151),WEEKLY_DATA!$A:$H,2,0),0)</f>
        <v>0</v>
      </c>
      <c r="R151" s="8">
        <f>IFERROR(VLOOKUP(VALUE(A151),WEEKLY_DATA!$A:$H,3,0),0)</f>
        <v>0</v>
      </c>
      <c r="S151" s="8">
        <f>IFERROR(VLOOKUP(VALUE(A151),WEEKLY_DATA!$A:$H,4,0),0)</f>
        <v>0</v>
      </c>
      <c r="T151" s="51">
        <f>IFERROR(VLOOKUP(VALUE(A151),WEEKLY_DATA!$A:$H,5,0),0)</f>
        <v>0</v>
      </c>
      <c r="U151" s="51">
        <f>IFERROR(VLOOKUP(VALUE(A151),WEEKLY_DATA!$A:$H,6,0),0)</f>
        <v>0</v>
      </c>
      <c r="V151" s="51">
        <f>IFERROR(VLOOKUP(VALUE(A151),WEEKLY_DATA!$A:$H,7,0),0)</f>
        <v>0</v>
      </c>
      <c r="W151" s="9" t="str">
        <f>IFERROR(IF(OR(Q151="",Q151=0),"",IF(VLOOKUP(VALUE($A151),WEEKLY_DATA!$A:$H,6,0)=0,"No Sales",Q151/(VLOOKUP(VALUE($A151),WEEKLY_DATA!$A:$H,6,0)/13))),"")</f>
        <v/>
      </c>
      <c r="X151" s="10">
        <f>IFERROR(VLOOKUP(VALUE(A151),WEEKLY_DATA!$A:$H,8,0),0)</f>
        <v>0</v>
      </c>
      <c r="Y151" s="13" t="str">
        <f t="shared" si="4"/>
        <v>—</v>
      </c>
      <c r="Z151" s="11"/>
      <c r="AA151" s="11"/>
      <c r="AB151" s="11"/>
      <c r="AC151" s="11"/>
      <c r="AD151" s="11"/>
      <c r="AE151" s="11"/>
      <c r="AF151" s="61" t="s">
        <v>144</v>
      </c>
      <c r="AG151" s="61"/>
      <c r="AH151" s="62" t="s">
        <v>144</v>
      </c>
      <c r="AI151" s="62"/>
      <c r="AJ151" s="61" t="s">
        <v>144</v>
      </c>
      <c r="AK151" s="61" t="s">
        <v>144</v>
      </c>
      <c r="AL151" s="61"/>
      <c r="AM151" s="58" t="str" cm="2">
        <f t="array" ref="AM151">IFERROR(LOOKUP(2, 1/SEARCH({"Black","White","Grey","Blue","Silver","Brown","Green","Blue","Purple","Red","Pink","Yellow","Gold"}, G151), {"Black","White","Grey","Blue","Silver","Brown","Green","Blue","Purple","Red","Pink","Yellow","Gold"}), "")</f>
        <v/>
      </c>
      <c r="AN151" s="58" t="str">
        <f>IFERROR(LOOKUP(2, 1/SEARCH({"8GB","16GB","32GB","64GB"}, G151), {"8GB","16GB","32GB","64GB"}), "")</f>
        <v/>
      </c>
      <c r="AO151" s="58" t="str">
        <f>IFERROR(LOOKUP(2, 1/SEARCH({"1TB","2TB","128GB","512GB","256GB"}, G151), {"1TB","2TB","128GB","512GB","256GB"}), "")</f>
        <v/>
      </c>
      <c r="AP151" s="58"/>
      <c r="AQ151" s="58" t="str">
        <f>IFERROR(LOOKUP(2, 1/SEARCH({"16-Inch","15-Inch","15.6-Inch","18-Inch","15.3-Inch","13-Inch","13.4-Inch","13.8-Inch","14-Inch","17-Inch","45-Inch","27-Inch","34-Inch","32-Inch","21.5-Inch"}, G151), {"16-Inch","15-Inch","15.6-Inch","18-Inch","15.3-Inch","13-Inch","13.4-Inch","13.8-Inch","14-Inch","17-Inch","45-Inch","27-Inch","34-Inch","32-Inch","21.5-Inch"}), "")</f>
        <v/>
      </c>
      <c r="AR151" s="58"/>
      <c r="AS151" s="91"/>
      <c r="AT151" s="93"/>
      <c r="AU151" s="93"/>
      <c r="AV151" s="93"/>
      <c r="AW151" s="93"/>
    </row>
    <row r="152" spans="1:49" ht="15" customHeight="1" x14ac:dyDescent="0.25">
      <c r="A152" s="59"/>
      <c r="B152" s="12"/>
      <c r="C152" s="12"/>
      <c r="D152" s="60"/>
      <c r="E152" s="6"/>
      <c r="F152" s="6"/>
      <c r="G152" s="12"/>
      <c r="H152" s="12" t="str" cm="2">
        <f t="array" ref="H152">IFERROR(INDEX(BrandList!$A$2:$A$50,MATCH(TRUE,ISNUMBER(SEARCH(BrandList!$A$2:$A$50,G152)),0)),"")</f>
        <v/>
      </c>
      <c r="I152" s="12" t="str" cm="2">
        <f t="array" ref="I152">IFERROR(INDEX(BrandList!$B$2:$B$200,MATCH(TRUE,ISNUMBER(SEARCH(BrandList!$B$2:$B$200,G152)),0)),"")</f>
        <v/>
      </c>
      <c r="J152" s="12"/>
      <c r="K152" s="59"/>
      <c r="L152" s="86"/>
      <c r="M152" s="86"/>
      <c r="N152" s="86"/>
      <c r="O152" s="86"/>
      <c r="P152" s="7" t="str">
        <f t="shared" si="5"/>
        <v/>
      </c>
      <c r="Q152" s="8">
        <f>IFERROR(VLOOKUP(VALUE(A152),WEEKLY_DATA!$A:$H,2,0),0)</f>
        <v>0</v>
      </c>
      <c r="R152" s="8">
        <f>IFERROR(VLOOKUP(VALUE(A152),WEEKLY_DATA!$A:$H,3,0),0)</f>
        <v>0</v>
      </c>
      <c r="S152" s="8">
        <f>IFERROR(VLOOKUP(VALUE(A152),WEEKLY_DATA!$A:$H,4,0),0)</f>
        <v>0</v>
      </c>
      <c r="T152" s="51">
        <f>IFERROR(VLOOKUP(VALUE(A152),WEEKLY_DATA!$A:$H,5,0),0)</f>
        <v>0</v>
      </c>
      <c r="U152" s="51">
        <f>IFERROR(VLOOKUP(VALUE(A152),WEEKLY_DATA!$A:$H,6,0),0)</f>
        <v>0</v>
      </c>
      <c r="V152" s="51">
        <f>IFERROR(VLOOKUP(VALUE(A152),WEEKLY_DATA!$A:$H,7,0),0)</f>
        <v>0</v>
      </c>
      <c r="W152" s="9" t="str">
        <f>IFERROR(IF(OR(Q152="",Q152=0),"",IF(VLOOKUP(VALUE($A152),WEEKLY_DATA!$A:$H,6,0)=0,"No Sales",Q152/(VLOOKUP(VALUE($A152),WEEKLY_DATA!$A:$H,6,0)/13))),"")</f>
        <v/>
      </c>
      <c r="X152" s="10">
        <f>IFERROR(VLOOKUP(VALUE(A152),WEEKLY_DATA!$A:$H,8,0),0)</f>
        <v>0</v>
      </c>
      <c r="Y152" s="13" t="str">
        <f t="shared" si="4"/>
        <v>—</v>
      </c>
      <c r="Z152" s="11"/>
      <c r="AA152" s="11"/>
      <c r="AB152" s="11"/>
      <c r="AC152" s="11"/>
      <c r="AD152" s="11"/>
      <c r="AE152" s="11"/>
      <c r="AF152" s="61" t="s">
        <v>144</v>
      </c>
      <c r="AG152" s="61"/>
      <c r="AH152" s="62" t="s">
        <v>144</v>
      </c>
      <c r="AI152" s="62"/>
      <c r="AJ152" s="61" t="s">
        <v>144</v>
      </c>
      <c r="AK152" s="61" t="s">
        <v>144</v>
      </c>
      <c r="AL152" s="61"/>
      <c r="AM152" s="58" t="str" cm="2">
        <f t="array" ref="AM152">IFERROR(LOOKUP(2, 1/SEARCH({"Black","White","Grey","Blue","Silver","Brown","Green","Blue","Purple","Red","Pink","Yellow","Gold"}, G152), {"Black","White","Grey","Blue","Silver","Brown","Green","Blue","Purple","Red","Pink","Yellow","Gold"}), "")</f>
        <v/>
      </c>
      <c r="AN152" s="58" t="str">
        <f>IFERROR(LOOKUP(2, 1/SEARCH({"8GB","16GB","32GB","64GB"}, G152), {"8GB","16GB","32GB","64GB"}), "")</f>
        <v/>
      </c>
      <c r="AO152" s="58" t="str">
        <f>IFERROR(LOOKUP(2, 1/SEARCH({"1TB","2TB","128GB","512GB","256GB"}, G152), {"1TB","2TB","128GB","512GB","256GB"}), "")</f>
        <v/>
      </c>
      <c r="AP152" s="58"/>
      <c r="AQ152" s="58" t="str">
        <f>IFERROR(LOOKUP(2, 1/SEARCH({"16-Inch","15-Inch","15.6-Inch","18-Inch","15.3-Inch","13-Inch","13.4-Inch","13.8-Inch","14-Inch","17-Inch","45-Inch","27-Inch","34-Inch","32-Inch","21.5-Inch"}, G152), {"16-Inch","15-Inch","15.6-Inch","18-Inch","15.3-Inch","13-Inch","13.4-Inch","13.8-Inch","14-Inch","17-Inch","45-Inch","27-Inch","34-Inch","32-Inch","21.5-Inch"}), "")</f>
        <v/>
      </c>
      <c r="AR152" s="58"/>
      <c r="AS152" s="91"/>
      <c r="AT152" s="93"/>
      <c r="AU152" s="93"/>
      <c r="AV152" s="93"/>
      <c r="AW152" s="93"/>
    </row>
    <row r="153" spans="1:49" ht="15" customHeight="1" x14ac:dyDescent="0.25">
      <c r="A153" s="59"/>
      <c r="B153" s="12"/>
      <c r="C153" s="12"/>
      <c r="D153" s="60"/>
      <c r="E153" s="6"/>
      <c r="F153" s="6"/>
      <c r="G153" s="12"/>
      <c r="H153" s="12" t="str" cm="2">
        <f t="array" ref="H153">IFERROR(INDEX(BrandList!$A$2:$A$50,MATCH(TRUE,ISNUMBER(SEARCH(BrandList!$A$2:$A$50,G153)),0)),"")</f>
        <v/>
      </c>
      <c r="I153" s="12" t="str" cm="2">
        <f t="array" ref="I153">IFERROR(INDEX(BrandList!$B$2:$B$200,MATCH(TRUE,ISNUMBER(SEARCH(BrandList!$B$2:$B$200,G153)),0)),"")</f>
        <v/>
      </c>
      <c r="J153" s="12"/>
      <c r="K153" s="12"/>
      <c r="L153" s="60"/>
      <c r="M153" s="60"/>
      <c r="N153" s="60"/>
      <c r="O153" s="60"/>
      <c r="P153" s="7" t="str">
        <f t="shared" si="5"/>
        <v/>
      </c>
      <c r="Q153" s="8">
        <f>IFERROR(VLOOKUP(VALUE(A153),WEEKLY_DATA!$A:$H,2,0),0)</f>
        <v>0</v>
      </c>
      <c r="R153" s="8">
        <f>IFERROR(VLOOKUP(VALUE(A153),WEEKLY_DATA!$A:$H,3,0),0)</f>
        <v>0</v>
      </c>
      <c r="S153" s="8">
        <f>IFERROR(VLOOKUP(VALUE(A153),WEEKLY_DATA!$A:$H,4,0),0)</f>
        <v>0</v>
      </c>
      <c r="T153" s="51">
        <f>IFERROR(VLOOKUP(VALUE(A153),WEEKLY_DATA!$A:$H,5,0),0)</f>
        <v>0</v>
      </c>
      <c r="U153" s="51">
        <f>IFERROR(VLOOKUP(VALUE(A153),WEEKLY_DATA!$A:$H,6,0),0)</f>
        <v>0</v>
      </c>
      <c r="V153" s="51">
        <f>IFERROR(VLOOKUP(VALUE(A153),WEEKLY_DATA!$A:$H,7,0),0)</f>
        <v>0</v>
      </c>
      <c r="W153" s="9" t="str">
        <f>IFERROR(IF(OR(Q153="",Q153=0),"",IF(VLOOKUP(VALUE($A153),WEEKLY_DATA!$A:$H,6,0)=0,"No Sales",Q153/(VLOOKUP(VALUE($A153),WEEKLY_DATA!$A:$H,6,0)/13))),"")</f>
        <v/>
      </c>
      <c r="X153" s="10">
        <f>IFERROR(VLOOKUP(VALUE(A153),WEEKLY_DATA!$A:$H,8,0),0)</f>
        <v>0</v>
      </c>
      <c r="Y153" s="13" t="str">
        <f t="shared" si="4"/>
        <v>—</v>
      </c>
      <c r="Z153" s="11"/>
      <c r="AA153" s="11"/>
      <c r="AB153" s="11"/>
      <c r="AC153" s="11"/>
      <c r="AD153" s="11"/>
      <c r="AE153" s="11"/>
      <c r="AF153" s="61" t="s">
        <v>144</v>
      </c>
      <c r="AG153" s="61"/>
      <c r="AH153" s="62"/>
      <c r="AI153" s="62"/>
      <c r="AJ153" s="61" t="s">
        <v>144</v>
      </c>
      <c r="AK153" s="61" t="s">
        <v>144</v>
      </c>
      <c r="AL153" s="61"/>
      <c r="AM153" s="58" t="str" cm="2">
        <f t="array" ref="AM153">IFERROR(LOOKUP(2, 1/SEARCH({"Black","White","Grey","Blue","Silver","Brown","Green","Blue","Purple","Red","Pink","Yellow","Gold"}, G153), {"Black","White","Grey","Blue","Silver","Brown","Green","Blue","Purple","Red","Pink","Yellow","Gold"}), "")</f>
        <v/>
      </c>
      <c r="AN153" s="58" t="str">
        <f>IFERROR(LOOKUP(2, 1/SEARCH({"8GB","16GB","32GB","64GB"}, G153), {"8GB","16GB","32GB","64GB"}), "")</f>
        <v/>
      </c>
      <c r="AO153" s="58" t="str">
        <f>IFERROR(LOOKUP(2, 1/SEARCH({"1TB","2TB","128GB","512GB","256GB"}, G153), {"1TB","2TB","128GB","512GB","256GB"}), "")</f>
        <v/>
      </c>
      <c r="AP153" s="58"/>
      <c r="AQ153" s="58" t="str">
        <f>IFERROR(LOOKUP(2, 1/SEARCH({"16-Inch","15-Inch","15.6-Inch","18-Inch","15.3-Inch","13-Inch","13.4-Inch","13.8-Inch","14-Inch","17-Inch","45-Inch","27-Inch","34-Inch","32-Inch","21.5-Inch"}, G153), {"16-Inch","15-Inch","15.6-Inch","18-Inch","15.3-Inch","13-Inch","13.4-Inch","13.8-Inch","14-Inch","17-Inch","45-Inch","27-Inch","34-Inch","32-Inch","21.5-Inch"}), "")</f>
        <v/>
      </c>
      <c r="AR153" s="58"/>
      <c r="AS153" s="91"/>
      <c r="AT153" s="93"/>
      <c r="AU153" s="93"/>
      <c r="AV153" s="93"/>
      <c r="AW153" s="93"/>
    </row>
    <row r="154" spans="1:49" ht="15" customHeight="1" x14ac:dyDescent="0.25">
      <c r="A154" s="59"/>
      <c r="B154" s="12"/>
      <c r="C154" s="12"/>
      <c r="D154" s="60"/>
      <c r="E154" s="6"/>
      <c r="F154" s="6"/>
      <c r="G154" s="12"/>
      <c r="H154" s="12" t="str" cm="2">
        <f t="array" ref="H154">IFERROR(INDEX(BrandList!$A$2:$A$50,MATCH(TRUE,ISNUMBER(SEARCH(BrandList!$A$2:$A$50,G154)),0)),"")</f>
        <v/>
      </c>
      <c r="I154" s="12" t="str" cm="2">
        <f t="array" ref="I154">IFERROR(INDEX(BrandList!$B$2:$B$200,MATCH(TRUE,ISNUMBER(SEARCH(BrandList!$B$2:$B$200,G154)),0)),"")</f>
        <v/>
      </c>
      <c r="J154" s="12"/>
      <c r="K154" s="59"/>
      <c r="L154" s="86"/>
      <c r="M154" s="86"/>
      <c r="N154" s="86"/>
      <c r="O154" s="86"/>
      <c r="P154" s="7" t="str">
        <f t="shared" si="5"/>
        <v/>
      </c>
      <c r="Q154" s="8">
        <f>IFERROR(VLOOKUP(VALUE(A154),WEEKLY_DATA!$A:$H,2,0),0)</f>
        <v>0</v>
      </c>
      <c r="R154" s="8">
        <f>IFERROR(VLOOKUP(VALUE(A154),WEEKLY_DATA!$A:$H,3,0),0)</f>
        <v>0</v>
      </c>
      <c r="S154" s="8">
        <f>IFERROR(VLOOKUP(VALUE(A154),WEEKLY_DATA!$A:$H,4,0),0)</f>
        <v>0</v>
      </c>
      <c r="T154" s="51">
        <f>IFERROR(VLOOKUP(VALUE(A154),WEEKLY_DATA!$A:$H,5,0),0)</f>
        <v>0</v>
      </c>
      <c r="U154" s="51">
        <f>IFERROR(VLOOKUP(VALUE(A154),WEEKLY_DATA!$A:$H,6,0),0)</f>
        <v>0</v>
      </c>
      <c r="V154" s="51">
        <f>IFERROR(VLOOKUP(VALUE(A154),WEEKLY_DATA!$A:$H,7,0),0)</f>
        <v>0</v>
      </c>
      <c r="W154" s="9" t="str">
        <f>IFERROR(IF(OR(Q154="",Q154=0),"",IF(VLOOKUP(VALUE($A154),WEEKLY_DATA!$A:$H,6,0)=0,"No Sales",Q154/(VLOOKUP(VALUE($A154),WEEKLY_DATA!$A:$H,6,0)/13))),"")</f>
        <v/>
      </c>
      <c r="X154" s="10">
        <f>IFERROR(VLOOKUP(VALUE(A154),WEEKLY_DATA!$A:$H,8,0),0)</f>
        <v>0</v>
      </c>
      <c r="Y154" s="13" t="str">
        <f t="shared" si="4"/>
        <v>—</v>
      </c>
      <c r="Z154" s="11"/>
      <c r="AA154" s="11"/>
      <c r="AB154" s="11"/>
      <c r="AC154" s="11"/>
      <c r="AD154" s="11"/>
      <c r="AE154" s="11"/>
      <c r="AF154" s="61" t="s">
        <v>144</v>
      </c>
      <c r="AG154" s="61"/>
      <c r="AH154" s="62"/>
      <c r="AI154" s="62"/>
      <c r="AJ154" s="61" t="s">
        <v>144</v>
      </c>
      <c r="AK154" s="61" t="s">
        <v>144</v>
      </c>
      <c r="AL154" s="61"/>
      <c r="AM154" s="58" t="str" cm="2">
        <f t="array" ref="AM154">IFERROR(LOOKUP(2, 1/SEARCH({"Black","White","Grey","Blue","Silver","Brown","Green","Blue","Purple","Red","Pink","Yellow","Gold"}, G154), {"Black","White","Grey","Blue","Silver","Brown","Green","Blue","Purple","Red","Pink","Yellow","Gold"}), "")</f>
        <v/>
      </c>
      <c r="AN154" s="58" t="str">
        <f>IFERROR(LOOKUP(2, 1/SEARCH({"8GB","16GB","32GB","64GB"}, G154), {"8GB","16GB","32GB","64GB"}), "")</f>
        <v/>
      </c>
      <c r="AO154" s="58" t="str">
        <f>IFERROR(LOOKUP(2, 1/SEARCH({"1TB","2TB","128GB","512GB","256GB"}, G154), {"1TB","2TB","128GB","512GB","256GB"}), "")</f>
        <v/>
      </c>
      <c r="AP154" s="58"/>
      <c r="AQ154" s="58" t="str">
        <f>IFERROR(LOOKUP(2, 1/SEARCH({"16-Inch","15-Inch","15.6-Inch","18-Inch","15.3-Inch","13-Inch","13.4-Inch","13.8-Inch","14-Inch","17-Inch","45-Inch","27-Inch","34-Inch","32-Inch","21.5-Inch"}, G154), {"16-Inch","15-Inch","15.6-Inch","18-Inch","15.3-Inch","13-Inch","13.4-Inch","13.8-Inch","14-Inch","17-Inch","45-Inch","27-Inch","34-Inch","32-Inch","21.5-Inch"}), "")</f>
        <v/>
      </c>
      <c r="AR154" s="58"/>
      <c r="AS154" s="91"/>
      <c r="AT154" s="93"/>
      <c r="AU154" s="93"/>
      <c r="AV154" s="93"/>
      <c r="AW154" s="93"/>
    </row>
    <row r="155" spans="1:49" ht="15" customHeight="1" x14ac:dyDescent="0.25">
      <c r="A155" s="59"/>
      <c r="B155" s="12"/>
      <c r="C155" s="12"/>
      <c r="D155" s="60"/>
      <c r="E155" s="6"/>
      <c r="F155" s="6"/>
      <c r="G155" s="12"/>
      <c r="H155" s="12" t="str" cm="2">
        <f t="array" ref="H155">IFERROR(INDEX(BrandList!$A$2:$A$50,MATCH(TRUE,ISNUMBER(SEARCH(BrandList!$A$2:$A$50,G155)),0)),"")</f>
        <v/>
      </c>
      <c r="I155" s="12" t="str" cm="2">
        <f t="array" ref="I155">IFERROR(INDEX(BrandList!$B$2:$B$200,MATCH(TRUE,ISNUMBER(SEARCH(BrandList!$B$2:$B$200,G155)),0)),"")</f>
        <v/>
      </c>
      <c r="J155" s="12"/>
      <c r="K155" s="12"/>
      <c r="L155" s="60"/>
      <c r="M155" s="60"/>
      <c r="N155" s="60"/>
      <c r="O155" s="60"/>
      <c r="P155" s="7" t="str">
        <f t="shared" si="5"/>
        <v/>
      </c>
      <c r="Q155" s="8">
        <f>IFERROR(VLOOKUP(VALUE(A155),WEEKLY_DATA!$A:$H,2,0),0)</f>
        <v>0</v>
      </c>
      <c r="R155" s="8">
        <f>IFERROR(VLOOKUP(VALUE(A155),WEEKLY_DATA!$A:$H,3,0),0)</f>
        <v>0</v>
      </c>
      <c r="S155" s="8">
        <f>IFERROR(VLOOKUP(VALUE(A155),WEEKLY_DATA!$A:$H,4,0),0)</f>
        <v>0</v>
      </c>
      <c r="T155" s="51">
        <f>IFERROR(VLOOKUP(VALUE(A155),WEEKLY_DATA!$A:$H,5,0),0)</f>
        <v>0</v>
      </c>
      <c r="U155" s="51">
        <f>IFERROR(VLOOKUP(VALUE(A155),WEEKLY_DATA!$A:$H,6,0),0)</f>
        <v>0</v>
      </c>
      <c r="V155" s="51">
        <f>IFERROR(VLOOKUP(VALUE(A155),WEEKLY_DATA!$A:$H,7,0),0)</f>
        <v>0</v>
      </c>
      <c r="W155" s="9" t="str">
        <f>IFERROR(IF(OR(Q155="",Q155=0),"",IF(VLOOKUP(VALUE($A155),WEEKLY_DATA!$A:$H,6,0)=0,"No Sales",Q155/(VLOOKUP(VALUE($A155),WEEKLY_DATA!$A:$H,6,0)/13))),"")</f>
        <v/>
      </c>
      <c r="X155" s="10">
        <f>IFERROR(VLOOKUP(VALUE(A155),WEEKLY_DATA!$A:$H,8,0),0)</f>
        <v>0</v>
      </c>
      <c r="Y155" s="13" t="str">
        <f t="shared" si="4"/>
        <v>—</v>
      </c>
      <c r="Z155" s="11"/>
      <c r="AA155" s="11"/>
      <c r="AB155" s="11"/>
      <c r="AC155" s="11"/>
      <c r="AD155" s="11"/>
      <c r="AE155" s="11"/>
      <c r="AF155" s="61" t="s">
        <v>144</v>
      </c>
      <c r="AG155" s="61"/>
      <c r="AH155" s="62"/>
      <c r="AI155" s="62"/>
      <c r="AJ155" s="61" t="s">
        <v>144</v>
      </c>
      <c r="AK155" s="61" t="s">
        <v>144</v>
      </c>
      <c r="AL155" s="61"/>
      <c r="AM155" s="58" t="str" cm="2">
        <f t="array" ref="AM155">IFERROR(LOOKUP(2, 1/SEARCH({"Black","White","Grey","Blue","Silver","Brown","Green","Blue","Purple","Red","Pink","Yellow","Gold"}, G155), {"Black","White","Grey","Blue","Silver","Brown","Green","Blue","Purple","Red","Pink","Yellow","Gold"}), "")</f>
        <v/>
      </c>
      <c r="AN155" s="58" t="str">
        <f>IFERROR(LOOKUP(2, 1/SEARCH({"8GB","16GB","32GB","64GB"}, G155), {"8GB","16GB","32GB","64GB"}), "")</f>
        <v/>
      </c>
      <c r="AO155" s="58" t="str">
        <f>IFERROR(LOOKUP(2, 1/SEARCH({"1TB","2TB","128GB","512GB","256GB"}, G155), {"1TB","2TB","128GB","512GB","256GB"}), "")</f>
        <v/>
      </c>
      <c r="AP155" s="58"/>
      <c r="AQ155" s="58" t="str">
        <f>IFERROR(LOOKUP(2, 1/SEARCH({"16-Inch","15-Inch","15.6-Inch","18-Inch","15.3-Inch","13-Inch","13.4-Inch","13.8-Inch","14-Inch","17-Inch","45-Inch","27-Inch","34-Inch","32-Inch","21.5-Inch"}, G155), {"16-Inch","15-Inch","15.6-Inch","18-Inch","15.3-Inch","13-Inch","13.4-Inch","13.8-Inch","14-Inch","17-Inch","45-Inch","27-Inch","34-Inch","32-Inch","21.5-Inch"}), "")</f>
        <v/>
      </c>
      <c r="AR155" s="58"/>
      <c r="AS155" s="91"/>
      <c r="AT155" s="93"/>
      <c r="AU155" s="93"/>
      <c r="AV155" s="93"/>
      <c r="AW155" s="93"/>
    </row>
    <row r="156" spans="1:49" ht="15" customHeight="1" x14ac:dyDescent="0.25">
      <c r="A156" s="59"/>
      <c r="B156" s="12"/>
      <c r="C156" s="12"/>
      <c r="D156" s="60"/>
      <c r="E156" s="6"/>
      <c r="F156" s="6"/>
      <c r="G156" s="12"/>
      <c r="H156" s="12" t="str" cm="2">
        <f t="array" ref="H156">IFERROR(INDEX(BrandList!$A$2:$A$50,MATCH(TRUE,ISNUMBER(SEARCH(BrandList!$A$2:$A$50,G156)),0)),"")</f>
        <v/>
      </c>
      <c r="I156" s="12" t="str" cm="2">
        <f t="array" ref="I156">IFERROR(INDEX(BrandList!$B$2:$B$200,MATCH(TRUE,ISNUMBER(SEARCH(BrandList!$B$2:$B$200,G156)),0)),"")</f>
        <v/>
      </c>
      <c r="J156" s="12"/>
      <c r="K156" s="59"/>
      <c r="L156" s="86"/>
      <c r="M156" s="86"/>
      <c r="N156" s="86"/>
      <c r="O156" s="86"/>
      <c r="P156" s="7" t="str">
        <f t="shared" si="5"/>
        <v/>
      </c>
      <c r="Q156" s="8">
        <f>IFERROR(VLOOKUP(VALUE(A156),WEEKLY_DATA!$A:$H,2,0),0)</f>
        <v>0</v>
      </c>
      <c r="R156" s="8">
        <f>IFERROR(VLOOKUP(VALUE(A156),WEEKLY_DATA!$A:$H,3,0),0)</f>
        <v>0</v>
      </c>
      <c r="S156" s="8">
        <f>IFERROR(VLOOKUP(VALUE(A156),WEEKLY_DATA!$A:$H,4,0),0)</f>
        <v>0</v>
      </c>
      <c r="T156" s="51">
        <f>IFERROR(VLOOKUP(VALUE(A156),WEEKLY_DATA!$A:$H,5,0),0)</f>
        <v>0</v>
      </c>
      <c r="U156" s="51">
        <f>IFERROR(VLOOKUP(VALUE(A156),WEEKLY_DATA!$A:$H,6,0),0)</f>
        <v>0</v>
      </c>
      <c r="V156" s="51">
        <f>IFERROR(VLOOKUP(VALUE(A156),WEEKLY_DATA!$A:$H,7,0),0)</f>
        <v>0</v>
      </c>
      <c r="W156" s="9" t="str">
        <f>IFERROR(IF(OR(Q156="",Q156=0),"",IF(VLOOKUP(VALUE($A156),WEEKLY_DATA!$A:$H,6,0)=0,"No Sales",Q156/(VLOOKUP(VALUE($A156),WEEKLY_DATA!$A:$H,6,0)/13))),"")</f>
        <v/>
      </c>
      <c r="X156" s="10">
        <f>IFERROR(VLOOKUP(VALUE(A156),WEEKLY_DATA!$A:$H,8,0),0)</f>
        <v>0</v>
      </c>
      <c r="Y156" s="13" t="str">
        <f t="shared" si="4"/>
        <v>—</v>
      </c>
      <c r="Z156" s="11"/>
      <c r="AA156" s="11"/>
      <c r="AB156" s="11"/>
      <c r="AC156" s="11"/>
      <c r="AD156" s="11"/>
      <c r="AE156" s="11"/>
      <c r="AF156" s="61"/>
      <c r="AG156" s="61"/>
      <c r="AH156" s="62"/>
      <c r="AI156" s="62"/>
      <c r="AJ156" s="61"/>
      <c r="AK156" s="61"/>
      <c r="AL156" s="61"/>
      <c r="AM156" s="58" t="str" cm="2">
        <f t="array" ref="AM156">IFERROR(LOOKUP(2, 1/SEARCH({"Black","White","Grey","Blue","Silver","Brown","Green","Blue","Purple","Red","Pink","Yellow","Gold"}, G156), {"Black","White","Grey","Blue","Silver","Brown","Green","Blue","Purple","Red","Pink","Yellow","Gold"}), "")</f>
        <v/>
      </c>
      <c r="AN156" s="58" t="str">
        <f>IFERROR(LOOKUP(2, 1/SEARCH({"8GB","16GB","32GB","64GB"}, G156), {"8GB","16GB","32GB","64GB"}), "")</f>
        <v/>
      </c>
      <c r="AO156" s="58" t="str">
        <f>IFERROR(LOOKUP(2, 1/SEARCH({"1TB","2TB","128GB","512GB","256GB"}, G156), {"1TB","2TB","128GB","512GB","256GB"}), "")</f>
        <v/>
      </c>
      <c r="AP156" s="58"/>
      <c r="AQ156" s="58" t="str">
        <f>IFERROR(LOOKUP(2, 1/SEARCH({"16-Inch","15-Inch","15.6-Inch","18-Inch","15.3-Inch","13-Inch","13.4-Inch","13.8-Inch","14-Inch","17-Inch","45-Inch","27-Inch","34-Inch","32-Inch","21.5-Inch"}, G156), {"16-Inch","15-Inch","15.6-Inch","18-Inch","15.3-Inch","13-Inch","13.4-Inch","13.8-Inch","14-Inch","17-Inch","45-Inch","27-Inch","34-Inch","32-Inch","21.5-Inch"}), "")</f>
        <v/>
      </c>
      <c r="AR156" s="58"/>
      <c r="AS156" s="91"/>
      <c r="AT156" s="93"/>
      <c r="AU156" s="93"/>
      <c r="AV156" s="93"/>
      <c r="AW156" s="93"/>
    </row>
    <row r="157" spans="1:49" ht="15" customHeight="1" x14ac:dyDescent="0.25">
      <c r="A157" s="59"/>
      <c r="B157" s="12"/>
      <c r="C157" s="12"/>
      <c r="D157" s="60"/>
      <c r="E157" s="6"/>
      <c r="F157" s="6"/>
      <c r="G157" s="12"/>
      <c r="H157" s="12" t="str" cm="2">
        <f t="array" ref="H157">IFERROR(INDEX(BrandList!$A$2:$A$50,MATCH(TRUE,ISNUMBER(SEARCH(BrandList!$A$2:$A$50,G157)),0)),"")</f>
        <v/>
      </c>
      <c r="I157" s="12" t="str" cm="2">
        <f t="array" ref="I157">IFERROR(INDEX(BrandList!$B$2:$B$200,MATCH(TRUE,ISNUMBER(SEARCH(BrandList!$B$2:$B$200,G157)),0)),"")</f>
        <v/>
      </c>
      <c r="J157" s="12"/>
      <c r="K157" s="59"/>
      <c r="L157" s="86"/>
      <c r="M157" s="86"/>
      <c r="N157" s="86"/>
      <c r="O157" s="86"/>
      <c r="P157" s="7" t="str">
        <f t="shared" si="5"/>
        <v/>
      </c>
      <c r="Q157" s="8">
        <f>IFERROR(VLOOKUP(VALUE(A157),WEEKLY_DATA!$A:$H,2,0),0)</f>
        <v>0</v>
      </c>
      <c r="R157" s="8">
        <f>IFERROR(VLOOKUP(VALUE(A157),WEEKLY_DATA!$A:$H,3,0),0)</f>
        <v>0</v>
      </c>
      <c r="S157" s="8">
        <f>IFERROR(VLOOKUP(VALUE(A157),WEEKLY_DATA!$A:$H,4,0),0)</f>
        <v>0</v>
      </c>
      <c r="T157" s="51">
        <f>IFERROR(VLOOKUP(VALUE(A157),WEEKLY_DATA!$A:$H,5,0),0)</f>
        <v>0</v>
      </c>
      <c r="U157" s="51">
        <f>IFERROR(VLOOKUP(VALUE(A157),WEEKLY_DATA!$A:$H,6,0),0)</f>
        <v>0</v>
      </c>
      <c r="V157" s="51">
        <f>IFERROR(VLOOKUP(VALUE(A157),WEEKLY_DATA!$A:$H,7,0),0)</f>
        <v>0</v>
      </c>
      <c r="W157" s="9" t="str">
        <f>IFERROR(IF(OR(Q157="",Q157=0),"",IF(VLOOKUP(VALUE($A157),WEEKLY_DATA!$A:$H,6,0)=0,"No Sales",Q157/(VLOOKUP(VALUE($A157),WEEKLY_DATA!$A:$H,6,0)/13))),"")</f>
        <v/>
      </c>
      <c r="X157" s="10">
        <f>IFERROR(VLOOKUP(VALUE(A157),WEEKLY_DATA!$A:$H,8,0),0)</f>
        <v>0</v>
      </c>
      <c r="Y157" s="13" t="str">
        <f t="shared" si="4"/>
        <v>—</v>
      </c>
      <c r="Z157" s="11"/>
      <c r="AA157" s="11"/>
      <c r="AB157" s="11"/>
      <c r="AC157" s="11"/>
      <c r="AD157" s="11"/>
      <c r="AE157" s="11"/>
      <c r="AF157" s="61"/>
      <c r="AG157" s="61"/>
      <c r="AH157" s="62"/>
      <c r="AI157" s="62"/>
      <c r="AJ157" s="61"/>
      <c r="AK157" s="61"/>
      <c r="AL157" s="61"/>
      <c r="AM157" s="58" t="str" cm="2">
        <f t="array" ref="AM157">IFERROR(LOOKUP(2, 1/SEARCH({"Black","White","Grey","Blue","Silver","Brown","Green","Blue","Purple","Red","Pink","Yellow","Gold"}, G157), {"Black","White","Grey","Blue","Silver","Brown","Green","Blue","Purple","Red","Pink","Yellow","Gold"}), "")</f>
        <v/>
      </c>
      <c r="AN157" s="58" t="str">
        <f>IFERROR(LOOKUP(2, 1/SEARCH({"8GB","16GB","32GB","64GB"}, G157), {"8GB","16GB","32GB","64GB"}), "")</f>
        <v/>
      </c>
      <c r="AO157" s="58" t="str">
        <f>IFERROR(LOOKUP(2, 1/SEARCH({"1TB","2TB","128GB","512GB","256GB"}, G157), {"1TB","2TB","128GB","512GB","256GB"}), "")</f>
        <v/>
      </c>
      <c r="AP157" s="58"/>
      <c r="AQ157" s="58" t="str">
        <f>IFERROR(LOOKUP(2, 1/SEARCH({"16-Inch","15-Inch","15.6-Inch","18-Inch","15.3-Inch","13-Inch","13.4-Inch","13.8-Inch","14-Inch","17-Inch","45-Inch","27-Inch","34-Inch","32-Inch","21.5-Inch"}, G157), {"16-Inch","15-Inch","15.6-Inch","18-Inch","15.3-Inch","13-Inch","13.4-Inch","13.8-Inch","14-Inch","17-Inch","45-Inch","27-Inch","34-Inch","32-Inch","21.5-Inch"}), "")</f>
        <v/>
      </c>
      <c r="AR157" s="58"/>
      <c r="AS157" s="91"/>
      <c r="AT157" s="93"/>
      <c r="AU157" s="93"/>
      <c r="AV157" s="93"/>
      <c r="AW157" s="93"/>
    </row>
    <row r="158" spans="1:49" ht="15" customHeight="1" x14ac:dyDescent="0.25">
      <c r="A158" s="59"/>
      <c r="B158" s="12"/>
      <c r="C158" s="12"/>
      <c r="D158" s="60"/>
      <c r="E158" s="6"/>
      <c r="F158" s="6"/>
      <c r="G158" s="12"/>
      <c r="H158" s="12" t="str" cm="2">
        <f t="array" ref="H158">IFERROR(INDEX(BrandList!$A$2:$A$50,MATCH(TRUE,ISNUMBER(SEARCH(BrandList!$A$2:$A$50,G158)),0)),"")</f>
        <v/>
      </c>
      <c r="I158" s="12" t="str" cm="2">
        <f t="array" ref="I158">IFERROR(INDEX(BrandList!$B$2:$B$200,MATCH(TRUE,ISNUMBER(SEARCH(BrandList!$B$2:$B$200,G158)),0)),"")</f>
        <v/>
      </c>
      <c r="J158" s="12"/>
      <c r="K158" s="59"/>
      <c r="L158" s="86"/>
      <c r="M158" s="86"/>
      <c r="N158" s="86"/>
      <c r="O158" s="86"/>
      <c r="P158" s="7" t="str">
        <f t="shared" si="5"/>
        <v/>
      </c>
      <c r="Q158" s="8">
        <f>IFERROR(VLOOKUP(VALUE(A158),WEEKLY_DATA!$A:$H,2,0),0)</f>
        <v>0</v>
      </c>
      <c r="R158" s="8">
        <f>IFERROR(VLOOKUP(VALUE(A158),WEEKLY_DATA!$A:$H,3,0),0)</f>
        <v>0</v>
      </c>
      <c r="S158" s="8">
        <f>IFERROR(VLOOKUP(VALUE(A158),WEEKLY_DATA!$A:$H,4,0),0)</f>
        <v>0</v>
      </c>
      <c r="T158" s="51">
        <f>IFERROR(VLOOKUP(VALUE(A158),WEEKLY_DATA!$A:$H,5,0),0)</f>
        <v>0</v>
      </c>
      <c r="U158" s="51">
        <f>IFERROR(VLOOKUP(VALUE(A158),WEEKLY_DATA!$A:$H,6,0),0)</f>
        <v>0</v>
      </c>
      <c r="V158" s="51">
        <f>IFERROR(VLOOKUP(VALUE(A158),WEEKLY_DATA!$A:$H,7,0),0)</f>
        <v>0</v>
      </c>
      <c r="W158" s="9" t="str">
        <f>IFERROR(IF(OR(Q158="",Q158=0),"",IF(VLOOKUP(VALUE($A158),WEEKLY_DATA!$A:$H,6,0)=0,"No Sales",Q158/(VLOOKUP(VALUE($A158),WEEKLY_DATA!$A:$H,6,0)/13))),"")</f>
        <v/>
      </c>
      <c r="X158" s="10">
        <f>IFERROR(VLOOKUP(VALUE(A158),WEEKLY_DATA!$A:$H,8,0),0)</f>
        <v>0</v>
      </c>
      <c r="Y158" s="13" t="str">
        <f t="shared" si="4"/>
        <v>—</v>
      </c>
      <c r="Z158" s="11"/>
      <c r="AA158" s="11"/>
      <c r="AB158" s="11"/>
      <c r="AC158" s="11"/>
      <c r="AD158" s="11"/>
      <c r="AE158" s="11"/>
      <c r="AF158" s="61"/>
      <c r="AG158" s="61"/>
      <c r="AH158" s="62"/>
      <c r="AI158" s="62"/>
      <c r="AJ158" s="61"/>
      <c r="AK158" s="61"/>
      <c r="AL158" s="61"/>
      <c r="AM158" s="58" t="str" cm="2">
        <f t="array" ref="AM158">IFERROR(LOOKUP(2, 1/SEARCH({"Black","White","Grey","Blue","Silver","Brown","Green","Blue","Purple","Red","Pink","Yellow","Gold"}, G158), {"Black","White","Grey","Blue","Silver","Brown","Green","Blue","Purple","Red","Pink","Yellow","Gold"}), "")</f>
        <v/>
      </c>
      <c r="AN158" s="58" t="str">
        <f>IFERROR(LOOKUP(2, 1/SEARCH({"8GB","16GB","32GB","64GB"}, G158), {"8GB","16GB","32GB","64GB"}), "")</f>
        <v/>
      </c>
      <c r="AO158" s="58" t="str">
        <f>IFERROR(LOOKUP(2, 1/SEARCH({"1TB","2TB","128GB","512GB","256GB"}, G158), {"1TB","2TB","128GB","512GB","256GB"}), "")</f>
        <v/>
      </c>
      <c r="AP158" s="58"/>
      <c r="AQ158" s="58" t="str">
        <f>IFERROR(LOOKUP(2, 1/SEARCH({"16-Inch","15-Inch","15.6-Inch","18-Inch","15.3-Inch","13-Inch","13.4-Inch","13.8-Inch","14-Inch","17-Inch","45-Inch","27-Inch","34-Inch","32-Inch","21.5-Inch"}, G158), {"16-Inch","15-Inch","15.6-Inch","18-Inch","15.3-Inch","13-Inch","13.4-Inch","13.8-Inch","14-Inch","17-Inch","45-Inch","27-Inch","34-Inch","32-Inch","21.5-Inch"}), "")</f>
        <v/>
      </c>
      <c r="AR158" s="58"/>
      <c r="AS158" s="91"/>
      <c r="AT158" s="93"/>
      <c r="AU158" s="93"/>
      <c r="AV158" s="93"/>
      <c r="AW158" s="93"/>
    </row>
    <row r="159" spans="1:49" ht="15" customHeight="1" x14ac:dyDescent="0.25">
      <c r="A159" s="59"/>
      <c r="B159" s="12"/>
      <c r="C159" s="12"/>
      <c r="D159" s="60"/>
      <c r="E159" s="6"/>
      <c r="F159" s="6"/>
      <c r="G159" s="12"/>
      <c r="H159" s="12" t="str" cm="2">
        <f t="array" ref="H159">IFERROR(INDEX(BrandList!$A$2:$A$50,MATCH(TRUE,ISNUMBER(SEARCH(BrandList!$A$2:$A$50,G159)),0)),"")</f>
        <v/>
      </c>
      <c r="I159" s="12" t="str" cm="2">
        <f t="array" ref="I159">IFERROR(INDEX(BrandList!$B$2:$B$200,MATCH(TRUE,ISNUMBER(SEARCH(BrandList!$B$2:$B$200,G159)),0)),"")</f>
        <v/>
      </c>
      <c r="J159" s="12"/>
      <c r="K159" s="12"/>
      <c r="L159" s="60"/>
      <c r="M159" s="60"/>
      <c r="N159" s="60"/>
      <c r="O159" s="60"/>
      <c r="P159" s="7" t="str">
        <f t="shared" si="5"/>
        <v/>
      </c>
      <c r="Q159" s="8">
        <f>IFERROR(VLOOKUP(VALUE(A159),WEEKLY_DATA!$A:$H,2,0),0)</f>
        <v>0</v>
      </c>
      <c r="R159" s="8">
        <f>IFERROR(VLOOKUP(VALUE(A159),WEEKLY_DATA!$A:$H,3,0),0)</f>
        <v>0</v>
      </c>
      <c r="S159" s="8">
        <f>IFERROR(VLOOKUP(VALUE(A159),WEEKLY_DATA!$A:$H,4,0),0)</f>
        <v>0</v>
      </c>
      <c r="T159" s="51">
        <f>IFERROR(VLOOKUP(VALUE(A159),WEEKLY_DATA!$A:$H,5,0),0)</f>
        <v>0</v>
      </c>
      <c r="U159" s="51">
        <f>IFERROR(VLOOKUP(VALUE(A159),WEEKLY_DATA!$A:$H,6,0),0)</f>
        <v>0</v>
      </c>
      <c r="V159" s="51">
        <f>IFERROR(VLOOKUP(VALUE(A159),WEEKLY_DATA!$A:$H,7,0),0)</f>
        <v>0</v>
      </c>
      <c r="W159" s="9" t="str">
        <f>IFERROR(IF(OR(Q159="",Q159=0),"",IF(VLOOKUP(VALUE($A159),WEEKLY_DATA!$A:$H,6,0)=0,"No Sales",Q159/(VLOOKUP(VALUE($A159),WEEKLY_DATA!$A:$H,6,0)/13))),"")</f>
        <v/>
      </c>
      <c r="X159" s="10">
        <f>IFERROR(VLOOKUP(VALUE(A159),WEEKLY_DATA!$A:$H,8,0),0)</f>
        <v>0</v>
      </c>
      <c r="Y159" s="13" t="str">
        <f t="shared" si="4"/>
        <v>—</v>
      </c>
      <c r="Z159" s="11"/>
      <c r="AA159" s="11"/>
      <c r="AB159" s="11"/>
      <c r="AC159" s="11"/>
      <c r="AD159" s="11"/>
      <c r="AE159" s="11"/>
      <c r="AF159" s="61"/>
      <c r="AG159" s="61"/>
      <c r="AH159" s="62"/>
      <c r="AI159" s="62"/>
      <c r="AJ159" s="61"/>
      <c r="AK159" s="61"/>
      <c r="AL159" s="61"/>
      <c r="AM159" s="58" t="str" cm="2">
        <f t="array" ref="AM159">IFERROR(LOOKUP(2, 1/SEARCH({"Black","White","Grey","Blue","Silver","Brown","Green","Blue","Purple","Red","Pink","Yellow","Gold"}, G159), {"Black","White","Grey","Blue","Silver","Brown","Green","Blue","Purple","Red","Pink","Yellow","Gold"}), "")</f>
        <v/>
      </c>
      <c r="AN159" s="58" t="str">
        <f>IFERROR(LOOKUP(2, 1/SEARCH({"8GB","16GB","32GB","64GB"}, G159), {"8GB","16GB","32GB","64GB"}), "")</f>
        <v/>
      </c>
      <c r="AO159" s="58" t="str">
        <f>IFERROR(LOOKUP(2, 1/SEARCH({"1TB","2TB","128GB","512GB","256GB"}, G159), {"1TB","2TB","128GB","512GB","256GB"}), "")</f>
        <v/>
      </c>
      <c r="AP159" s="58"/>
      <c r="AQ159" s="58" t="str">
        <f>IFERROR(LOOKUP(2, 1/SEARCH({"16-Inch","15-Inch","15.6-Inch","18-Inch","15.3-Inch","13-Inch","13.4-Inch","13.8-Inch","14-Inch","17-Inch","45-Inch","27-Inch","34-Inch","32-Inch","21.5-Inch"}, G159), {"16-Inch","15-Inch","15.6-Inch","18-Inch","15.3-Inch","13-Inch","13.4-Inch","13.8-Inch","14-Inch","17-Inch","45-Inch","27-Inch","34-Inch","32-Inch","21.5-Inch"}), "")</f>
        <v/>
      </c>
      <c r="AR159" s="58"/>
      <c r="AS159" s="91"/>
      <c r="AT159" s="93"/>
      <c r="AU159" s="93"/>
      <c r="AV159" s="93"/>
      <c r="AW159" s="93"/>
    </row>
    <row r="160" spans="1:49" ht="15" customHeight="1" x14ac:dyDescent="0.25">
      <c r="A160" s="59"/>
      <c r="B160" s="12"/>
      <c r="C160" s="12"/>
      <c r="D160" s="60"/>
      <c r="E160" s="6"/>
      <c r="F160" s="6"/>
      <c r="G160" s="12"/>
      <c r="H160" s="12" t="str" cm="2">
        <f t="array" ref="H160">IFERROR(INDEX(BrandList!$A$2:$A$50,MATCH(TRUE,ISNUMBER(SEARCH(BrandList!$A$2:$A$50,G160)),0)),"")</f>
        <v/>
      </c>
      <c r="I160" s="12" t="str" cm="2">
        <f t="array" ref="I160">IFERROR(INDEX(BrandList!$B$2:$B$200,MATCH(TRUE,ISNUMBER(SEARCH(BrandList!$B$2:$B$200,G160)),0)),"")</f>
        <v/>
      </c>
      <c r="J160" s="12"/>
      <c r="K160" s="12"/>
      <c r="L160" s="60"/>
      <c r="M160" s="60"/>
      <c r="N160" s="60"/>
      <c r="O160" s="60"/>
      <c r="P160" s="7" t="str">
        <f t="shared" si="5"/>
        <v/>
      </c>
      <c r="Q160" s="8">
        <f>IFERROR(VLOOKUP(VALUE(A160),WEEKLY_DATA!$A:$H,2,0),0)</f>
        <v>0</v>
      </c>
      <c r="R160" s="8">
        <f>IFERROR(VLOOKUP(VALUE(A160),WEEKLY_DATA!$A:$H,3,0),0)</f>
        <v>0</v>
      </c>
      <c r="S160" s="8">
        <f>IFERROR(VLOOKUP(VALUE(A160),WEEKLY_DATA!$A:$H,4,0),0)</f>
        <v>0</v>
      </c>
      <c r="T160" s="51">
        <f>IFERROR(VLOOKUP(VALUE(A160),WEEKLY_DATA!$A:$H,5,0),0)</f>
        <v>0</v>
      </c>
      <c r="U160" s="51">
        <f>IFERROR(VLOOKUP(VALUE(A160),WEEKLY_DATA!$A:$H,6,0),0)</f>
        <v>0</v>
      </c>
      <c r="V160" s="51">
        <f>IFERROR(VLOOKUP(VALUE(A160),WEEKLY_DATA!$A:$H,7,0),0)</f>
        <v>0</v>
      </c>
      <c r="W160" s="9" t="str">
        <f>IFERROR(IF(OR(Q160="",Q160=0),"",IF(VLOOKUP(VALUE($A160),WEEKLY_DATA!$A:$H,6,0)=0,"No Sales",Q160/(VLOOKUP(VALUE($A160),WEEKLY_DATA!$A:$H,6,0)/13))),"")</f>
        <v/>
      </c>
      <c r="X160" s="10">
        <f>IFERROR(VLOOKUP(VALUE(A160),WEEKLY_DATA!$A:$H,8,0),0)</f>
        <v>0</v>
      </c>
      <c r="Y160" s="13" t="str">
        <f t="shared" si="4"/>
        <v>—</v>
      </c>
      <c r="Z160" s="11"/>
      <c r="AA160" s="11"/>
      <c r="AB160" s="11"/>
      <c r="AC160" s="11"/>
      <c r="AD160" s="11"/>
      <c r="AE160" s="11"/>
      <c r="AF160" s="61"/>
      <c r="AG160" s="61"/>
      <c r="AH160" s="62"/>
      <c r="AI160" s="62"/>
      <c r="AJ160" s="61"/>
      <c r="AK160" s="61"/>
      <c r="AL160" s="61"/>
      <c r="AM160" s="58" t="str" cm="2">
        <f t="array" ref="AM160">IFERROR(LOOKUP(2, 1/SEARCH({"Black","White","Grey","Blue","Silver","Brown","Green","Blue","Purple","Red","Pink","Yellow","Gold"}, G160), {"Black","White","Grey","Blue","Silver","Brown","Green","Blue","Purple","Red","Pink","Yellow","Gold"}), "")</f>
        <v/>
      </c>
      <c r="AN160" s="58" t="str">
        <f>IFERROR(LOOKUP(2, 1/SEARCH({"8GB","16GB","32GB","64GB"}, G160), {"8GB","16GB","32GB","64GB"}), "")</f>
        <v/>
      </c>
      <c r="AO160" s="58" t="str">
        <f>IFERROR(LOOKUP(2, 1/SEARCH({"1TB","2TB","128GB","512GB","256GB"}, G160), {"1TB","2TB","128GB","512GB","256GB"}), "")</f>
        <v/>
      </c>
      <c r="AP160" s="58"/>
      <c r="AQ160" s="58" t="str">
        <f>IFERROR(LOOKUP(2, 1/SEARCH({"16-Inch","15-Inch","15.6-Inch","18-Inch","15.3-Inch","13-Inch","13.4-Inch","13.8-Inch","14-Inch","17-Inch","45-Inch","27-Inch","34-Inch","32-Inch","21.5-Inch"}, G160), {"16-Inch","15-Inch","15.6-Inch","18-Inch","15.3-Inch","13-Inch","13.4-Inch","13.8-Inch","14-Inch","17-Inch","45-Inch","27-Inch","34-Inch","32-Inch","21.5-Inch"}), "")</f>
        <v/>
      </c>
      <c r="AR160" s="58"/>
      <c r="AS160" s="91"/>
      <c r="AT160" s="93"/>
      <c r="AU160" s="93"/>
      <c r="AV160" s="93"/>
      <c r="AW160" s="93"/>
    </row>
    <row r="161" spans="1:49" ht="15" customHeight="1" x14ac:dyDescent="0.25">
      <c r="A161" s="59"/>
      <c r="B161" s="12"/>
      <c r="C161" s="12"/>
      <c r="D161" s="60"/>
      <c r="E161" s="6"/>
      <c r="F161" s="6"/>
      <c r="G161" s="12"/>
      <c r="H161" s="12" t="str" cm="2">
        <f t="array" ref="H161">IFERROR(INDEX(BrandList!$A$2:$A$50,MATCH(TRUE,ISNUMBER(SEARCH(BrandList!$A$2:$A$50,G161)),0)),"")</f>
        <v/>
      </c>
      <c r="I161" s="12" t="str" cm="2">
        <f t="array" ref="I161">IFERROR(INDEX(BrandList!$B$2:$B$200,MATCH(TRUE,ISNUMBER(SEARCH(BrandList!$B$2:$B$200,G161)),0)),"")</f>
        <v/>
      </c>
      <c r="J161" s="12"/>
      <c r="K161" s="12"/>
      <c r="L161" s="60"/>
      <c r="M161" s="60"/>
      <c r="N161" s="60"/>
      <c r="O161" s="60"/>
      <c r="P161" s="7" t="str">
        <f t="shared" si="5"/>
        <v/>
      </c>
      <c r="Q161" s="8">
        <f>IFERROR(VLOOKUP(VALUE(A161),WEEKLY_DATA!$A:$H,2,0),0)</f>
        <v>0</v>
      </c>
      <c r="R161" s="8">
        <f>IFERROR(VLOOKUP(VALUE(A161),WEEKLY_DATA!$A:$H,3,0),0)</f>
        <v>0</v>
      </c>
      <c r="S161" s="8">
        <f>IFERROR(VLOOKUP(VALUE(A161),WEEKLY_DATA!$A:$H,4,0),0)</f>
        <v>0</v>
      </c>
      <c r="T161" s="51">
        <f>IFERROR(VLOOKUP(VALUE(A161),WEEKLY_DATA!$A:$H,5,0),0)</f>
        <v>0</v>
      </c>
      <c r="U161" s="51">
        <f>IFERROR(VLOOKUP(VALUE(A161),WEEKLY_DATA!$A:$H,6,0),0)</f>
        <v>0</v>
      </c>
      <c r="V161" s="51">
        <f>IFERROR(VLOOKUP(VALUE(A161),WEEKLY_DATA!$A:$H,7,0),0)</f>
        <v>0</v>
      </c>
      <c r="W161" s="9" t="str">
        <f>IFERROR(IF(OR(Q161="",Q161=0),"",IF(VLOOKUP(VALUE($A161),WEEKLY_DATA!$A:$H,6,0)=0,"No Sales",Q161/(VLOOKUP(VALUE($A161),WEEKLY_DATA!$A:$H,6,0)/13))),"")</f>
        <v/>
      </c>
      <c r="X161" s="10">
        <f>IFERROR(VLOOKUP(VALUE(A161),WEEKLY_DATA!$A:$H,8,0),0)</f>
        <v>0</v>
      </c>
      <c r="Y161" s="13" t="str">
        <f t="shared" si="4"/>
        <v>—</v>
      </c>
      <c r="Z161" s="11"/>
      <c r="AA161" s="11"/>
      <c r="AB161" s="11"/>
      <c r="AC161" s="11"/>
      <c r="AD161" s="11"/>
      <c r="AE161" s="11"/>
      <c r="AF161" s="61" t="s">
        <v>144</v>
      </c>
      <c r="AG161" s="61"/>
      <c r="AH161" s="62"/>
      <c r="AI161" s="62"/>
      <c r="AJ161" s="61" t="s">
        <v>144</v>
      </c>
      <c r="AK161" s="61" t="s">
        <v>144</v>
      </c>
      <c r="AL161" s="61"/>
      <c r="AM161" s="58" t="str" cm="2">
        <f t="array" ref="AM161">IFERROR(LOOKUP(2, 1/SEARCH({"Black","White","Grey","Blue","Silver","Brown","Green","Blue","Purple","Red","Pink","Yellow","Gold"}, G161), {"Black","White","Grey","Blue","Silver","Brown","Green","Blue","Purple","Red","Pink","Yellow","Gold"}), "")</f>
        <v/>
      </c>
      <c r="AN161" s="58" t="str">
        <f>IFERROR(LOOKUP(2, 1/SEARCH({"8GB","16GB","32GB","64GB"}, G161), {"8GB","16GB","32GB","64GB"}), "")</f>
        <v/>
      </c>
      <c r="AO161" s="58" t="str">
        <f>IFERROR(LOOKUP(2, 1/SEARCH({"1TB","2TB","128GB","512GB","256GB"}, G161), {"1TB","2TB","128GB","512GB","256GB"}), "")</f>
        <v/>
      </c>
      <c r="AP161" s="58"/>
      <c r="AQ161" s="58" t="str">
        <f>IFERROR(LOOKUP(2, 1/SEARCH({"16-Inch","15-Inch","15.6-Inch","18-Inch","15.3-Inch","13-Inch","13.4-Inch","13.8-Inch","14-Inch","17-Inch","45-Inch","27-Inch","34-Inch","32-Inch","21.5-Inch"}, G161), {"16-Inch","15-Inch","15.6-Inch","18-Inch","15.3-Inch","13-Inch","13.4-Inch","13.8-Inch","14-Inch","17-Inch","45-Inch","27-Inch","34-Inch","32-Inch","21.5-Inch"}), "")</f>
        <v/>
      </c>
      <c r="AR161" s="58"/>
      <c r="AS161" s="91"/>
      <c r="AT161" s="93"/>
      <c r="AU161" s="93"/>
      <c r="AV161" s="93"/>
      <c r="AW161" s="93"/>
    </row>
    <row r="162" spans="1:49" ht="15" customHeight="1" x14ac:dyDescent="0.25">
      <c r="A162" s="59"/>
      <c r="B162" s="12"/>
      <c r="C162" s="12"/>
      <c r="D162" s="60"/>
      <c r="E162" s="6"/>
      <c r="F162" s="6"/>
      <c r="G162" s="12"/>
      <c r="H162" s="12" t="str" cm="2">
        <f t="array" ref="H162">IFERROR(INDEX(BrandList!$A$2:$A$50,MATCH(TRUE,ISNUMBER(SEARCH(BrandList!$A$2:$A$50,G162)),0)),"")</f>
        <v/>
      </c>
      <c r="I162" s="12" t="str" cm="2">
        <f t="array" ref="I162">IFERROR(INDEX(BrandList!$B$2:$B$200,MATCH(TRUE,ISNUMBER(SEARCH(BrandList!$B$2:$B$200,G162)),0)),"")</f>
        <v/>
      </c>
      <c r="J162" s="12"/>
      <c r="K162" s="12"/>
      <c r="L162" s="60"/>
      <c r="M162" s="60"/>
      <c r="N162" s="60"/>
      <c r="O162" s="60"/>
      <c r="P162" s="7" t="str">
        <f t="shared" si="5"/>
        <v/>
      </c>
      <c r="Q162" s="8">
        <f>IFERROR(VLOOKUP(VALUE(A162),WEEKLY_DATA!$A:$H,2,0),0)</f>
        <v>0</v>
      </c>
      <c r="R162" s="8">
        <f>IFERROR(VLOOKUP(VALUE(A162),WEEKLY_DATA!$A:$H,3,0),0)</f>
        <v>0</v>
      </c>
      <c r="S162" s="8">
        <f>IFERROR(VLOOKUP(VALUE(A162),WEEKLY_DATA!$A:$H,4,0),0)</f>
        <v>0</v>
      </c>
      <c r="T162" s="51">
        <f>IFERROR(VLOOKUP(VALUE(A162),WEEKLY_DATA!$A:$H,5,0),0)</f>
        <v>0</v>
      </c>
      <c r="U162" s="51">
        <f>IFERROR(VLOOKUP(VALUE(A162),WEEKLY_DATA!$A:$H,6,0),0)</f>
        <v>0</v>
      </c>
      <c r="V162" s="51">
        <f>IFERROR(VLOOKUP(VALUE(A162),WEEKLY_DATA!$A:$H,7,0),0)</f>
        <v>0</v>
      </c>
      <c r="W162" s="9" t="str">
        <f>IFERROR(IF(OR(Q162="",Q162=0),"",IF(VLOOKUP(VALUE($A162),WEEKLY_DATA!$A:$H,6,0)=0,"No Sales",Q162/(VLOOKUP(VALUE($A162),WEEKLY_DATA!$A:$H,6,0)/13))),"")</f>
        <v/>
      </c>
      <c r="X162" s="10">
        <f>IFERROR(VLOOKUP(VALUE(A162),WEEKLY_DATA!$A:$H,8,0),0)</f>
        <v>0</v>
      </c>
      <c r="Y162" s="13" t="str">
        <f t="shared" si="4"/>
        <v>—</v>
      </c>
      <c r="Z162" s="11"/>
      <c r="AA162" s="11"/>
      <c r="AB162" s="11"/>
      <c r="AC162" s="11"/>
      <c r="AD162" s="11"/>
      <c r="AE162" s="11"/>
      <c r="AF162" s="61"/>
      <c r="AG162" s="61"/>
      <c r="AH162" s="62"/>
      <c r="AI162" s="62"/>
      <c r="AJ162" s="61"/>
      <c r="AK162" s="61"/>
      <c r="AL162" s="61"/>
      <c r="AM162" s="58" t="str" cm="2">
        <f t="array" ref="AM162">IFERROR(LOOKUP(2, 1/SEARCH({"Black","White","Grey","Blue","Silver","Brown","Green","Blue","Purple","Red","Pink","Yellow","Gold"}, G162), {"Black","White","Grey","Blue","Silver","Brown","Green","Blue","Purple","Red","Pink","Yellow","Gold"}), "")</f>
        <v/>
      </c>
      <c r="AN162" s="58" t="str">
        <f>IFERROR(LOOKUP(2, 1/SEARCH({"8GB","16GB","32GB","64GB"}, G162), {"8GB","16GB","32GB","64GB"}), "")</f>
        <v/>
      </c>
      <c r="AO162" s="58" t="str">
        <f>IFERROR(LOOKUP(2, 1/SEARCH({"1TB","2TB","128GB","512GB","256GB"}, G162), {"1TB","2TB","128GB","512GB","256GB"}), "")</f>
        <v/>
      </c>
      <c r="AP162" s="58"/>
      <c r="AQ162" s="58" t="str">
        <f>IFERROR(LOOKUP(2, 1/SEARCH({"16-Inch","15-Inch","15.6-Inch","18-Inch","15.3-Inch","13-Inch","13.4-Inch","13.8-Inch","14-Inch","17-Inch","45-Inch","27-Inch","34-Inch","32-Inch","21.5-Inch"}, G162), {"16-Inch","15-Inch","15.6-Inch","18-Inch","15.3-Inch","13-Inch","13.4-Inch","13.8-Inch","14-Inch","17-Inch","45-Inch","27-Inch","34-Inch","32-Inch","21.5-Inch"}), "")</f>
        <v/>
      </c>
      <c r="AR162" s="58"/>
      <c r="AS162" s="91"/>
      <c r="AT162" s="93"/>
      <c r="AU162" s="93"/>
      <c r="AV162" s="93"/>
      <c r="AW162" s="93"/>
    </row>
    <row r="163" spans="1:49" ht="15" customHeight="1" x14ac:dyDescent="0.25">
      <c r="A163" s="59"/>
      <c r="B163" s="12"/>
      <c r="C163" s="12"/>
      <c r="D163" s="60"/>
      <c r="E163" s="6"/>
      <c r="F163" s="6"/>
      <c r="G163" s="12"/>
      <c r="H163" s="12" t="str" cm="2">
        <f t="array" ref="H163">IFERROR(INDEX(BrandList!$A$2:$A$50,MATCH(TRUE,ISNUMBER(SEARCH(BrandList!$A$2:$A$50,G163)),0)),"")</f>
        <v/>
      </c>
      <c r="I163" s="12" t="str" cm="2">
        <f t="array" ref="I163">IFERROR(INDEX(BrandList!$B$2:$B$200,MATCH(TRUE,ISNUMBER(SEARCH(BrandList!$B$2:$B$200,G163)),0)),"")</f>
        <v/>
      </c>
      <c r="J163" s="12"/>
      <c r="K163" s="12"/>
      <c r="L163" s="60"/>
      <c r="M163" s="60"/>
      <c r="N163" s="60"/>
      <c r="O163" s="60"/>
      <c r="P163" s="7" t="str">
        <f t="shared" si="5"/>
        <v/>
      </c>
      <c r="Q163" s="8">
        <f>IFERROR(VLOOKUP(VALUE(A163),WEEKLY_DATA!$A:$H,2,0),0)</f>
        <v>0</v>
      </c>
      <c r="R163" s="8">
        <f>IFERROR(VLOOKUP(VALUE(A163),WEEKLY_DATA!$A:$H,3,0),0)</f>
        <v>0</v>
      </c>
      <c r="S163" s="8">
        <f>IFERROR(VLOOKUP(VALUE(A163),WEEKLY_DATA!$A:$H,4,0),0)</f>
        <v>0</v>
      </c>
      <c r="T163" s="51">
        <f>IFERROR(VLOOKUP(VALUE(A163),WEEKLY_DATA!$A:$H,5,0),0)</f>
        <v>0</v>
      </c>
      <c r="U163" s="51">
        <f>IFERROR(VLOOKUP(VALUE(A163),WEEKLY_DATA!$A:$H,6,0),0)</f>
        <v>0</v>
      </c>
      <c r="V163" s="51">
        <f>IFERROR(VLOOKUP(VALUE(A163),WEEKLY_DATA!$A:$H,7,0),0)</f>
        <v>0</v>
      </c>
      <c r="W163" s="9" t="str">
        <f>IFERROR(IF(OR(Q163="",Q163=0),"",IF(VLOOKUP(VALUE($A163),WEEKLY_DATA!$A:$H,6,0)=0,"No Sales",Q163/(VLOOKUP(VALUE($A163),WEEKLY_DATA!$A:$H,6,0)/13))),"")</f>
        <v/>
      </c>
      <c r="X163" s="10">
        <f>IFERROR(VLOOKUP(VALUE(A163),WEEKLY_DATA!$A:$H,8,0),0)</f>
        <v>0</v>
      </c>
      <c r="Y163" s="13" t="str">
        <f t="shared" si="4"/>
        <v>—</v>
      </c>
      <c r="Z163" s="11"/>
      <c r="AA163" s="11"/>
      <c r="AB163" s="11"/>
      <c r="AC163" s="11"/>
      <c r="AD163" s="11"/>
      <c r="AE163" s="11"/>
      <c r="AF163" s="61" t="s">
        <v>144</v>
      </c>
      <c r="AG163" s="61"/>
      <c r="AH163" s="62"/>
      <c r="AI163" s="62"/>
      <c r="AJ163" s="61" t="s">
        <v>144</v>
      </c>
      <c r="AK163" s="61" t="s">
        <v>144</v>
      </c>
      <c r="AL163" s="61"/>
      <c r="AM163" s="58" t="str" cm="2">
        <f t="array" ref="AM163">IFERROR(LOOKUP(2, 1/SEARCH({"Black","White","Grey","Blue","Silver","Brown","Green","Blue","Purple","Red","Pink","Yellow","Gold"}, G163), {"Black","White","Grey","Blue","Silver","Brown","Green","Blue","Purple","Red","Pink","Yellow","Gold"}), "")</f>
        <v/>
      </c>
      <c r="AN163" s="58" t="str">
        <f>IFERROR(LOOKUP(2, 1/SEARCH({"8GB","16GB","32GB","64GB"}, G163), {"8GB","16GB","32GB","64GB"}), "")</f>
        <v/>
      </c>
      <c r="AO163" s="58" t="str">
        <f>IFERROR(LOOKUP(2, 1/SEARCH({"1TB","2TB","128GB","512GB","256GB"}, G163), {"1TB","2TB","128GB","512GB","256GB"}), "")</f>
        <v/>
      </c>
      <c r="AP163" s="58"/>
      <c r="AQ163" s="58" t="str">
        <f>IFERROR(LOOKUP(2, 1/SEARCH({"16-Inch","15-Inch","15.6-Inch","18-Inch","15.3-Inch","13-Inch","13.4-Inch","13.8-Inch","14-Inch","17-Inch","45-Inch","27-Inch","34-Inch","32-Inch","21.5-Inch"}, G163), {"16-Inch","15-Inch","15.6-Inch","18-Inch","15.3-Inch","13-Inch","13.4-Inch","13.8-Inch","14-Inch","17-Inch","45-Inch","27-Inch","34-Inch","32-Inch","21.5-Inch"}), "")</f>
        <v/>
      </c>
      <c r="AR163" s="58"/>
      <c r="AS163" s="91"/>
      <c r="AT163" s="93"/>
      <c r="AU163" s="93"/>
      <c r="AV163" s="93"/>
      <c r="AW163" s="93"/>
    </row>
    <row r="164" spans="1:49" ht="15" customHeight="1" x14ac:dyDescent="0.25">
      <c r="A164" s="59"/>
      <c r="B164" s="12"/>
      <c r="C164" s="12"/>
      <c r="D164" s="60"/>
      <c r="E164" s="6"/>
      <c r="F164" s="6"/>
      <c r="G164" s="12"/>
      <c r="H164" s="12" t="str" cm="2">
        <f t="array" ref="H164">IFERROR(INDEX(BrandList!$A$2:$A$50,MATCH(TRUE,ISNUMBER(SEARCH(BrandList!$A$2:$A$50,G164)),0)),"")</f>
        <v/>
      </c>
      <c r="I164" s="12" t="str" cm="2">
        <f t="array" ref="I164">IFERROR(INDEX(BrandList!$B$2:$B$200,MATCH(TRUE,ISNUMBER(SEARCH(BrandList!$B$2:$B$200,G164)),0)),"")</f>
        <v/>
      </c>
      <c r="J164" s="12"/>
      <c r="K164" s="12"/>
      <c r="L164" s="60"/>
      <c r="M164" s="60"/>
      <c r="N164" s="60"/>
      <c r="O164" s="60"/>
      <c r="P164" s="7" t="str">
        <f t="shared" si="5"/>
        <v/>
      </c>
      <c r="Q164" s="8">
        <f>IFERROR(VLOOKUP(VALUE(A164),WEEKLY_DATA!$A:$H,2,0),0)</f>
        <v>0</v>
      </c>
      <c r="R164" s="8">
        <f>IFERROR(VLOOKUP(VALUE(A164),WEEKLY_DATA!$A:$H,3,0),0)</f>
        <v>0</v>
      </c>
      <c r="S164" s="8">
        <f>IFERROR(VLOOKUP(VALUE(A164),WEEKLY_DATA!$A:$H,4,0),0)</f>
        <v>0</v>
      </c>
      <c r="T164" s="51">
        <f>IFERROR(VLOOKUP(VALUE(A164),WEEKLY_DATA!$A:$H,5,0),0)</f>
        <v>0</v>
      </c>
      <c r="U164" s="51">
        <f>IFERROR(VLOOKUP(VALUE(A164),WEEKLY_DATA!$A:$H,6,0),0)</f>
        <v>0</v>
      </c>
      <c r="V164" s="51">
        <f>IFERROR(VLOOKUP(VALUE(A164),WEEKLY_DATA!$A:$H,7,0),0)</f>
        <v>0</v>
      </c>
      <c r="W164" s="9" t="str">
        <f>IFERROR(IF(OR(Q164="",Q164=0),"",IF(VLOOKUP(VALUE($A164),WEEKLY_DATA!$A:$H,6,0)=0,"No Sales",Q164/(VLOOKUP(VALUE($A164),WEEKLY_DATA!$A:$H,6,0)/13))),"")</f>
        <v/>
      </c>
      <c r="X164" s="10">
        <f>IFERROR(VLOOKUP(VALUE(A164),WEEKLY_DATA!$A:$H,8,0),0)</f>
        <v>0</v>
      </c>
      <c r="Y164" s="13" t="str">
        <f t="shared" si="4"/>
        <v>—</v>
      </c>
      <c r="Z164" s="11"/>
      <c r="AA164" s="11"/>
      <c r="AB164" s="11"/>
      <c r="AC164" s="11"/>
      <c r="AD164" s="11"/>
      <c r="AE164" s="11"/>
      <c r="AF164" s="61" t="s">
        <v>144</v>
      </c>
      <c r="AG164" s="61"/>
      <c r="AH164" s="62"/>
      <c r="AI164" s="62"/>
      <c r="AJ164" s="61" t="s">
        <v>144</v>
      </c>
      <c r="AK164" s="61" t="s">
        <v>144</v>
      </c>
      <c r="AL164" s="61"/>
      <c r="AM164" s="58" t="str" cm="2">
        <f t="array" ref="AM164">IFERROR(LOOKUP(2, 1/SEARCH({"Black","White","Grey","Blue","Silver","Brown","Green","Blue","Purple","Red","Pink","Yellow","Gold"}, G164), {"Black","White","Grey","Blue","Silver","Brown","Green","Blue","Purple","Red","Pink","Yellow","Gold"}), "")</f>
        <v/>
      </c>
      <c r="AN164" s="58" t="str">
        <f>IFERROR(LOOKUP(2, 1/SEARCH({"8GB","16GB","32GB","64GB"}, G164), {"8GB","16GB","32GB","64GB"}), "")</f>
        <v/>
      </c>
      <c r="AO164" s="58" t="str">
        <f>IFERROR(LOOKUP(2, 1/SEARCH({"1TB","2TB","128GB","512GB","256GB"}, G164), {"1TB","2TB","128GB","512GB","256GB"}), "")</f>
        <v/>
      </c>
      <c r="AP164" s="58"/>
      <c r="AQ164" s="58" t="str">
        <f>IFERROR(LOOKUP(2, 1/SEARCH({"16-Inch","15-Inch","15.6-Inch","18-Inch","15.3-Inch","13-Inch","13.4-Inch","13.8-Inch","14-Inch","17-Inch","45-Inch","27-Inch","34-Inch","32-Inch","21.5-Inch"}, G164), {"16-Inch","15-Inch","15.6-Inch","18-Inch","15.3-Inch","13-Inch","13.4-Inch","13.8-Inch","14-Inch","17-Inch","45-Inch","27-Inch","34-Inch","32-Inch","21.5-Inch"}), "")</f>
        <v/>
      </c>
      <c r="AR164" s="58"/>
      <c r="AS164" s="91"/>
      <c r="AT164" s="93"/>
      <c r="AU164" s="93"/>
      <c r="AV164" s="93"/>
      <c r="AW164" s="93"/>
    </row>
    <row r="165" spans="1:49" ht="15" customHeight="1" x14ac:dyDescent="0.25">
      <c r="A165" s="59"/>
      <c r="B165" s="12"/>
      <c r="C165" s="12"/>
      <c r="D165" s="60"/>
      <c r="E165" s="6"/>
      <c r="F165" s="6"/>
      <c r="G165" s="12"/>
      <c r="H165" s="12" t="str" cm="2">
        <f t="array" ref="H165">IFERROR(INDEX(BrandList!$A$2:$A$50,MATCH(TRUE,ISNUMBER(SEARCH(BrandList!$A$2:$A$50,G165)),0)),"")</f>
        <v/>
      </c>
      <c r="I165" s="12" t="str" cm="2">
        <f t="array" ref="I165">IFERROR(INDEX(BrandList!$B$2:$B$200,MATCH(TRUE,ISNUMBER(SEARCH(BrandList!$B$2:$B$200,G165)),0)),"")</f>
        <v/>
      </c>
      <c r="J165" s="12"/>
      <c r="K165" s="12"/>
      <c r="L165" s="60"/>
      <c r="M165" s="60"/>
      <c r="N165" s="60"/>
      <c r="O165" s="60"/>
      <c r="P165" s="7" t="str">
        <f t="shared" si="5"/>
        <v/>
      </c>
      <c r="Q165" s="8">
        <f>IFERROR(VLOOKUP(VALUE(A165),WEEKLY_DATA!$A:$H,2,0),0)</f>
        <v>0</v>
      </c>
      <c r="R165" s="8">
        <f>IFERROR(VLOOKUP(VALUE(A165),WEEKLY_DATA!$A:$H,3,0),0)</f>
        <v>0</v>
      </c>
      <c r="S165" s="8">
        <f>IFERROR(VLOOKUP(VALUE(A165),WEEKLY_DATA!$A:$H,4,0),0)</f>
        <v>0</v>
      </c>
      <c r="T165" s="51">
        <f>IFERROR(VLOOKUP(VALUE(A165),WEEKLY_DATA!$A:$H,5,0),0)</f>
        <v>0</v>
      </c>
      <c r="U165" s="51">
        <f>IFERROR(VLOOKUP(VALUE(A165),WEEKLY_DATA!$A:$H,6,0),0)</f>
        <v>0</v>
      </c>
      <c r="V165" s="51">
        <f>IFERROR(VLOOKUP(VALUE(A165),WEEKLY_DATA!$A:$H,7,0),0)</f>
        <v>0</v>
      </c>
      <c r="W165" s="9" t="str">
        <f>IFERROR(IF(OR(Q165="",Q165=0),"",IF(VLOOKUP(VALUE($A165),WEEKLY_DATA!$A:$H,6,0)=0,"No Sales",Q165/(VLOOKUP(VALUE($A165),WEEKLY_DATA!$A:$H,6,0)/13))),"")</f>
        <v/>
      </c>
      <c r="X165" s="10">
        <f>IFERROR(VLOOKUP(VALUE(A165),WEEKLY_DATA!$A:$H,8,0),0)</f>
        <v>0</v>
      </c>
      <c r="Y165" s="13" t="str">
        <f t="shared" si="4"/>
        <v>—</v>
      </c>
      <c r="Z165" s="11"/>
      <c r="AA165" s="11"/>
      <c r="AB165" s="11"/>
      <c r="AC165" s="11"/>
      <c r="AD165" s="11"/>
      <c r="AE165" s="11"/>
      <c r="AF165" s="61" t="s">
        <v>144</v>
      </c>
      <c r="AG165" s="61"/>
      <c r="AH165" s="62"/>
      <c r="AI165" s="62"/>
      <c r="AJ165" s="61" t="s">
        <v>144</v>
      </c>
      <c r="AK165" s="61" t="s">
        <v>144</v>
      </c>
      <c r="AL165" s="61"/>
      <c r="AM165" s="58" t="str" cm="2">
        <f t="array" ref="AM165">IFERROR(LOOKUP(2, 1/SEARCH({"Black","White","Grey","Blue","Silver","Brown","Green","Blue","Purple","Red","Pink","Yellow","Gold"}, G165), {"Black","White","Grey","Blue","Silver","Brown","Green","Blue","Purple","Red","Pink","Yellow","Gold"}), "")</f>
        <v/>
      </c>
      <c r="AN165" s="58" t="str">
        <f>IFERROR(LOOKUP(2, 1/SEARCH({"8GB","16GB","32GB","64GB"}, G165), {"8GB","16GB","32GB","64GB"}), "")</f>
        <v/>
      </c>
      <c r="AO165" s="58" t="str">
        <f>IFERROR(LOOKUP(2, 1/SEARCH({"1TB","2TB","128GB","512GB","256GB"}, G165), {"1TB","2TB","128GB","512GB","256GB"}), "")</f>
        <v/>
      </c>
      <c r="AP165" s="58"/>
      <c r="AQ165" s="58" t="str">
        <f>IFERROR(LOOKUP(2, 1/SEARCH({"16-Inch","15-Inch","15.6-Inch","18-Inch","15.3-Inch","13-Inch","13.4-Inch","13.8-Inch","14-Inch","17-Inch","45-Inch","27-Inch","34-Inch","32-Inch","21.5-Inch"}, G165), {"16-Inch","15-Inch","15.6-Inch","18-Inch","15.3-Inch","13-Inch","13.4-Inch","13.8-Inch","14-Inch","17-Inch","45-Inch","27-Inch","34-Inch","32-Inch","21.5-Inch"}), "")</f>
        <v/>
      </c>
      <c r="AR165" s="58"/>
      <c r="AS165" s="91"/>
      <c r="AT165" s="93"/>
      <c r="AU165" s="93"/>
      <c r="AV165" s="93"/>
      <c r="AW165" s="93"/>
    </row>
    <row r="166" spans="1:49" ht="15" customHeight="1" x14ac:dyDescent="0.25">
      <c r="A166" s="59"/>
      <c r="B166" s="12"/>
      <c r="C166" s="12"/>
      <c r="D166" s="60"/>
      <c r="E166" s="6"/>
      <c r="F166" s="6"/>
      <c r="G166" s="12"/>
      <c r="H166" s="12" t="str" cm="2">
        <f t="array" ref="H166">IFERROR(INDEX(BrandList!$A$2:$A$50,MATCH(TRUE,ISNUMBER(SEARCH(BrandList!$A$2:$A$50,G166)),0)),"")</f>
        <v/>
      </c>
      <c r="I166" s="12" t="str" cm="2">
        <f t="array" ref="I166">IFERROR(INDEX(BrandList!$B$2:$B$200,MATCH(TRUE,ISNUMBER(SEARCH(BrandList!$B$2:$B$200,G166)),0)),"")</f>
        <v/>
      </c>
      <c r="J166" s="12"/>
      <c r="K166" s="12"/>
      <c r="L166" s="60"/>
      <c r="M166" s="60"/>
      <c r="N166" s="60"/>
      <c r="O166" s="60"/>
      <c r="P166" s="7" t="str">
        <f t="shared" si="5"/>
        <v/>
      </c>
      <c r="Q166" s="8">
        <f>IFERROR(VLOOKUP(VALUE(A166),WEEKLY_DATA!$A:$H,2,0),0)</f>
        <v>0</v>
      </c>
      <c r="R166" s="8">
        <f>IFERROR(VLOOKUP(VALUE(A166),WEEKLY_DATA!$A:$H,3,0),0)</f>
        <v>0</v>
      </c>
      <c r="S166" s="8">
        <f>IFERROR(VLOOKUP(VALUE(A166),WEEKLY_DATA!$A:$H,4,0),0)</f>
        <v>0</v>
      </c>
      <c r="T166" s="51">
        <f>IFERROR(VLOOKUP(VALUE(A166),WEEKLY_DATA!$A:$H,5,0),0)</f>
        <v>0</v>
      </c>
      <c r="U166" s="51">
        <f>IFERROR(VLOOKUP(VALUE(A166),WEEKLY_DATA!$A:$H,6,0),0)</f>
        <v>0</v>
      </c>
      <c r="V166" s="51">
        <f>IFERROR(VLOOKUP(VALUE(A166),WEEKLY_DATA!$A:$H,7,0),0)</f>
        <v>0</v>
      </c>
      <c r="W166" s="9" t="str">
        <f>IFERROR(IF(OR(Q166="",Q166=0),"",IF(VLOOKUP(VALUE($A166),WEEKLY_DATA!$A:$H,6,0)=0,"No Sales",Q166/(VLOOKUP(VALUE($A166),WEEKLY_DATA!$A:$H,6,0)/13))),"")</f>
        <v/>
      </c>
      <c r="X166" s="10">
        <f>IFERROR(VLOOKUP(VALUE(A166),WEEKLY_DATA!$A:$H,8,0),0)</f>
        <v>0</v>
      </c>
      <c r="Y166" s="13" t="str">
        <f t="shared" si="4"/>
        <v>—</v>
      </c>
      <c r="Z166" s="11"/>
      <c r="AA166" s="11"/>
      <c r="AB166" s="11"/>
      <c r="AC166" s="11"/>
      <c r="AD166" s="11"/>
      <c r="AE166" s="11"/>
      <c r="AF166" s="61" t="s">
        <v>144</v>
      </c>
      <c r="AG166" s="61"/>
      <c r="AH166" s="62"/>
      <c r="AI166" s="62"/>
      <c r="AJ166" s="61" t="s">
        <v>144</v>
      </c>
      <c r="AK166" s="61" t="s">
        <v>144</v>
      </c>
      <c r="AL166" s="61"/>
      <c r="AM166" s="58" t="str" cm="2">
        <f t="array" ref="AM166">IFERROR(LOOKUP(2, 1/SEARCH({"Black","White","Grey","Blue","Silver","Brown","Green","Blue","Purple","Red","Pink","Yellow","Gold"}, G166), {"Black","White","Grey","Blue","Silver","Brown","Green","Blue","Purple","Red","Pink","Yellow","Gold"}), "")</f>
        <v/>
      </c>
      <c r="AN166" s="58" t="str">
        <f>IFERROR(LOOKUP(2, 1/SEARCH({"8GB","16GB","32GB","64GB"}, G166), {"8GB","16GB","32GB","64GB"}), "")</f>
        <v/>
      </c>
      <c r="AO166" s="58" t="str">
        <f>IFERROR(LOOKUP(2, 1/SEARCH({"1TB","2TB","128GB","512GB","256GB"}, G166), {"1TB","2TB","128GB","512GB","256GB"}), "")</f>
        <v/>
      </c>
      <c r="AP166" s="58"/>
      <c r="AQ166" s="58" t="str">
        <f>IFERROR(LOOKUP(2, 1/SEARCH({"16-Inch","15-Inch","15.6-Inch","18-Inch","15.3-Inch","13-Inch","13.4-Inch","13.8-Inch","14-Inch","17-Inch","45-Inch","27-Inch","34-Inch","32-Inch","21.5-Inch"}, G166), {"16-Inch","15-Inch","15.6-Inch","18-Inch","15.3-Inch","13-Inch","13.4-Inch","13.8-Inch","14-Inch","17-Inch","45-Inch","27-Inch","34-Inch","32-Inch","21.5-Inch"}), "")</f>
        <v/>
      </c>
      <c r="AR166" s="58"/>
      <c r="AS166" s="91"/>
      <c r="AT166" s="93"/>
      <c r="AU166" s="93"/>
      <c r="AV166" s="93"/>
      <c r="AW166" s="93"/>
    </row>
    <row r="167" spans="1:49" ht="15" customHeight="1" x14ac:dyDescent="0.25">
      <c r="A167" s="59"/>
      <c r="B167" s="12"/>
      <c r="C167" s="12"/>
      <c r="D167" s="60"/>
      <c r="E167" s="6"/>
      <c r="F167" s="6"/>
      <c r="G167" s="12"/>
      <c r="H167" s="12" t="str" cm="2">
        <f t="array" ref="H167">IFERROR(INDEX(BrandList!$A$2:$A$50,MATCH(TRUE,ISNUMBER(SEARCH(BrandList!$A$2:$A$50,G167)),0)),"")</f>
        <v/>
      </c>
      <c r="I167" s="12" t="str" cm="2">
        <f t="array" ref="I167">IFERROR(INDEX(BrandList!$B$2:$B$200,MATCH(TRUE,ISNUMBER(SEARCH(BrandList!$B$2:$B$200,G167)),0)),"")</f>
        <v/>
      </c>
      <c r="J167" s="12"/>
      <c r="K167" s="12"/>
      <c r="L167" s="60"/>
      <c r="M167" s="60"/>
      <c r="N167" s="60"/>
      <c r="O167" s="60"/>
      <c r="P167" s="7" t="str">
        <f t="shared" si="5"/>
        <v/>
      </c>
      <c r="Q167" s="8">
        <f>IFERROR(VLOOKUP(VALUE(A167),WEEKLY_DATA!$A:$H,2,0),0)</f>
        <v>0</v>
      </c>
      <c r="R167" s="8">
        <f>IFERROR(VLOOKUP(VALUE(A167),WEEKLY_DATA!$A:$H,3,0),0)</f>
        <v>0</v>
      </c>
      <c r="S167" s="8">
        <f>IFERROR(VLOOKUP(VALUE(A167),WEEKLY_DATA!$A:$H,4,0),0)</f>
        <v>0</v>
      </c>
      <c r="T167" s="51">
        <f>IFERROR(VLOOKUP(VALUE(A167),WEEKLY_DATA!$A:$H,5,0),0)</f>
        <v>0</v>
      </c>
      <c r="U167" s="51">
        <f>IFERROR(VLOOKUP(VALUE(A167),WEEKLY_DATA!$A:$H,6,0),0)</f>
        <v>0</v>
      </c>
      <c r="V167" s="51">
        <f>IFERROR(VLOOKUP(VALUE(A167),WEEKLY_DATA!$A:$H,7,0),0)</f>
        <v>0</v>
      </c>
      <c r="W167" s="9" t="str">
        <f>IFERROR(IF(OR(Q167="",Q167=0),"",IF(VLOOKUP(VALUE($A167),WEEKLY_DATA!$A:$H,6,0)=0,"No Sales",Q167/(VLOOKUP(VALUE($A167),WEEKLY_DATA!$A:$H,6,0)/13))),"")</f>
        <v/>
      </c>
      <c r="X167" s="10">
        <f>IFERROR(VLOOKUP(VALUE(A167),WEEKLY_DATA!$A:$H,8,0),0)</f>
        <v>0</v>
      </c>
      <c r="Y167" s="13" t="str">
        <f t="shared" si="4"/>
        <v>—</v>
      </c>
      <c r="Z167" s="11"/>
      <c r="AA167" s="11"/>
      <c r="AB167" s="11"/>
      <c r="AC167" s="11"/>
      <c r="AD167" s="11"/>
      <c r="AE167" s="11"/>
      <c r="AF167" s="61" t="s">
        <v>144</v>
      </c>
      <c r="AG167" s="61"/>
      <c r="AH167" s="62"/>
      <c r="AI167" s="62"/>
      <c r="AJ167" s="61" t="s">
        <v>144</v>
      </c>
      <c r="AK167" s="61" t="s">
        <v>144</v>
      </c>
      <c r="AL167" s="61"/>
      <c r="AM167" s="58" t="str" cm="2">
        <f t="array" ref="AM167">IFERROR(LOOKUP(2, 1/SEARCH({"Black","White","Grey","Blue","Silver","Brown","Green","Blue","Purple","Red","Pink","Yellow","Gold"}, G167), {"Black","White","Grey","Blue","Silver","Brown","Green","Blue","Purple","Red","Pink","Yellow","Gold"}), "")</f>
        <v/>
      </c>
      <c r="AN167" s="58" t="str">
        <f>IFERROR(LOOKUP(2, 1/SEARCH({"8GB","16GB","32GB","64GB"}, G167), {"8GB","16GB","32GB","64GB"}), "")</f>
        <v/>
      </c>
      <c r="AO167" s="58" t="str">
        <f>IFERROR(LOOKUP(2, 1/SEARCH({"1TB","2TB","128GB","512GB","256GB"}, G167), {"1TB","2TB","128GB","512GB","256GB"}), "")</f>
        <v/>
      </c>
      <c r="AP167" s="58"/>
      <c r="AQ167" s="58" t="str">
        <f>IFERROR(LOOKUP(2, 1/SEARCH({"16-Inch","15-Inch","15.6-Inch","18-Inch","15.3-Inch","13-Inch","13.4-Inch","13.8-Inch","14-Inch","17-Inch","45-Inch","27-Inch","34-Inch","32-Inch","21.5-Inch"}, G167), {"16-Inch","15-Inch","15.6-Inch","18-Inch","15.3-Inch","13-Inch","13.4-Inch","13.8-Inch","14-Inch","17-Inch","45-Inch","27-Inch","34-Inch","32-Inch","21.5-Inch"}), "")</f>
        <v/>
      </c>
      <c r="AR167" s="58"/>
      <c r="AS167" s="91"/>
      <c r="AT167" s="93"/>
      <c r="AU167" s="93"/>
      <c r="AV167" s="93"/>
      <c r="AW167" s="93"/>
    </row>
    <row r="168" spans="1:49" ht="15" customHeight="1" x14ac:dyDescent="0.25">
      <c r="A168" s="59"/>
      <c r="B168" s="12"/>
      <c r="C168" s="12"/>
      <c r="D168" s="60"/>
      <c r="E168" s="6"/>
      <c r="F168" s="6"/>
      <c r="G168" s="12"/>
      <c r="H168" s="12" t="str" cm="2">
        <f t="array" ref="H168">IFERROR(INDEX(BrandList!$A$2:$A$50,MATCH(TRUE,ISNUMBER(SEARCH(BrandList!$A$2:$A$50,G168)),0)),"")</f>
        <v/>
      </c>
      <c r="I168" s="12" t="str" cm="2">
        <f t="array" ref="I168">IFERROR(INDEX(BrandList!$B$2:$B$200,MATCH(TRUE,ISNUMBER(SEARCH(BrandList!$B$2:$B$200,G168)),0)),"")</f>
        <v/>
      </c>
      <c r="J168" s="12"/>
      <c r="K168" s="12"/>
      <c r="L168" s="60"/>
      <c r="M168" s="60"/>
      <c r="N168" s="60"/>
      <c r="O168" s="60"/>
      <c r="P168" s="7" t="str">
        <f t="shared" si="5"/>
        <v/>
      </c>
      <c r="Q168" s="8">
        <f>IFERROR(VLOOKUP(VALUE(A168),WEEKLY_DATA!$A:$H,2,0),0)</f>
        <v>0</v>
      </c>
      <c r="R168" s="8">
        <f>IFERROR(VLOOKUP(VALUE(A168),WEEKLY_DATA!$A:$H,3,0),0)</f>
        <v>0</v>
      </c>
      <c r="S168" s="8">
        <f>IFERROR(VLOOKUP(VALUE(A168),WEEKLY_DATA!$A:$H,4,0),0)</f>
        <v>0</v>
      </c>
      <c r="T168" s="51">
        <f>IFERROR(VLOOKUP(VALUE(A168),WEEKLY_DATA!$A:$H,5,0),0)</f>
        <v>0</v>
      </c>
      <c r="U168" s="51">
        <f>IFERROR(VLOOKUP(VALUE(A168),WEEKLY_DATA!$A:$H,6,0),0)</f>
        <v>0</v>
      </c>
      <c r="V168" s="51">
        <f>IFERROR(VLOOKUP(VALUE(A168),WEEKLY_DATA!$A:$H,7,0),0)</f>
        <v>0</v>
      </c>
      <c r="W168" s="9" t="str">
        <f>IFERROR(IF(OR(Q168="",Q168=0),"",IF(VLOOKUP(VALUE($A168),WEEKLY_DATA!$A:$H,6,0)=0,"No Sales",Q168/(VLOOKUP(VALUE($A168),WEEKLY_DATA!$A:$H,6,0)/13))),"")</f>
        <v/>
      </c>
      <c r="X168" s="10">
        <f>IFERROR(VLOOKUP(VALUE(A168),WEEKLY_DATA!$A:$H,8,0),0)</f>
        <v>0</v>
      </c>
      <c r="Y168" s="13" t="str">
        <f t="shared" si="4"/>
        <v>—</v>
      </c>
      <c r="Z168" s="11"/>
      <c r="AA168" s="11"/>
      <c r="AB168" s="11"/>
      <c r="AC168" s="11"/>
      <c r="AD168" s="11"/>
      <c r="AE168" s="11"/>
      <c r="AF168" s="61" t="s">
        <v>144</v>
      </c>
      <c r="AG168" s="61"/>
      <c r="AH168" s="62"/>
      <c r="AI168" s="62"/>
      <c r="AJ168" s="61" t="s">
        <v>144</v>
      </c>
      <c r="AK168" s="61" t="s">
        <v>144</v>
      </c>
      <c r="AL168" s="61"/>
      <c r="AM168" s="58" t="str" cm="2">
        <f t="array" ref="AM168">IFERROR(LOOKUP(2, 1/SEARCH({"Black","White","Grey","Blue","Silver","Brown","Green","Blue","Purple","Red","Pink","Yellow","Gold"}, G168), {"Black","White","Grey","Blue","Silver","Brown","Green","Blue","Purple","Red","Pink","Yellow","Gold"}), "")</f>
        <v/>
      </c>
      <c r="AN168" s="58" t="str">
        <f>IFERROR(LOOKUP(2, 1/SEARCH({"8GB","16GB","32GB","64GB"}, G168), {"8GB","16GB","32GB","64GB"}), "")</f>
        <v/>
      </c>
      <c r="AO168" s="58" t="str">
        <f>IFERROR(LOOKUP(2, 1/SEARCH({"1TB","2TB","128GB","512GB","256GB"}, G168), {"1TB","2TB","128GB","512GB","256GB"}), "")</f>
        <v/>
      </c>
      <c r="AP168" s="58"/>
      <c r="AQ168" s="58" t="str">
        <f>IFERROR(LOOKUP(2, 1/SEARCH({"16-Inch","15-Inch","15.6-Inch","18-Inch","15.3-Inch","13-Inch","13.4-Inch","13.8-Inch","14-Inch","17-Inch","45-Inch","27-Inch","34-Inch","32-Inch","21.5-Inch"}, G168), {"16-Inch","15-Inch","15.6-Inch","18-Inch","15.3-Inch","13-Inch","13.4-Inch","13.8-Inch","14-Inch","17-Inch","45-Inch","27-Inch","34-Inch","32-Inch","21.5-Inch"}), "")</f>
        <v/>
      </c>
      <c r="AR168" s="58"/>
      <c r="AS168" s="91"/>
      <c r="AT168" s="93"/>
      <c r="AU168" s="93"/>
      <c r="AV168" s="93"/>
      <c r="AW168" s="93"/>
    </row>
    <row r="169" spans="1:49" ht="15" customHeight="1" x14ac:dyDescent="0.25">
      <c r="A169" s="59"/>
      <c r="B169" s="12"/>
      <c r="C169" s="12"/>
      <c r="D169" s="60"/>
      <c r="E169" s="6"/>
      <c r="F169" s="6"/>
      <c r="G169" s="12"/>
      <c r="H169" s="12" t="str" cm="2">
        <f t="array" ref="H169">IFERROR(INDEX(BrandList!$A$2:$A$50,MATCH(TRUE,ISNUMBER(SEARCH(BrandList!$A$2:$A$50,G169)),0)),"")</f>
        <v/>
      </c>
      <c r="I169" s="12" t="str" cm="2">
        <f t="array" ref="I169">IFERROR(INDEX(BrandList!$B$2:$B$200,MATCH(TRUE,ISNUMBER(SEARCH(BrandList!$B$2:$B$200,G169)),0)),"")</f>
        <v/>
      </c>
      <c r="J169" s="12"/>
      <c r="K169" s="12"/>
      <c r="L169" s="60"/>
      <c r="M169" s="60"/>
      <c r="N169" s="60"/>
      <c r="O169" s="60"/>
      <c r="P169" s="7" t="str">
        <f t="shared" si="5"/>
        <v/>
      </c>
      <c r="Q169" s="8">
        <f>IFERROR(VLOOKUP(VALUE(A169),WEEKLY_DATA!$A:$H,2,0),0)</f>
        <v>0</v>
      </c>
      <c r="R169" s="8">
        <f>IFERROR(VLOOKUP(VALUE(A169),WEEKLY_DATA!$A:$H,3,0),0)</f>
        <v>0</v>
      </c>
      <c r="S169" s="8">
        <f>IFERROR(VLOOKUP(VALUE(A169),WEEKLY_DATA!$A:$H,4,0),0)</f>
        <v>0</v>
      </c>
      <c r="T169" s="51">
        <f>IFERROR(VLOOKUP(VALUE(A169),WEEKLY_DATA!$A:$H,5,0),0)</f>
        <v>0</v>
      </c>
      <c r="U169" s="51">
        <f>IFERROR(VLOOKUP(VALUE(A169),WEEKLY_DATA!$A:$H,6,0),0)</f>
        <v>0</v>
      </c>
      <c r="V169" s="51">
        <f>IFERROR(VLOOKUP(VALUE(A169),WEEKLY_DATA!$A:$H,7,0),0)</f>
        <v>0</v>
      </c>
      <c r="W169" s="9" t="str">
        <f>IFERROR(IF(OR(Q169="",Q169=0),"",IF(VLOOKUP(VALUE($A169),WEEKLY_DATA!$A:$H,6,0)=0,"No Sales",Q169/(VLOOKUP(VALUE($A169),WEEKLY_DATA!$A:$H,6,0)/13))),"")</f>
        <v/>
      </c>
      <c r="X169" s="10">
        <f>IFERROR(VLOOKUP(VALUE(A169),WEEKLY_DATA!$A:$H,8,0),0)</f>
        <v>0</v>
      </c>
      <c r="Y169" s="13" t="str">
        <f t="shared" si="4"/>
        <v>—</v>
      </c>
      <c r="Z169" s="11"/>
      <c r="AA169" s="11"/>
      <c r="AB169" s="11"/>
      <c r="AC169" s="11"/>
      <c r="AD169" s="11"/>
      <c r="AE169" s="11"/>
      <c r="AF169" s="61" t="s">
        <v>144</v>
      </c>
      <c r="AG169" s="61"/>
      <c r="AH169" s="62"/>
      <c r="AI169" s="62"/>
      <c r="AJ169" s="61" t="s">
        <v>144</v>
      </c>
      <c r="AK169" s="61" t="s">
        <v>144</v>
      </c>
      <c r="AL169" s="61"/>
      <c r="AM169" s="58" t="str" cm="2">
        <f t="array" ref="AM169">IFERROR(LOOKUP(2, 1/SEARCH({"Black","White","Grey","Blue","Silver","Brown","Green","Blue","Purple","Red","Pink","Yellow","Gold"}, G169), {"Black","White","Grey","Blue","Silver","Brown","Green","Blue","Purple","Red","Pink","Yellow","Gold"}), "")</f>
        <v/>
      </c>
      <c r="AN169" s="58" t="str">
        <f>IFERROR(LOOKUP(2, 1/SEARCH({"8GB","16GB","32GB","64GB"}, G169), {"8GB","16GB","32GB","64GB"}), "")</f>
        <v/>
      </c>
      <c r="AO169" s="58" t="str">
        <f>IFERROR(LOOKUP(2, 1/SEARCH({"1TB","2TB","128GB","512GB","256GB"}, G169), {"1TB","2TB","128GB","512GB","256GB"}), "")</f>
        <v/>
      </c>
      <c r="AP169" s="58"/>
      <c r="AQ169" s="58" t="str">
        <f>IFERROR(LOOKUP(2, 1/SEARCH({"16-Inch","15-Inch","15.6-Inch","18-Inch","15.3-Inch","13-Inch","13.4-Inch","13.8-Inch","14-Inch","17-Inch","45-Inch","27-Inch","34-Inch","32-Inch","21.5-Inch"}, G169), {"16-Inch","15-Inch","15.6-Inch","18-Inch","15.3-Inch","13-Inch","13.4-Inch","13.8-Inch","14-Inch","17-Inch","45-Inch","27-Inch","34-Inch","32-Inch","21.5-Inch"}), "")</f>
        <v/>
      </c>
      <c r="AR169" s="58"/>
      <c r="AS169" s="91"/>
      <c r="AT169" s="93"/>
      <c r="AU169" s="93"/>
      <c r="AV169" s="93"/>
      <c r="AW169" s="93"/>
    </row>
    <row r="170" spans="1:49" ht="15" customHeight="1" x14ac:dyDescent="0.25">
      <c r="A170" s="59"/>
      <c r="B170" s="12"/>
      <c r="C170" s="12"/>
      <c r="D170" s="60"/>
      <c r="E170" s="6"/>
      <c r="F170" s="6"/>
      <c r="G170" s="12"/>
      <c r="H170" s="12" t="str" cm="2">
        <f t="array" ref="H170">IFERROR(INDEX(BrandList!$A$2:$A$50,MATCH(TRUE,ISNUMBER(SEARCH(BrandList!$A$2:$A$50,G170)),0)),"")</f>
        <v/>
      </c>
      <c r="I170" s="12" t="str" cm="2">
        <f t="array" ref="I170">IFERROR(INDEX(BrandList!$B$2:$B$200,MATCH(TRUE,ISNUMBER(SEARCH(BrandList!$B$2:$B$200,G170)),0)),"")</f>
        <v/>
      </c>
      <c r="J170" s="12"/>
      <c r="K170" s="12"/>
      <c r="L170" s="60"/>
      <c r="M170" s="60"/>
      <c r="N170" s="60"/>
      <c r="O170" s="60"/>
      <c r="P170" s="7" t="str">
        <f t="shared" si="5"/>
        <v/>
      </c>
      <c r="Q170" s="8">
        <f>IFERROR(VLOOKUP(VALUE(A170),WEEKLY_DATA!$A:$H,2,0),0)</f>
        <v>0</v>
      </c>
      <c r="R170" s="8">
        <f>IFERROR(VLOOKUP(VALUE(A170),WEEKLY_DATA!$A:$H,3,0),0)</f>
        <v>0</v>
      </c>
      <c r="S170" s="8">
        <f>IFERROR(VLOOKUP(VALUE(A170),WEEKLY_DATA!$A:$H,4,0),0)</f>
        <v>0</v>
      </c>
      <c r="T170" s="51">
        <f>IFERROR(VLOOKUP(VALUE(A170),WEEKLY_DATA!$A:$H,5,0),0)</f>
        <v>0</v>
      </c>
      <c r="U170" s="51">
        <f>IFERROR(VLOOKUP(VALUE(A170),WEEKLY_DATA!$A:$H,6,0),0)</f>
        <v>0</v>
      </c>
      <c r="V170" s="51">
        <f>IFERROR(VLOOKUP(VALUE(A170),WEEKLY_DATA!$A:$H,7,0),0)</f>
        <v>0</v>
      </c>
      <c r="W170" s="9" t="str">
        <f>IFERROR(IF(OR(Q170="",Q170=0),"",IF(VLOOKUP(VALUE($A170),WEEKLY_DATA!$A:$H,6,0)=0,"No Sales",Q170/(VLOOKUP(VALUE($A170),WEEKLY_DATA!$A:$H,6,0)/13))),"")</f>
        <v/>
      </c>
      <c r="X170" s="10">
        <f>IFERROR(VLOOKUP(VALUE(A170),WEEKLY_DATA!$A:$H,8,0),0)</f>
        <v>0</v>
      </c>
      <c r="Y170" s="13" t="str">
        <f t="shared" si="4"/>
        <v>—</v>
      </c>
      <c r="Z170" s="11"/>
      <c r="AA170" s="11"/>
      <c r="AB170" s="11"/>
      <c r="AC170" s="11"/>
      <c r="AD170" s="11"/>
      <c r="AE170" s="11"/>
      <c r="AF170" s="61" t="s">
        <v>144</v>
      </c>
      <c r="AG170" s="61"/>
      <c r="AH170" s="62"/>
      <c r="AI170" s="62"/>
      <c r="AJ170" s="61" t="s">
        <v>144</v>
      </c>
      <c r="AK170" s="61" t="s">
        <v>144</v>
      </c>
      <c r="AL170" s="61"/>
      <c r="AM170" s="58" t="str" cm="2">
        <f t="array" ref="AM170">IFERROR(LOOKUP(2, 1/SEARCH({"Black","White","Grey","Blue","Silver","Brown","Green","Blue","Purple","Red","Pink","Yellow","Gold"}, G170), {"Black","White","Grey","Blue","Silver","Brown","Green","Blue","Purple","Red","Pink","Yellow","Gold"}), "")</f>
        <v/>
      </c>
      <c r="AN170" s="58" t="str">
        <f>IFERROR(LOOKUP(2, 1/SEARCH({"8GB","16GB","32GB","64GB"}, G170), {"8GB","16GB","32GB","64GB"}), "")</f>
        <v/>
      </c>
      <c r="AO170" s="58" t="str">
        <f>IFERROR(LOOKUP(2, 1/SEARCH({"1TB","2TB","128GB","512GB","256GB"}, G170), {"1TB","2TB","128GB","512GB","256GB"}), "")</f>
        <v/>
      </c>
      <c r="AP170" s="58"/>
      <c r="AQ170" s="58" t="str">
        <f>IFERROR(LOOKUP(2, 1/SEARCH({"16-Inch","15-Inch","15.6-Inch","18-Inch","15.3-Inch","13-Inch","13.4-Inch","13.8-Inch","14-Inch","17-Inch","45-Inch","27-Inch","34-Inch","32-Inch","21.5-Inch"}, G170), {"16-Inch","15-Inch","15.6-Inch","18-Inch","15.3-Inch","13-Inch","13.4-Inch","13.8-Inch","14-Inch","17-Inch","45-Inch","27-Inch","34-Inch","32-Inch","21.5-Inch"}), "")</f>
        <v/>
      </c>
      <c r="AR170" s="58"/>
      <c r="AS170" s="91"/>
      <c r="AT170" s="93"/>
      <c r="AU170" s="93"/>
      <c r="AV170" s="93"/>
      <c r="AW170" s="93"/>
    </row>
    <row r="171" spans="1:49" ht="15" customHeight="1" x14ac:dyDescent="0.25">
      <c r="A171" s="59"/>
      <c r="B171" s="12"/>
      <c r="C171" s="12"/>
      <c r="D171" s="60"/>
      <c r="E171" s="6"/>
      <c r="F171" s="6"/>
      <c r="G171" s="12"/>
      <c r="H171" s="12" t="str" cm="2">
        <f t="array" ref="H171">IFERROR(INDEX(BrandList!$A$2:$A$50,MATCH(TRUE,ISNUMBER(SEARCH(BrandList!$A$2:$A$50,G171)),0)),"")</f>
        <v/>
      </c>
      <c r="I171" s="12" t="str" cm="2">
        <f t="array" ref="I171">IFERROR(INDEX(BrandList!$B$2:$B$200,MATCH(TRUE,ISNUMBER(SEARCH(BrandList!$B$2:$B$200,G171)),0)),"")</f>
        <v/>
      </c>
      <c r="J171" s="12"/>
      <c r="K171" s="12"/>
      <c r="L171" s="60"/>
      <c r="M171" s="60"/>
      <c r="N171" s="60"/>
      <c r="O171" s="60"/>
      <c r="P171" s="7" t="str">
        <f t="shared" si="5"/>
        <v/>
      </c>
      <c r="Q171" s="8">
        <f>IFERROR(VLOOKUP(VALUE(A171),WEEKLY_DATA!$A:$H,2,0),0)</f>
        <v>0</v>
      </c>
      <c r="R171" s="8">
        <f>IFERROR(VLOOKUP(VALUE(A171),WEEKLY_DATA!$A:$H,3,0),0)</f>
        <v>0</v>
      </c>
      <c r="S171" s="8">
        <f>IFERROR(VLOOKUP(VALUE(A171),WEEKLY_DATA!$A:$H,4,0),0)</f>
        <v>0</v>
      </c>
      <c r="T171" s="51">
        <f>IFERROR(VLOOKUP(VALUE(A171),WEEKLY_DATA!$A:$H,5,0),0)</f>
        <v>0</v>
      </c>
      <c r="U171" s="51">
        <f>IFERROR(VLOOKUP(VALUE(A171),WEEKLY_DATA!$A:$H,6,0),0)</f>
        <v>0</v>
      </c>
      <c r="V171" s="51">
        <f>IFERROR(VLOOKUP(VALUE(A171),WEEKLY_DATA!$A:$H,7,0),0)</f>
        <v>0</v>
      </c>
      <c r="W171" s="9" t="str">
        <f>IFERROR(IF(OR(Q171="",Q171=0),"",IF(VLOOKUP(VALUE($A171),WEEKLY_DATA!$A:$H,6,0)=0,"No Sales",Q171/(VLOOKUP(VALUE($A171),WEEKLY_DATA!$A:$H,6,0)/13))),"")</f>
        <v/>
      </c>
      <c r="X171" s="10">
        <f>IFERROR(VLOOKUP(VALUE(A171),WEEKLY_DATA!$A:$H,8,0),0)</f>
        <v>0</v>
      </c>
      <c r="Y171" s="13" t="str">
        <f t="shared" si="4"/>
        <v>—</v>
      </c>
      <c r="Z171" s="11"/>
      <c r="AA171" s="11"/>
      <c r="AB171" s="11"/>
      <c r="AC171" s="11"/>
      <c r="AD171" s="11"/>
      <c r="AE171" s="11"/>
      <c r="AF171" s="61" t="s">
        <v>144</v>
      </c>
      <c r="AG171" s="61"/>
      <c r="AH171" s="62"/>
      <c r="AI171" s="62"/>
      <c r="AJ171" s="61" t="s">
        <v>144</v>
      </c>
      <c r="AK171" s="61" t="s">
        <v>144</v>
      </c>
      <c r="AL171" s="61"/>
      <c r="AM171" s="58" t="str" cm="2">
        <f t="array" ref="AM171">IFERROR(LOOKUP(2, 1/SEARCH({"Black","White","Grey","Blue","Silver","Brown","Green","Blue","Purple","Red","Pink","Yellow","Gold"}, G171), {"Black","White","Grey","Blue","Silver","Brown","Green","Blue","Purple","Red","Pink","Yellow","Gold"}), "")</f>
        <v/>
      </c>
      <c r="AN171" s="58" t="str">
        <f>IFERROR(LOOKUP(2, 1/SEARCH({"8GB","16GB","32GB","64GB"}, G171), {"8GB","16GB","32GB","64GB"}), "")</f>
        <v/>
      </c>
      <c r="AO171" s="58" t="str">
        <f>IFERROR(LOOKUP(2, 1/SEARCH({"1TB","2TB","128GB","512GB","256GB"}, G171), {"1TB","2TB","128GB","512GB","256GB"}), "")</f>
        <v/>
      </c>
      <c r="AP171" s="58"/>
      <c r="AQ171" s="58" t="str">
        <f>IFERROR(LOOKUP(2, 1/SEARCH({"16-Inch","15-Inch","15.6-Inch","18-Inch","15.3-Inch","13-Inch","13.4-Inch","13.8-Inch","14-Inch","17-Inch","45-Inch","27-Inch","34-Inch","32-Inch","21.5-Inch"}, G171), {"16-Inch","15-Inch","15.6-Inch","18-Inch","15.3-Inch","13-Inch","13.4-Inch","13.8-Inch","14-Inch","17-Inch","45-Inch","27-Inch","34-Inch","32-Inch","21.5-Inch"}), "")</f>
        <v/>
      </c>
      <c r="AR171" s="58"/>
      <c r="AS171" s="91"/>
      <c r="AT171" s="93"/>
      <c r="AU171" s="93"/>
      <c r="AV171" s="93"/>
      <c r="AW171" s="93"/>
    </row>
    <row r="172" spans="1:49" ht="15" customHeight="1" x14ac:dyDescent="0.25">
      <c r="A172" s="59"/>
      <c r="B172" s="12"/>
      <c r="C172" s="12"/>
      <c r="D172" s="60"/>
      <c r="E172" s="6"/>
      <c r="F172" s="6"/>
      <c r="G172" s="12"/>
      <c r="H172" s="12" t="str" cm="2">
        <f t="array" ref="H172">IFERROR(INDEX(BrandList!$A$2:$A$50,MATCH(TRUE,ISNUMBER(SEARCH(BrandList!$A$2:$A$50,G172)),0)),"")</f>
        <v/>
      </c>
      <c r="I172" s="12" t="str" cm="2">
        <f t="array" ref="I172">IFERROR(INDEX(BrandList!$B$2:$B$200,MATCH(TRUE,ISNUMBER(SEARCH(BrandList!$B$2:$B$200,G172)),0)),"")</f>
        <v/>
      </c>
      <c r="J172" s="12"/>
      <c r="K172" s="59"/>
      <c r="L172" s="86"/>
      <c r="M172" s="86"/>
      <c r="N172" s="86"/>
      <c r="O172" s="86"/>
      <c r="P172" s="7" t="str">
        <f t="shared" si="5"/>
        <v/>
      </c>
      <c r="Q172" s="8">
        <f>IFERROR(VLOOKUP(VALUE(A172),WEEKLY_DATA!$A:$H,2,0),0)</f>
        <v>0</v>
      </c>
      <c r="R172" s="8">
        <f>IFERROR(VLOOKUP(VALUE(A172),WEEKLY_DATA!$A:$H,3,0),0)</f>
        <v>0</v>
      </c>
      <c r="S172" s="8">
        <f>IFERROR(VLOOKUP(VALUE(A172),WEEKLY_DATA!$A:$H,4,0),0)</f>
        <v>0</v>
      </c>
      <c r="T172" s="51">
        <f>IFERROR(VLOOKUP(VALUE(A172),WEEKLY_DATA!$A:$H,5,0),0)</f>
        <v>0</v>
      </c>
      <c r="U172" s="51">
        <f>IFERROR(VLOOKUP(VALUE(A172),WEEKLY_DATA!$A:$H,6,0),0)</f>
        <v>0</v>
      </c>
      <c r="V172" s="51">
        <f>IFERROR(VLOOKUP(VALUE(A172),WEEKLY_DATA!$A:$H,7,0),0)</f>
        <v>0</v>
      </c>
      <c r="W172" s="9" t="str">
        <f>IFERROR(IF(OR(Q172="",Q172=0),"",IF(VLOOKUP(VALUE($A172),WEEKLY_DATA!$A:$H,6,0)=0,"No Sales",Q172/(VLOOKUP(VALUE($A172),WEEKLY_DATA!$A:$H,6,0)/13))),"")</f>
        <v/>
      </c>
      <c r="X172" s="10">
        <f>IFERROR(VLOOKUP(VALUE(A172),WEEKLY_DATA!$A:$H,8,0),0)</f>
        <v>0</v>
      </c>
      <c r="Y172" s="13" t="str">
        <f t="shared" si="4"/>
        <v>—</v>
      </c>
      <c r="Z172" s="11"/>
      <c r="AA172" s="11"/>
      <c r="AB172" s="11"/>
      <c r="AC172" s="11"/>
      <c r="AD172" s="11"/>
      <c r="AE172" s="11"/>
      <c r="AF172" s="61" t="s">
        <v>144</v>
      </c>
      <c r="AG172" s="61"/>
      <c r="AH172" s="62" t="s">
        <v>144</v>
      </c>
      <c r="AI172" s="62"/>
      <c r="AJ172" s="61" t="s">
        <v>144</v>
      </c>
      <c r="AK172" s="61" t="s">
        <v>144</v>
      </c>
      <c r="AL172" s="61"/>
      <c r="AM172" s="58" t="str" cm="2">
        <f t="array" ref="AM172">IFERROR(LOOKUP(2, 1/SEARCH({"Black","White","Grey","Blue","Silver","Brown","Green","Blue","Purple","Red","Pink","Yellow","Gold"}, G172), {"Black","White","Grey","Blue","Silver","Brown","Green","Blue","Purple","Red","Pink","Yellow","Gold"}), "")</f>
        <v/>
      </c>
      <c r="AN172" s="58" t="str">
        <f>IFERROR(LOOKUP(2, 1/SEARCH({"8GB","16GB","32GB","64GB"}, G172), {"8GB","16GB","32GB","64GB"}), "")</f>
        <v/>
      </c>
      <c r="AO172" s="58" t="str">
        <f>IFERROR(LOOKUP(2, 1/SEARCH({"1TB","2TB","128GB","512GB","256GB"}, G172), {"1TB","2TB","128GB","512GB","256GB"}), "")</f>
        <v/>
      </c>
      <c r="AP172" s="58"/>
      <c r="AQ172" s="58" t="str">
        <f>IFERROR(LOOKUP(2, 1/SEARCH({"16-Inch","15-Inch","15.6-Inch","18-Inch","15.3-Inch","13-Inch","13.4-Inch","13.8-Inch","14-Inch","17-Inch","45-Inch","27-Inch","34-Inch","32-Inch","21.5-Inch"}, G172), {"16-Inch","15-Inch","15.6-Inch","18-Inch","15.3-Inch","13-Inch","13.4-Inch","13.8-Inch","14-Inch","17-Inch","45-Inch","27-Inch","34-Inch","32-Inch","21.5-Inch"}), "")</f>
        <v/>
      </c>
      <c r="AR172" s="58"/>
      <c r="AS172" s="91"/>
      <c r="AT172" s="93"/>
      <c r="AU172" s="93"/>
      <c r="AV172" s="93"/>
      <c r="AW172" s="93"/>
    </row>
    <row r="173" spans="1:49" ht="15" customHeight="1" x14ac:dyDescent="0.25">
      <c r="A173" s="59"/>
      <c r="B173" s="12"/>
      <c r="C173" s="12"/>
      <c r="D173" s="60"/>
      <c r="E173" s="6"/>
      <c r="F173" s="6"/>
      <c r="G173" s="12"/>
      <c r="H173" s="12" t="str" cm="2">
        <f t="array" ref="H173">IFERROR(INDEX(BrandList!$A$2:$A$50,MATCH(TRUE,ISNUMBER(SEARCH(BrandList!$A$2:$A$50,G173)),0)),"")</f>
        <v/>
      </c>
      <c r="I173" s="12" t="str" cm="2">
        <f t="array" ref="I173">IFERROR(INDEX(BrandList!$B$2:$B$200,MATCH(TRUE,ISNUMBER(SEARCH(BrandList!$B$2:$B$200,G173)),0)),"")</f>
        <v/>
      </c>
      <c r="J173" s="12"/>
      <c r="K173" s="12"/>
      <c r="L173" s="60"/>
      <c r="M173" s="60"/>
      <c r="N173" s="60"/>
      <c r="O173" s="60"/>
      <c r="P173" s="7" t="str">
        <f t="shared" si="5"/>
        <v/>
      </c>
      <c r="Q173" s="8">
        <f>IFERROR(VLOOKUP(VALUE(A173),WEEKLY_DATA!$A:$H,2,0),0)</f>
        <v>0</v>
      </c>
      <c r="R173" s="8">
        <f>IFERROR(VLOOKUP(VALUE(A173),WEEKLY_DATA!$A:$H,3,0),0)</f>
        <v>0</v>
      </c>
      <c r="S173" s="8">
        <f>IFERROR(VLOOKUP(VALUE(A173),WEEKLY_DATA!$A:$H,4,0),0)</f>
        <v>0</v>
      </c>
      <c r="T173" s="51">
        <f>IFERROR(VLOOKUP(VALUE(A173),WEEKLY_DATA!$A:$H,5,0),0)</f>
        <v>0</v>
      </c>
      <c r="U173" s="51">
        <f>IFERROR(VLOOKUP(VALUE(A173),WEEKLY_DATA!$A:$H,6,0),0)</f>
        <v>0</v>
      </c>
      <c r="V173" s="51">
        <f>IFERROR(VLOOKUP(VALUE(A173),WEEKLY_DATA!$A:$H,7,0),0)</f>
        <v>0</v>
      </c>
      <c r="W173" s="9" t="str">
        <f>IFERROR(IF(OR(Q173="",Q173=0),"",IF(VLOOKUP(VALUE($A173),WEEKLY_DATA!$A:$H,6,0)=0,"No Sales",Q173/(VLOOKUP(VALUE($A173),WEEKLY_DATA!$A:$H,6,0)/13))),"")</f>
        <v/>
      </c>
      <c r="X173" s="10">
        <f>IFERROR(VLOOKUP(VALUE(A173),WEEKLY_DATA!$A:$H,8,0),0)</f>
        <v>0</v>
      </c>
      <c r="Y173" s="13" t="str">
        <f t="shared" si="4"/>
        <v>—</v>
      </c>
      <c r="Z173" s="11"/>
      <c r="AA173" s="11"/>
      <c r="AB173" s="11"/>
      <c r="AC173" s="11"/>
      <c r="AD173" s="11"/>
      <c r="AE173" s="11"/>
      <c r="AF173" s="61" t="s">
        <v>144</v>
      </c>
      <c r="AG173" s="61"/>
      <c r="AH173" s="62"/>
      <c r="AI173" s="62"/>
      <c r="AJ173" s="61" t="s">
        <v>144</v>
      </c>
      <c r="AK173" s="61" t="s">
        <v>144</v>
      </c>
      <c r="AL173" s="61"/>
      <c r="AM173" s="58" t="str" cm="2">
        <f t="array" ref="AM173">IFERROR(LOOKUP(2, 1/SEARCH({"Black","White","Grey","Blue","Silver","Brown","Green","Blue","Purple","Red","Pink","Yellow","Gold"}, G173), {"Black","White","Grey","Blue","Silver","Brown","Green","Blue","Purple","Red","Pink","Yellow","Gold"}), "")</f>
        <v/>
      </c>
      <c r="AN173" s="58" t="str">
        <f>IFERROR(LOOKUP(2, 1/SEARCH({"8GB","16GB","32GB","64GB"}, G173), {"8GB","16GB","32GB","64GB"}), "")</f>
        <v/>
      </c>
      <c r="AO173" s="58" t="str">
        <f>IFERROR(LOOKUP(2, 1/SEARCH({"1TB","2TB","128GB","512GB","256GB"}, G173), {"1TB","2TB","128GB","512GB","256GB"}), "")</f>
        <v/>
      </c>
      <c r="AP173" s="58"/>
      <c r="AQ173" s="58" t="str">
        <f>IFERROR(LOOKUP(2, 1/SEARCH({"16-Inch","15-Inch","15.6-Inch","18-Inch","15.3-Inch","13-Inch","13.4-Inch","13.8-Inch","14-Inch","17-Inch","45-Inch","27-Inch","34-Inch","32-Inch","21.5-Inch"}, G173), {"16-Inch","15-Inch","15.6-Inch","18-Inch","15.3-Inch","13-Inch","13.4-Inch","13.8-Inch","14-Inch","17-Inch","45-Inch","27-Inch","34-Inch","32-Inch","21.5-Inch"}), "")</f>
        <v/>
      </c>
      <c r="AR173" s="58"/>
      <c r="AS173" s="91"/>
      <c r="AT173" s="93"/>
      <c r="AU173" s="93"/>
      <c r="AV173" s="93"/>
      <c r="AW173" s="93"/>
    </row>
    <row r="174" spans="1:49" ht="15" customHeight="1" x14ac:dyDescent="0.25">
      <c r="A174" s="59"/>
      <c r="B174" s="12"/>
      <c r="C174" s="12"/>
      <c r="D174" s="60"/>
      <c r="E174" s="6"/>
      <c r="F174" s="6"/>
      <c r="G174" s="12"/>
      <c r="H174" s="12" t="str" cm="2">
        <f t="array" ref="H174">IFERROR(INDEX(BrandList!$A$2:$A$50,MATCH(TRUE,ISNUMBER(SEARCH(BrandList!$A$2:$A$50,G174)),0)),"")</f>
        <v/>
      </c>
      <c r="I174" s="12" t="str" cm="2">
        <f t="array" ref="I174">IFERROR(INDEX(BrandList!$B$2:$B$200,MATCH(TRUE,ISNUMBER(SEARCH(BrandList!$B$2:$B$200,G174)),0)),"")</f>
        <v/>
      </c>
      <c r="J174" s="12"/>
      <c r="K174" s="12"/>
      <c r="L174" s="60"/>
      <c r="M174" s="60"/>
      <c r="N174" s="60"/>
      <c r="O174" s="60"/>
      <c r="P174" s="7" t="str">
        <f t="shared" si="5"/>
        <v/>
      </c>
      <c r="Q174" s="8">
        <f>IFERROR(VLOOKUP(VALUE(A174),WEEKLY_DATA!$A:$H,2,0),0)</f>
        <v>0</v>
      </c>
      <c r="R174" s="8">
        <f>IFERROR(VLOOKUP(VALUE(A174),WEEKLY_DATA!$A:$H,3,0),0)</f>
        <v>0</v>
      </c>
      <c r="S174" s="8">
        <f>IFERROR(VLOOKUP(VALUE(A174),WEEKLY_DATA!$A:$H,4,0),0)</f>
        <v>0</v>
      </c>
      <c r="T174" s="51">
        <f>IFERROR(VLOOKUP(VALUE(A174),WEEKLY_DATA!$A:$H,5,0),0)</f>
        <v>0</v>
      </c>
      <c r="U174" s="51">
        <f>IFERROR(VLOOKUP(VALUE(A174),WEEKLY_DATA!$A:$H,6,0),0)</f>
        <v>0</v>
      </c>
      <c r="V174" s="51">
        <f>IFERROR(VLOOKUP(VALUE(A174),WEEKLY_DATA!$A:$H,7,0),0)</f>
        <v>0</v>
      </c>
      <c r="W174" s="9" t="str">
        <f>IFERROR(IF(OR(Q174="",Q174=0),"",IF(VLOOKUP(VALUE($A174),WEEKLY_DATA!$A:$H,6,0)=0,"No Sales",Q174/(VLOOKUP(VALUE($A174),WEEKLY_DATA!$A:$H,6,0)/13))),"")</f>
        <v/>
      </c>
      <c r="X174" s="10">
        <f>IFERROR(VLOOKUP(VALUE(A174),WEEKLY_DATA!$A:$H,8,0),0)</f>
        <v>0</v>
      </c>
      <c r="Y174" s="13" t="str">
        <f t="shared" si="4"/>
        <v>—</v>
      </c>
      <c r="Z174" s="11"/>
      <c r="AA174" s="11"/>
      <c r="AB174" s="11"/>
      <c r="AC174" s="11"/>
      <c r="AD174" s="11"/>
      <c r="AE174" s="11"/>
      <c r="AF174" s="61" t="s">
        <v>144</v>
      </c>
      <c r="AG174" s="61"/>
      <c r="AH174" s="62"/>
      <c r="AI174" s="62"/>
      <c r="AJ174" s="61" t="s">
        <v>144</v>
      </c>
      <c r="AK174" s="61" t="s">
        <v>144</v>
      </c>
      <c r="AL174" s="61"/>
      <c r="AM174" s="58" t="str" cm="2">
        <f t="array" ref="AM174">IFERROR(LOOKUP(2, 1/SEARCH({"Black","White","Grey","Blue","Silver","Brown","Green","Blue","Purple","Red","Pink","Yellow","Gold"}, G174), {"Black","White","Grey","Blue","Silver","Brown","Green","Blue","Purple","Red","Pink","Yellow","Gold"}), "")</f>
        <v/>
      </c>
      <c r="AN174" s="58" t="str">
        <f>IFERROR(LOOKUP(2, 1/SEARCH({"8GB","16GB","32GB","64GB"}, G174), {"8GB","16GB","32GB","64GB"}), "")</f>
        <v/>
      </c>
      <c r="AO174" s="58" t="str">
        <f>IFERROR(LOOKUP(2, 1/SEARCH({"1TB","2TB","128GB","512GB","256GB"}, G174), {"1TB","2TB","128GB","512GB","256GB"}), "")</f>
        <v/>
      </c>
      <c r="AP174" s="58"/>
      <c r="AQ174" s="58" t="str">
        <f>IFERROR(LOOKUP(2, 1/SEARCH({"16-Inch","15-Inch","15.6-Inch","18-Inch","15.3-Inch","13-Inch","13.4-Inch","13.8-Inch","14-Inch","17-Inch","45-Inch","27-Inch","34-Inch","32-Inch","21.5-Inch"}, G174), {"16-Inch","15-Inch","15.6-Inch","18-Inch","15.3-Inch","13-Inch","13.4-Inch","13.8-Inch","14-Inch","17-Inch","45-Inch","27-Inch","34-Inch","32-Inch","21.5-Inch"}), "")</f>
        <v/>
      </c>
      <c r="AR174" s="58"/>
      <c r="AS174" s="91"/>
      <c r="AT174" s="93"/>
      <c r="AU174" s="93"/>
      <c r="AV174" s="93"/>
      <c r="AW174" s="93"/>
    </row>
    <row r="175" spans="1:49" ht="15" customHeight="1" x14ac:dyDescent="0.25">
      <c r="A175" s="59"/>
      <c r="B175" s="12"/>
      <c r="C175" s="12"/>
      <c r="D175" s="60"/>
      <c r="E175" s="6"/>
      <c r="F175" s="6"/>
      <c r="G175" s="12"/>
      <c r="H175" s="12" t="str" cm="2">
        <f t="array" ref="H175">IFERROR(INDEX(BrandList!$A$2:$A$50,MATCH(TRUE,ISNUMBER(SEARCH(BrandList!$A$2:$A$50,G175)),0)),"")</f>
        <v/>
      </c>
      <c r="I175" s="12" t="str" cm="2">
        <f t="array" ref="I175">IFERROR(INDEX(BrandList!$B$2:$B$200,MATCH(TRUE,ISNUMBER(SEARCH(BrandList!$B$2:$B$200,G175)),0)),"")</f>
        <v/>
      </c>
      <c r="J175" s="12"/>
      <c r="K175" s="12"/>
      <c r="L175" s="60"/>
      <c r="M175" s="60"/>
      <c r="N175" s="60"/>
      <c r="O175" s="60"/>
      <c r="P175" s="7" t="str">
        <f t="shared" si="5"/>
        <v/>
      </c>
      <c r="Q175" s="8">
        <f>IFERROR(VLOOKUP(VALUE(A175),WEEKLY_DATA!$A:$H,2,0),0)</f>
        <v>0</v>
      </c>
      <c r="R175" s="8">
        <f>IFERROR(VLOOKUP(VALUE(A175),WEEKLY_DATA!$A:$H,3,0),0)</f>
        <v>0</v>
      </c>
      <c r="S175" s="8">
        <f>IFERROR(VLOOKUP(VALUE(A175),WEEKLY_DATA!$A:$H,4,0),0)</f>
        <v>0</v>
      </c>
      <c r="T175" s="51">
        <f>IFERROR(VLOOKUP(VALUE(A175),WEEKLY_DATA!$A:$H,5,0),0)</f>
        <v>0</v>
      </c>
      <c r="U175" s="51">
        <f>IFERROR(VLOOKUP(VALUE(A175),WEEKLY_DATA!$A:$H,6,0),0)</f>
        <v>0</v>
      </c>
      <c r="V175" s="51">
        <f>IFERROR(VLOOKUP(VALUE(A175),WEEKLY_DATA!$A:$H,7,0),0)</f>
        <v>0</v>
      </c>
      <c r="W175" s="9" t="str">
        <f>IFERROR(IF(OR(Q175="",Q175=0),"",IF(VLOOKUP(VALUE($A175),WEEKLY_DATA!$A:$H,6,0)=0,"No Sales",Q175/(VLOOKUP(VALUE($A175),WEEKLY_DATA!$A:$H,6,0)/13))),"")</f>
        <v/>
      </c>
      <c r="X175" s="10">
        <f>IFERROR(VLOOKUP(VALUE(A175),WEEKLY_DATA!$A:$H,8,0),0)</f>
        <v>0</v>
      </c>
      <c r="Y175" s="13" t="str">
        <f t="shared" si="4"/>
        <v>—</v>
      </c>
      <c r="Z175" s="11"/>
      <c r="AA175" s="11"/>
      <c r="AB175" s="11"/>
      <c r="AC175" s="11"/>
      <c r="AD175" s="11"/>
      <c r="AE175" s="11"/>
      <c r="AF175" s="61" t="s">
        <v>144</v>
      </c>
      <c r="AG175" s="61"/>
      <c r="AH175" s="62"/>
      <c r="AI175" s="62"/>
      <c r="AJ175" s="61" t="s">
        <v>144</v>
      </c>
      <c r="AK175" s="61" t="s">
        <v>144</v>
      </c>
      <c r="AL175" s="61"/>
      <c r="AM175" s="58" t="str" cm="2">
        <f t="array" ref="AM175">IFERROR(LOOKUP(2, 1/SEARCH({"Black","White","Grey","Blue","Silver","Brown","Green","Blue","Purple","Red","Pink","Yellow","Gold"}, G175), {"Black","White","Grey","Blue","Silver","Brown","Green","Blue","Purple","Red","Pink","Yellow","Gold"}), "")</f>
        <v/>
      </c>
      <c r="AN175" s="58" t="str">
        <f>IFERROR(LOOKUP(2, 1/SEARCH({"8GB","16GB","32GB","64GB"}, G175), {"8GB","16GB","32GB","64GB"}), "")</f>
        <v/>
      </c>
      <c r="AO175" s="58" t="str">
        <f>IFERROR(LOOKUP(2, 1/SEARCH({"1TB","2TB","128GB","512GB","256GB"}, G175), {"1TB","2TB","128GB","512GB","256GB"}), "")</f>
        <v/>
      </c>
      <c r="AP175" s="58"/>
      <c r="AQ175" s="58" t="str">
        <f>IFERROR(LOOKUP(2, 1/SEARCH({"16-Inch","15-Inch","15.6-Inch","18-Inch","15.3-Inch","13-Inch","13.4-Inch","13.8-Inch","14-Inch","17-Inch","45-Inch","27-Inch","34-Inch","32-Inch","21.5-Inch"}, G175), {"16-Inch","15-Inch","15.6-Inch","18-Inch","15.3-Inch","13-Inch","13.4-Inch","13.8-Inch","14-Inch","17-Inch","45-Inch","27-Inch","34-Inch","32-Inch","21.5-Inch"}), "")</f>
        <v/>
      </c>
      <c r="AR175" s="58"/>
      <c r="AS175" s="91"/>
      <c r="AT175" s="93"/>
      <c r="AU175" s="93"/>
      <c r="AV175" s="93"/>
      <c r="AW175" s="93"/>
    </row>
    <row r="176" spans="1:49" ht="15" customHeight="1" x14ac:dyDescent="0.25">
      <c r="A176" s="59"/>
      <c r="B176" s="12"/>
      <c r="C176" s="12"/>
      <c r="D176" s="60"/>
      <c r="E176" s="6"/>
      <c r="F176" s="6"/>
      <c r="G176" s="12"/>
      <c r="H176" s="12" t="str" cm="2">
        <f t="array" ref="H176">IFERROR(INDEX(BrandList!$A$2:$A$50,MATCH(TRUE,ISNUMBER(SEARCH(BrandList!$A$2:$A$50,G176)),0)),"")</f>
        <v/>
      </c>
      <c r="I176" s="12" t="str" cm="2">
        <f t="array" ref="I176">IFERROR(INDEX(BrandList!$B$2:$B$200,MATCH(TRUE,ISNUMBER(SEARCH(BrandList!$B$2:$B$200,G176)),0)),"")</f>
        <v/>
      </c>
      <c r="J176" s="12"/>
      <c r="K176" s="12"/>
      <c r="L176" s="60"/>
      <c r="M176" s="60"/>
      <c r="N176" s="60"/>
      <c r="O176" s="60"/>
      <c r="P176" s="7" t="str">
        <f t="shared" si="5"/>
        <v/>
      </c>
      <c r="Q176" s="8">
        <f>IFERROR(VLOOKUP(VALUE(A176),WEEKLY_DATA!$A:$H,2,0),0)</f>
        <v>0</v>
      </c>
      <c r="R176" s="8">
        <f>IFERROR(VLOOKUP(VALUE(A176),WEEKLY_DATA!$A:$H,3,0),0)</f>
        <v>0</v>
      </c>
      <c r="S176" s="8">
        <f>IFERROR(VLOOKUP(VALUE(A176),WEEKLY_DATA!$A:$H,4,0),0)</f>
        <v>0</v>
      </c>
      <c r="T176" s="51">
        <f>IFERROR(VLOOKUP(VALUE(A176),WEEKLY_DATA!$A:$H,5,0),0)</f>
        <v>0</v>
      </c>
      <c r="U176" s="51">
        <f>IFERROR(VLOOKUP(VALUE(A176),WEEKLY_DATA!$A:$H,6,0),0)</f>
        <v>0</v>
      </c>
      <c r="V176" s="51">
        <f>IFERROR(VLOOKUP(VALUE(A176),WEEKLY_DATA!$A:$H,7,0),0)</f>
        <v>0</v>
      </c>
      <c r="W176" s="9" t="str">
        <f>IFERROR(IF(OR(Q176="",Q176=0),"",IF(VLOOKUP(VALUE($A176),WEEKLY_DATA!$A:$H,6,0)=0,"No Sales",Q176/(VLOOKUP(VALUE($A176),WEEKLY_DATA!$A:$H,6,0)/13))),"")</f>
        <v/>
      </c>
      <c r="X176" s="10">
        <f>IFERROR(VLOOKUP(VALUE(A176),WEEKLY_DATA!$A:$H,8,0),0)</f>
        <v>0</v>
      </c>
      <c r="Y176" s="13" t="str">
        <f t="shared" si="4"/>
        <v>—</v>
      </c>
      <c r="Z176" s="11"/>
      <c r="AA176" s="11"/>
      <c r="AB176" s="11"/>
      <c r="AC176" s="11"/>
      <c r="AD176" s="11"/>
      <c r="AE176" s="11"/>
      <c r="AF176" s="61" t="s">
        <v>144</v>
      </c>
      <c r="AG176" s="61"/>
      <c r="AH176" s="62"/>
      <c r="AI176" s="62"/>
      <c r="AJ176" s="61" t="s">
        <v>144</v>
      </c>
      <c r="AK176" s="61" t="s">
        <v>144</v>
      </c>
      <c r="AL176" s="61"/>
      <c r="AM176" s="58" t="str" cm="2">
        <f t="array" ref="AM176">IFERROR(LOOKUP(2, 1/SEARCH({"Black","White","Grey","Blue","Silver","Brown","Green","Blue","Purple","Red","Pink","Yellow","Gold"}, G176), {"Black","White","Grey","Blue","Silver","Brown","Green","Blue","Purple","Red","Pink","Yellow","Gold"}), "")</f>
        <v/>
      </c>
      <c r="AN176" s="58" t="str">
        <f>IFERROR(LOOKUP(2, 1/SEARCH({"8GB","16GB","32GB","64GB"}, G176), {"8GB","16GB","32GB","64GB"}), "")</f>
        <v/>
      </c>
      <c r="AO176" s="58" t="str">
        <f>IFERROR(LOOKUP(2, 1/SEARCH({"1TB","2TB","128GB","512GB","256GB"}, G176), {"1TB","2TB","128GB","512GB","256GB"}), "")</f>
        <v/>
      </c>
      <c r="AP176" s="58"/>
      <c r="AQ176" s="58" t="str">
        <f>IFERROR(LOOKUP(2, 1/SEARCH({"16-Inch","15-Inch","15.6-Inch","18-Inch","15.3-Inch","13-Inch","13.4-Inch","13.8-Inch","14-Inch","17-Inch","45-Inch","27-Inch","34-Inch","32-Inch","21.5-Inch"}, G176), {"16-Inch","15-Inch","15.6-Inch","18-Inch","15.3-Inch","13-Inch","13.4-Inch","13.8-Inch","14-Inch","17-Inch","45-Inch","27-Inch","34-Inch","32-Inch","21.5-Inch"}), "")</f>
        <v/>
      </c>
      <c r="AR176" s="58"/>
      <c r="AS176" s="91"/>
      <c r="AT176" s="93"/>
      <c r="AU176" s="93"/>
      <c r="AV176" s="93"/>
      <c r="AW176" s="93"/>
    </row>
    <row r="177" spans="1:49" ht="15" customHeight="1" x14ac:dyDescent="0.25">
      <c r="A177" s="59"/>
      <c r="B177" s="12"/>
      <c r="C177" s="12"/>
      <c r="D177" s="60"/>
      <c r="E177" s="6"/>
      <c r="F177" s="6"/>
      <c r="G177" s="12"/>
      <c r="H177" s="12" t="str" cm="2">
        <f t="array" ref="H177">IFERROR(INDEX(BrandList!$A$2:$A$50,MATCH(TRUE,ISNUMBER(SEARCH(BrandList!$A$2:$A$50,G177)),0)),"")</f>
        <v/>
      </c>
      <c r="I177" s="12" t="str" cm="2">
        <f t="array" ref="I177">IFERROR(INDEX(BrandList!$B$2:$B$200,MATCH(TRUE,ISNUMBER(SEARCH(BrandList!$B$2:$B$200,G177)),0)),"")</f>
        <v/>
      </c>
      <c r="J177" s="12"/>
      <c r="K177" s="12"/>
      <c r="L177" s="60"/>
      <c r="M177" s="60"/>
      <c r="N177" s="60"/>
      <c r="O177" s="60"/>
      <c r="P177" s="7" t="str">
        <f t="shared" si="5"/>
        <v/>
      </c>
      <c r="Q177" s="8">
        <f>IFERROR(VLOOKUP(VALUE(A177),WEEKLY_DATA!$A:$H,2,0),0)</f>
        <v>0</v>
      </c>
      <c r="R177" s="8">
        <f>IFERROR(VLOOKUP(VALUE(A177),WEEKLY_DATA!$A:$H,3,0),0)</f>
        <v>0</v>
      </c>
      <c r="S177" s="8">
        <f>IFERROR(VLOOKUP(VALUE(A177),WEEKLY_DATA!$A:$H,4,0),0)</f>
        <v>0</v>
      </c>
      <c r="T177" s="51">
        <f>IFERROR(VLOOKUP(VALUE(A177),WEEKLY_DATA!$A:$H,5,0),0)</f>
        <v>0</v>
      </c>
      <c r="U177" s="51">
        <f>IFERROR(VLOOKUP(VALUE(A177),WEEKLY_DATA!$A:$H,6,0),0)</f>
        <v>0</v>
      </c>
      <c r="V177" s="51">
        <f>IFERROR(VLOOKUP(VALUE(A177),WEEKLY_DATA!$A:$H,7,0),0)</f>
        <v>0</v>
      </c>
      <c r="W177" s="9" t="str">
        <f>IFERROR(IF(OR(Q177="",Q177=0),"",IF(VLOOKUP(VALUE($A177),WEEKLY_DATA!$A:$H,6,0)=0,"No Sales",Q177/(VLOOKUP(VALUE($A177),WEEKLY_DATA!$A:$H,6,0)/13))),"")</f>
        <v/>
      </c>
      <c r="X177" s="10">
        <f>IFERROR(VLOOKUP(VALUE(A177),WEEKLY_DATA!$A:$H,8,0),0)</f>
        <v>0</v>
      </c>
      <c r="Y177" s="13" t="str">
        <f t="shared" si="4"/>
        <v>—</v>
      </c>
      <c r="Z177" s="11"/>
      <c r="AA177" s="11"/>
      <c r="AB177" s="11"/>
      <c r="AC177" s="11"/>
      <c r="AD177" s="11"/>
      <c r="AE177" s="11"/>
      <c r="AF177" s="61" t="s">
        <v>144</v>
      </c>
      <c r="AG177" s="61"/>
      <c r="AH177" s="62"/>
      <c r="AI177" s="62"/>
      <c r="AJ177" s="61" t="s">
        <v>144</v>
      </c>
      <c r="AK177" s="61" t="s">
        <v>144</v>
      </c>
      <c r="AL177" s="61"/>
      <c r="AM177" s="58" t="str" cm="2">
        <f t="array" ref="AM177">IFERROR(LOOKUP(2, 1/SEARCH({"Black","White","Grey","Blue","Silver","Brown","Green","Blue","Purple","Red","Pink","Yellow","Gold"}, G177), {"Black","White","Grey","Blue","Silver","Brown","Green","Blue","Purple","Red","Pink","Yellow","Gold"}), "")</f>
        <v/>
      </c>
      <c r="AN177" s="58" t="str">
        <f>IFERROR(LOOKUP(2, 1/SEARCH({"8GB","16GB","32GB","64GB"}, G177), {"8GB","16GB","32GB","64GB"}), "")</f>
        <v/>
      </c>
      <c r="AO177" s="58" t="str">
        <f>IFERROR(LOOKUP(2, 1/SEARCH({"1TB","2TB","128GB","512GB","256GB"}, G177), {"1TB","2TB","128GB","512GB","256GB"}), "")</f>
        <v/>
      </c>
      <c r="AP177" s="58"/>
      <c r="AQ177" s="58" t="str">
        <f>IFERROR(LOOKUP(2, 1/SEARCH({"16-Inch","15-Inch","15.6-Inch","18-Inch","15.3-Inch","13-Inch","13.4-Inch","13.8-Inch","14-Inch","17-Inch","45-Inch","27-Inch","34-Inch","32-Inch","21.5-Inch"}, G177), {"16-Inch","15-Inch","15.6-Inch","18-Inch","15.3-Inch","13-Inch","13.4-Inch","13.8-Inch","14-Inch","17-Inch","45-Inch","27-Inch","34-Inch","32-Inch","21.5-Inch"}), "")</f>
        <v/>
      </c>
      <c r="AR177" s="58"/>
      <c r="AS177" s="91"/>
      <c r="AT177" s="93"/>
      <c r="AU177" s="93"/>
      <c r="AV177" s="93"/>
      <c r="AW177" s="93"/>
    </row>
    <row r="178" spans="1:49" ht="15" customHeight="1" x14ac:dyDescent="0.25">
      <c r="A178" s="59"/>
      <c r="B178" s="12"/>
      <c r="C178" s="12"/>
      <c r="D178" s="60"/>
      <c r="E178" s="6"/>
      <c r="F178" s="6"/>
      <c r="G178" s="12"/>
      <c r="H178" s="12" t="str" cm="2">
        <f t="array" ref="H178">IFERROR(INDEX(BrandList!$A$2:$A$50,MATCH(TRUE,ISNUMBER(SEARCH(BrandList!$A$2:$A$50,G178)),0)),"")</f>
        <v/>
      </c>
      <c r="I178" s="12" t="str" cm="2">
        <f t="array" ref="I178">IFERROR(INDEX(BrandList!$B$2:$B$200,MATCH(TRUE,ISNUMBER(SEARCH(BrandList!$B$2:$B$200,G178)),0)),"")</f>
        <v/>
      </c>
      <c r="J178" s="12"/>
      <c r="K178" s="12"/>
      <c r="L178" s="60"/>
      <c r="M178" s="60"/>
      <c r="N178" s="60"/>
      <c r="O178" s="60"/>
      <c r="P178" s="7" t="str">
        <f t="shared" si="5"/>
        <v/>
      </c>
      <c r="Q178" s="8">
        <f>IFERROR(VLOOKUP(VALUE(A178),WEEKLY_DATA!$A:$H,2,0),0)</f>
        <v>0</v>
      </c>
      <c r="R178" s="8">
        <f>IFERROR(VLOOKUP(VALUE(A178),WEEKLY_DATA!$A:$H,3,0),0)</f>
        <v>0</v>
      </c>
      <c r="S178" s="8">
        <f>IFERROR(VLOOKUP(VALUE(A178),WEEKLY_DATA!$A:$H,4,0),0)</f>
        <v>0</v>
      </c>
      <c r="T178" s="51">
        <f>IFERROR(VLOOKUP(VALUE(A178),WEEKLY_DATA!$A:$H,5,0),0)</f>
        <v>0</v>
      </c>
      <c r="U178" s="51">
        <f>IFERROR(VLOOKUP(VALUE(A178),WEEKLY_DATA!$A:$H,6,0),0)</f>
        <v>0</v>
      </c>
      <c r="V178" s="51">
        <f>IFERROR(VLOOKUP(VALUE(A178),WEEKLY_DATA!$A:$H,7,0),0)</f>
        <v>0</v>
      </c>
      <c r="W178" s="9" t="str">
        <f>IFERROR(IF(OR(Q178="",Q178=0),"",IF(VLOOKUP(VALUE($A178),WEEKLY_DATA!$A:$H,6,0)=0,"No Sales",Q178/(VLOOKUP(VALUE($A178),WEEKLY_DATA!$A:$H,6,0)/13))),"")</f>
        <v/>
      </c>
      <c r="X178" s="10">
        <f>IFERROR(VLOOKUP(VALUE(A178),WEEKLY_DATA!$A:$H,8,0),0)</f>
        <v>0</v>
      </c>
      <c r="Y178" s="13" t="str">
        <f t="shared" si="4"/>
        <v>—</v>
      </c>
      <c r="Z178" s="11"/>
      <c r="AA178" s="11"/>
      <c r="AB178" s="11"/>
      <c r="AC178" s="11"/>
      <c r="AD178" s="11"/>
      <c r="AE178" s="11"/>
      <c r="AF178" s="61" t="s">
        <v>144</v>
      </c>
      <c r="AG178" s="61"/>
      <c r="AH178" s="62"/>
      <c r="AI178" s="62"/>
      <c r="AJ178" s="61" t="s">
        <v>144</v>
      </c>
      <c r="AK178" s="61" t="s">
        <v>144</v>
      </c>
      <c r="AL178" s="61"/>
      <c r="AM178" s="58" t="str" cm="2">
        <f t="array" ref="AM178">IFERROR(LOOKUP(2, 1/SEARCH({"Black","White","Grey","Blue","Silver","Brown","Green","Blue","Purple","Red","Pink","Yellow","Gold"}, G178), {"Black","White","Grey","Blue","Silver","Brown","Green","Blue","Purple","Red","Pink","Yellow","Gold"}), "")</f>
        <v/>
      </c>
      <c r="AN178" s="58" t="str">
        <f>IFERROR(LOOKUP(2, 1/SEARCH({"8GB","16GB","32GB","64GB"}, G178), {"8GB","16GB","32GB","64GB"}), "")</f>
        <v/>
      </c>
      <c r="AO178" s="58" t="str">
        <f>IFERROR(LOOKUP(2, 1/SEARCH({"1TB","2TB","128GB","512GB","256GB"}, G178), {"1TB","2TB","128GB","512GB","256GB"}), "")</f>
        <v/>
      </c>
      <c r="AP178" s="58"/>
      <c r="AQ178" s="58" t="str">
        <f>IFERROR(LOOKUP(2, 1/SEARCH({"16-Inch","15-Inch","15.6-Inch","18-Inch","15.3-Inch","13-Inch","13.4-Inch","13.8-Inch","14-Inch","17-Inch","45-Inch","27-Inch","34-Inch","32-Inch","21.5-Inch"}, G178), {"16-Inch","15-Inch","15.6-Inch","18-Inch","15.3-Inch","13-Inch","13.4-Inch","13.8-Inch","14-Inch","17-Inch","45-Inch","27-Inch","34-Inch","32-Inch","21.5-Inch"}), "")</f>
        <v/>
      </c>
      <c r="AR178" s="58"/>
      <c r="AS178" s="91"/>
      <c r="AT178" s="93"/>
      <c r="AU178" s="93"/>
      <c r="AV178" s="93"/>
      <c r="AW178" s="93"/>
    </row>
    <row r="179" spans="1:49" ht="15" customHeight="1" x14ac:dyDescent="0.25">
      <c r="A179" s="59"/>
      <c r="B179" s="12"/>
      <c r="C179" s="12"/>
      <c r="D179" s="60"/>
      <c r="E179" s="6"/>
      <c r="F179" s="6"/>
      <c r="G179" s="12"/>
      <c r="H179" s="12" t="str" cm="2">
        <f t="array" ref="H179">IFERROR(INDEX(BrandList!$A$2:$A$50,MATCH(TRUE,ISNUMBER(SEARCH(BrandList!$A$2:$A$50,G179)),0)),"")</f>
        <v/>
      </c>
      <c r="I179" s="12" t="str" cm="2">
        <f t="array" ref="I179">IFERROR(INDEX(BrandList!$B$2:$B$200,MATCH(TRUE,ISNUMBER(SEARCH(BrandList!$B$2:$B$200,G179)),0)),"")</f>
        <v/>
      </c>
      <c r="J179" s="12"/>
      <c r="K179" s="12"/>
      <c r="L179" s="60"/>
      <c r="M179" s="60"/>
      <c r="N179" s="60"/>
      <c r="O179" s="60"/>
      <c r="P179" s="7" t="str">
        <f t="shared" si="5"/>
        <v/>
      </c>
      <c r="Q179" s="8">
        <f>IFERROR(VLOOKUP(VALUE(A179),WEEKLY_DATA!$A:$H,2,0),0)</f>
        <v>0</v>
      </c>
      <c r="R179" s="8">
        <f>IFERROR(VLOOKUP(VALUE(A179),WEEKLY_DATA!$A:$H,3,0),0)</f>
        <v>0</v>
      </c>
      <c r="S179" s="8">
        <f>IFERROR(VLOOKUP(VALUE(A179),WEEKLY_DATA!$A:$H,4,0),0)</f>
        <v>0</v>
      </c>
      <c r="T179" s="51">
        <f>IFERROR(VLOOKUP(VALUE(A179),WEEKLY_DATA!$A:$H,5,0),0)</f>
        <v>0</v>
      </c>
      <c r="U179" s="51">
        <f>IFERROR(VLOOKUP(VALUE(A179),WEEKLY_DATA!$A:$H,6,0),0)</f>
        <v>0</v>
      </c>
      <c r="V179" s="51">
        <f>IFERROR(VLOOKUP(VALUE(A179),WEEKLY_DATA!$A:$H,7,0),0)</f>
        <v>0</v>
      </c>
      <c r="W179" s="9" t="str">
        <f>IFERROR(IF(OR(Q179="",Q179=0),"",IF(VLOOKUP(VALUE($A179),WEEKLY_DATA!$A:$H,6,0)=0,"No Sales",Q179/(VLOOKUP(VALUE($A179),WEEKLY_DATA!$A:$H,6,0)/13))),"")</f>
        <v/>
      </c>
      <c r="X179" s="10">
        <f>IFERROR(VLOOKUP(VALUE(A179),WEEKLY_DATA!$A:$H,8,0),0)</f>
        <v>0</v>
      </c>
      <c r="Y179" s="13" t="str">
        <f t="shared" si="4"/>
        <v>—</v>
      </c>
      <c r="Z179" s="11"/>
      <c r="AA179" s="11"/>
      <c r="AB179" s="11"/>
      <c r="AC179" s="11"/>
      <c r="AD179" s="11"/>
      <c r="AE179" s="11"/>
      <c r="AF179" s="61" t="s">
        <v>144</v>
      </c>
      <c r="AG179" s="61"/>
      <c r="AH179" s="62" t="s">
        <v>144</v>
      </c>
      <c r="AI179" s="62"/>
      <c r="AJ179" s="61" t="s">
        <v>144</v>
      </c>
      <c r="AK179" s="61" t="s">
        <v>144</v>
      </c>
      <c r="AL179" s="61"/>
      <c r="AM179" s="58" t="str" cm="2">
        <f t="array" ref="AM179">IFERROR(LOOKUP(2, 1/SEARCH({"Black","White","Grey","Blue","Silver","Brown","Green","Blue","Purple","Red","Pink","Yellow","Gold"}, G179), {"Black","White","Grey","Blue","Silver","Brown","Green","Blue","Purple","Red","Pink","Yellow","Gold"}), "")</f>
        <v/>
      </c>
      <c r="AN179" s="58" t="str">
        <f>IFERROR(LOOKUP(2, 1/SEARCH({"8GB","16GB","32GB","64GB"}, G179), {"8GB","16GB","32GB","64GB"}), "")</f>
        <v/>
      </c>
      <c r="AO179" s="58" t="str">
        <f>IFERROR(LOOKUP(2, 1/SEARCH({"1TB","2TB","128GB","512GB","256GB"}, G179), {"1TB","2TB","128GB","512GB","256GB"}), "")</f>
        <v/>
      </c>
      <c r="AP179" s="58"/>
      <c r="AQ179" s="58" t="str">
        <f>IFERROR(LOOKUP(2, 1/SEARCH({"16-Inch","15-Inch","15.6-Inch","18-Inch","15.3-Inch","13-Inch","13.4-Inch","13.8-Inch","14-Inch","17-Inch","45-Inch","27-Inch","34-Inch","32-Inch","21.5-Inch"}, G179), {"16-Inch","15-Inch","15.6-Inch","18-Inch","15.3-Inch","13-Inch","13.4-Inch","13.8-Inch","14-Inch","17-Inch","45-Inch","27-Inch","34-Inch","32-Inch","21.5-Inch"}), "")</f>
        <v/>
      </c>
      <c r="AR179" s="58"/>
      <c r="AS179" s="91"/>
      <c r="AT179" s="93"/>
      <c r="AU179" s="93"/>
      <c r="AV179" s="93"/>
      <c r="AW179" s="93"/>
    </row>
    <row r="180" spans="1:49" ht="15" customHeight="1" x14ac:dyDescent="0.25">
      <c r="A180" s="59"/>
      <c r="B180" s="12"/>
      <c r="C180" s="12"/>
      <c r="D180" s="60"/>
      <c r="E180" s="6"/>
      <c r="F180" s="6"/>
      <c r="G180" s="12"/>
      <c r="H180" s="12" t="str" cm="2">
        <f t="array" ref="H180">IFERROR(INDEX(BrandList!$A$2:$A$50,MATCH(TRUE,ISNUMBER(SEARCH(BrandList!$A$2:$A$50,G180)),0)),"")</f>
        <v/>
      </c>
      <c r="I180" s="12" t="str" cm="2">
        <f t="array" ref="I180">IFERROR(INDEX(BrandList!$B$2:$B$200,MATCH(TRUE,ISNUMBER(SEARCH(BrandList!$B$2:$B$200,G180)),0)),"")</f>
        <v/>
      </c>
      <c r="J180" s="12"/>
      <c r="K180" s="12"/>
      <c r="L180" s="60"/>
      <c r="M180" s="60"/>
      <c r="N180" s="60"/>
      <c r="O180" s="60"/>
      <c r="P180" s="7" t="str">
        <f t="shared" si="5"/>
        <v/>
      </c>
      <c r="Q180" s="8">
        <f>IFERROR(VLOOKUP(VALUE(A180),WEEKLY_DATA!$A:$H,2,0),0)</f>
        <v>0</v>
      </c>
      <c r="R180" s="8">
        <f>IFERROR(VLOOKUP(VALUE(A180),WEEKLY_DATA!$A:$H,3,0),0)</f>
        <v>0</v>
      </c>
      <c r="S180" s="8">
        <f>IFERROR(VLOOKUP(VALUE(A180),WEEKLY_DATA!$A:$H,4,0),0)</f>
        <v>0</v>
      </c>
      <c r="T180" s="51">
        <f>IFERROR(VLOOKUP(VALUE(A180),WEEKLY_DATA!$A:$H,5,0),0)</f>
        <v>0</v>
      </c>
      <c r="U180" s="51">
        <f>IFERROR(VLOOKUP(VALUE(A180),WEEKLY_DATA!$A:$H,6,0),0)</f>
        <v>0</v>
      </c>
      <c r="V180" s="51">
        <f>IFERROR(VLOOKUP(VALUE(A180),WEEKLY_DATA!$A:$H,7,0),0)</f>
        <v>0</v>
      </c>
      <c r="W180" s="9" t="str">
        <f>IFERROR(IF(OR(Q180="",Q180=0),"",IF(VLOOKUP(VALUE($A180),WEEKLY_DATA!$A:$H,6,0)=0,"No Sales",Q180/(VLOOKUP(VALUE($A180),WEEKLY_DATA!$A:$H,6,0)/13))),"")</f>
        <v/>
      </c>
      <c r="X180" s="10">
        <f>IFERROR(VLOOKUP(VALUE(A180),WEEKLY_DATA!$A:$H,8,0),0)</f>
        <v>0</v>
      </c>
      <c r="Y180" s="13" t="str">
        <f t="shared" si="4"/>
        <v>—</v>
      </c>
      <c r="Z180" s="11"/>
      <c r="AA180" s="11"/>
      <c r="AB180" s="11"/>
      <c r="AC180" s="11"/>
      <c r="AD180" s="11"/>
      <c r="AE180" s="11"/>
      <c r="AF180" s="61" t="s">
        <v>144</v>
      </c>
      <c r="AG180" s="61"/>
      <c r="AH180" s="62"/>
      <c r="AI180" s="62"/>
      <c r="AJ180" s="61" t="s">
        <v>144</v>
      </c>
      <c r="AK180" s="61" t="s">
        <v>144</v>
      </c>
      <c r="AL180" s="61"/>
      <c r="AM180" s="58" t="str" cm="2">
        <f t="array" ref="AM180">IFERROR(LOOKUP(2, 1/SEARCH({"Black","White","Grey","Blue","Silver","Brown","Green","Blue","Purple","Red","Pink","Yellow","Gold"}, G180), {"Black","White","Grey","Blue","Silver","Brown","Green","Blue","Purple","Red","Pink","Yellow","Gold"}), "")</f>
        <v/>
      </c>
      <c r="AN180" s="58" t="str">
        <f>IFERROR(LOOKUP(2, 1/SEARCH({"8GB","16GB","32GB","64GB"}, G180), {"8GB","16GB","32GB","64GB"}), "")</f>
        <v/>
      </c>
      <c r="AO180" s="58" t="str">
        <f>IFERROR(LOOKUP(2, 1/SEARCH({"1TB","2TB","128GB","512GB","256GB"}, G180), {"1TB","2TB","128GB","512GB","256GB"}), "")</f>
        <v/>
      </c>
      <c r="AP180" s="58"/>
      <c r="AQ180" s="58" t="str">
        <f>IFERROR(LOOKUP(2, 1/SEARCH({"16-Inch","15-Inch","15.6-Inch","18-Inch","15.3-Inch","13-Inch","13.4-Inch","13.8-Inch","14-Inch","17-Inch","45-Inch","27-Inch","34-Inch","32-Inch","21.5-Inch"}, G180), {"16-Inch","15-Inch","15.6-Inch","18-Inch","15.3-Inch","13-Inch","13.4-Inch","13.8-Inch","14-Inch","17-Inch","45-Inch","27-Inch","34-Inch","32-Inch","21.5-Inch"}), "")</f>
        <v/>
      </c>
      <c r="AR180" s="58"/>
      <c r="AS180" s="91"/>
      <c r="AT180" s="93"/>
      <c r="AU180" s="93"/>
      <c r="AV180" s="93"/>
      <c r="AW180" s="93"/>
    </row>
    <row r="181" spans="1:49" ht="15" customHeight="1" x14ac:dyDescent="0.25">
      <c r="A181" s="59"/>
      <c r="B181" s="12"/>
      <c r="C181" s="12"/>
      <c r="D181" s="60"/>
      <c r="E181" s="6"/>
      <c r="F181" s="6"/>
      <c r="G181" s="12"/>
      <c r="H181" s="12" t="str" cm="2">
        <f t="array" ref="H181">IFERROR(INDEX(BrandList!$A$2:$A$50,MATCH(TRUE,ISNUMBER(SEARCH(BrandList!$A$2:$A$50,G181)),0)),"")</f>
        <v/>
      </c>
      <c r="I181" s="12" t="str" cm="2">
        <f t="array" ref="I181">IFERROR(INDEX(BrandList!$B$2:$B$200,MATCH(TRUE,ISNUMBER(SEARCH(BrandList!$B$2:$B$200,G181)),0)),"")</f>
        <v/>
      </c>
      <c r="J181" s="12"/>
      <c r="K181" s="59"/>
      <c r="L181" s="86"/>
      <c r="M181" s="86"/>
      <c r="N181" s="86"/>
      <c r="O181" s="86"/>
      <c r="P181" s="7" t="str">
        <f t="shared" si="5"/>
        <v/>
      </c>
      <c r="Q181" s="8">
        <f>IFERROR(VLOOKUP(VALUE(A181),WEEKLY_DATA!$A:$H,2,0),0)</f>
        <v>0</v>
      </c>
      <c r="R181" s="8">
        <f>IFERROR(VLOOKUP(VALUE(A181),WEEKLY_DATA!$A:$H,3,0),0)</f>
        <v>0</v>
      </c>
      <c r="S181" s="8">
        <f>IFERROR(VLOOKUP(VALUE(A181),WEEKLY_DATA!$A:$H,4,0),0)</f>
        <v>0</v>
      </c>
      <c r="T181" s="51">
        <f>IFERROR(VLOOKUP(VALUE(A181),WEEKLY_DATA!$A:$H,5,0),0)</f>
        <v>0</v>
      </c>
      <c r="U181" s="51">
        <f>IFERROR(VLOOKUP(VALUE(A181),WEEKLY_DATA!$A:$H,6,0),0)</f>
        <v>0</v>
      </c>
      <c r="V181" s="51">
        <f>IFERROR(VLOOKUP(VALUE(A181),WEEKLY_DATA!$A:$H,7,0),0)</f>
        <v>0</v>
      </c>
      <c r="W181" s="9" t="str">
        <f>IFERROR(IF(OR(Q181="",Q181=0),"",IF(VLOOKUP(VALUE($A181),WEEKLY_DATA!$A:$H,6,0)=0,"No Sales",Q181/(VLOOKUP(VALUE($A181),WEEKLY_DATA!$A:$H,6,0)/13))),"")</f>
        <v/>
      </c>
      <c r="X181" s="10">
        <f>IFERROR(VLOOKUP(VALUE(A181),WEEKLY_DATA!$A:$H,8,0),0)</f>
        <v>0</v>
      </c>
      <c r="Y181" s="13" t="str">
        <f t="shared" si="4"/>
        <v>—</v>
      </c>
      <c r="Z181" s="11"/>
      <c r="AA181" s="11"/>
      <c r="AB181" s="11"/>
      <c r="AC181" s="11"/>
      <c r="AD181" s="11"/>
      <c r="AE181" s="11"/>
      <c r="AF181" s="61" t="s">
        <v>144</v>
      </c>
      <c r="AG181" s="61"/>
      <c r="AH181" s="62"/>
      <c r="AI181" s="62"/>
      <c r="AJ181" s="61" t="s">
        <v>144</v>
      </c>
      <c r="AK181" s="61" t="s">
        <v>144</v>
      </c>
      <c r="AL181" s="61"/>
      <c r="AM181" s="58" t="str" cm="2">
        <f t="array" ref="AM181">IFERROR(LOOKUP(2, 1/SEARCH({"Black","White","Grey","Blue","Silver","Brown","Green","Blue","Purple","Red","Pink","Yellow","Gold"}, G181), {"Black","White","Grey","Blue","Silver","Brown","Green","Blue","Purple","Red","Pink","Yellow","Gold"}), "")</f>
        <v/>
      </c>
      <c r="AN181" s="58" t="str">
        <f>IFERROR(LOOKUP(2, 1/SEARCH({"8GB","16GB","32GB","64GB"}, G181), {"8GB","16GB","32GB","64GB"}), "")</f>
        <v/>
      </c>
      <c r="AO181" s="58" t="str">
        <f>IFERROR(LOOKUP(2, 1/SEARCH({"1TB","2TB","128GB","512GB","256GB"}, G181), {"1TB","2TB","128GB","512GB","256GB"}), "")</f>
        <v/>
      </c>
      <c r="AP181" s="58"/>
      <c r="AQ181" s="58" t="str">
        <f>IFERROR(LOOKUP(2, 1/SEARCH({"16-Inch","15-Inch","15.6-Inch","18-Inch","15.3-Inch","13-Inch","13.4-Inch","13.8-Inch","14-Inch","17-Inch","45-Inch","27-Inch","34-Inch","32-Inch","21.5-Inch"}, G181), {"16-Inch","15-Inch","15.6-Inch","18-Inch","15.3-Inch","13-Inch","13.4-Inch","13.8-Inch","14-Inch","17-Inch","45-Inch","27-Inch","34-Inch","32-Inch","21.5-Inch"}), "")</f>
        <v/>
      </c>
      <c r="AR181" s="58"/>
      <c r="AS181" s="91"/>
      <c r="AT181" s="93"/>
      <c r="AU181" s="93"/>
      <c r="AV181" s="93"/>
      <c r="AW181" s="93"/>
    </row>
    <row r="182" spans="1:49" ht="15" customHeight="1" x14ac:dyDescent="0.25">
      <c r="A182" s="59"/>
      <c r="B182" s="12"/>
      <c r="C182" s="12"/>
      <c r="D182" s="60"/>
      <c r="E182" s="6"/>
      <c r="F182" s="6"/>
      <c r="G182" s="12"/>
      <c r="H182" s="12" t="str" cm="2">
        <f t="array" ref="H182">IFERROR(INDEX(BrandList!$A$2:$A$50,MATCH(TRUE,ISNUMBER(SEARCH(BrandList!$A$2:$A$50,G182)),0)),"")</f>
        <v/>
      </c>
      <c r="I182" s="12" t="str" cm="2">
        <f t="array" ref="I182">IFERROR(INDEX(BrandList!$B$2:$B$200,MATCH(TRUE,ISNUMBER(SEARCH(BrandList!$B$2:$B$200,G182)),0)),"")</f>
        <v/>
      </c>
      <c r="J182" s="12"/>
      <c r="K182" s="12"/>
      <c r="L182" s="60"/>
      <c r="M182" s="60"/>
      <c r="N182" s="60"/>
      <c r="O182" s="60"/>
      <c r="P182" s="7" t="str">
        <f t="shared" si="5"/>
        <v/>
      </c>
      <c r="Q182" s="8">
        <f>IFERROR(VLOOKUP(VALUE(A182),WEEKLY_DATA!$A:$H,2,0),0)</f>
        <v>0</v>
      </c>
      <c r="R182" s="8">
        <f>IFERROR(VLOOKUP(VALUE(A182),WEEKLY_DATA!$A:$H,3,0),0)</f>
        <v>0</v>
      </c>
      <c r="S182" s="8">
        <f>IFERROR(VLOOKUP(VALUE(A182),WEEKLY_DATA!$A:$H,4,0),0)</f>
        <v>0</v>
      </c>
      <c r="T182" s="51">
        <f>IFERROR(VLOOKUP(VALUE(A182),WEEKLY_DATA!$A:$H,5,0),0)</f>
        <v>0</v>
      </c>
      <c r="U182" s="51">
        <f>IFERROR(VLOOKUP(VALUE(A182),WEEKLY_DATA!$A:$H,6,0),0)</f>
        <v>0</v>
      </c>
      <c r="V182" s="51">
        <f>IFERROR(VLOOKUP(VALUE(A182),WEEKLY_DATA!$A:$H,7,0),0)</f>
        <v>0</v>
      </c>
      <c r="W182" s="9" t="str">
        <f>IFERROR(IF(OR(Q182="",Q182=0),"",IF(VLOOKUP(VALUE($A182),WEEKLY_DATA!$A:$H,6,0)=0,"No Sales",Q182/(VLOOKUP(VALUE($A182),WEEKLY_DATA!$A:$H,6,0)/13))),"")</f>
        <v/>
      </c>
      <c r="X182" s="10">
        <f>IFERROR(VLOOKUP(VALUE(A182),WEEKLY_DATA!$A:$H,8,0),0)</f>
        <v>0</v>
      </c>
      <c r="Y182" s="13" t="str">
        <f t="shared" si="4"/>
        <v>—</v>
      </c>
      <c r="Z182" s="11"/>
      <c r="AA182" s="11"/>
      <c r="AB182" s="11"/>
      <c r="AC182" s="11"/>
      <c r="AD182" s="11"/>
      <c r="AE182" s="11"/>
      <c r="AF182" s="61"/>
      <c r="AG182" s="61"/>
      <c r="AH182" s="62"/>
      <c r="AI182" s="62"/>
      <c r="AJ182" s="61"/>
      <c r="AK182" s="61"/>
      <c r="AL182" s="61"/>
      <c r="AM182" s="58" t="str" cm="2">
        <f t="array" ref="AM182">IFERROR(LOOKUP(2, 1/SEARCH({"Black","White","Grey","Blue","Silver","Brown","Green","Blue","Purple","Red","Pink","Yellow","Gold"}, G182), {"Black","White","Grey","Blue","Silver","Brown","Green","Blue","Purple","Red","Pink","Yellow","Gold"}), "")</f>
        <v/>
      </c>
      <c r="AN182" s="58" t="str">
        <f>IFERROR(LOOKUP(2, 1/SEARCH({"8GB","16GB","32GB","64GB"}, G182), {"8GB","16GB","32GB","64GB"}), "")</f>
        <v/>
      </c>
      <c r="AO182" s="58" t="str">
        <f>IFERROR(LOOKUP(2, 1/SEARCH({"1TB","2TB","128GB","512GB","256GB"}, G182), {"1TB","2TB","128GB","512GB","256GB"}), "")</f>
        <v/>
      </c>
      <c r="AP182" s="58"/>
      <c r="AQ182" s="58" t="str">
        <f>IFERROR(LOOKUP(2, 1/SEARCH({"16-Inch","15-Inch","15.6-Inch","18-Inch","15.3-Inch","13-Inch","13.4-Inch","13.8-Inch","14-Inch","17-Inch","45-Inch","27-Inch","34-Inch","32-Inch","21.5-Inch"}, G182), {"16-Inch","15-Inch","15.6-Inch","18-Inch","15.3-Inch","13-Inch","13.4-Inch","13.8-Inch","14-Inch","17-Inch","45-Inch","27-Inch","34-Inch","32-Inch","21.5-Inch"}), "")</f>
        <v/>
      </c>
      <c r="AR182" s="58"/>
      <c r="AS182" s="91"/>
      <c r="AT182" s="93"/>
      <c r="AU182" s="93"/>
      <c r="AV182" s="93"/>
      <c r="AW182" s="93"/>
    </row>
    <row r="183" spans="1:49" ht="15" customHeight="1" x14ac:dyDescent="0.25">
      <c r="A183" s="59"/>
      <c r="B183" s="12"/>
      <c r="C183" s="12"/>
      <c r="D183" s="60"/>
      <c r="E183" s="6"/>
      <c r="F183" s="6"/>
      <c r="G183" s="12"/>
      <c r="H183" s="12" t="str" cm="2">
        <f t="array" ref="H183">IFERROR(INDEX(BrandList!$A$2:$A$50,MATCH(TRUE,ISNUMBER(SEARCH(BrandList!$A$2:$A$50,G183)),0)),"")</f>
        <v/>
      </c>
      <c r="I183" s="12" t="str" cm="2">
        <f t="array" ref="I183">IFERROR(INDEX(BrandList!$B$2:$B$200,MATCH(TRUE,ISNUMBER(SEARCH(BrandList!$B$2:$B$200,G183)),0)),"")</f>
        <v/>
      </c>
      <c r="J183" s="12"/>
      <c r="K183" s="12"/>
      <c r="L183" s="60"/>
      <c r="M183" s="60"/>
      <c r="N183" s="60"/>
      <c r="O183" s="60"/>
      <c r="P183" s="7" t="str">
        <f t="shared" si="5"/>
        <v/>
      </c>
      <c r="Q183" s="8">
        <f>IFERROR(VLOOKUP(VALUE(A183),WEEKLY_DATA!$A:$H,2,0),0)</f>
        <v>0</v>
      </c>
      <c r="R183" s="8">
        <f>IFERROR(VLOOKUP(VALUE(A183),WEEKLY_DATA!$A:$H,3,0),0)</f>
        <v>0</v>
      </c>
      <c r="S183" s="8">
        <f>IFERROR(VLOOKUP(VALUE(A183),WEEKLY_DATA!$A:$H,4,0),0)</f>
        <v>0</v>
      </c>
      <c r="T183" s="51">
        <f>IFERROR(VLOOKUP(VALUE(A183),WEEKLY_DATA!$A:$H,5,0),0)</f>
        <v>0</v>
      </c>
      <c r="U183" s="51">
        <f>IFERROR(VLOOKUP(VALUE(A183),WEEKLY_DATA!$A:$H,6,0),0)</f>
        <v>0</v>
      </c>
      <c r="V183" s="51">
        <f>IFERROR(VLOOKUP(VALUE(A183),WEEKLY_DATA!$A:$H,7,0),0)</f>
        <v>0</v>
      </c>
      <c r="W183" s="9" t="str">
        <f>IFERROR(IF(OR(Q183="",Q183=0),"",IF(VLOOKUP(VALUE($A183),WEEKLY_DATA!$A:$H,6,0)=0,"No Sales",Q183/(VLOOKUP(VALUE($A183),WEEKLY_DATA!$A:$H,6,0)/13))),"")</f>
        <v/>
      </c>
      <c r="X183" s="10">
        <f>IFERROR(VLOOKUP(VALUE(A183),WEEKLY_DATA!$A:$H,8,0),0)</f>
        <v>0</v>
      </c>
      <c r="Y183" s="13" t="str">
        <f t="shared" si="4"/>
        <v>—</v>
      </c>
      <c r="Z183" s="11"/>
      <c r="AA183" s="11"/>
      <c r="AB183" s="11"/>
      <c r="AC183" s="11"/>
      <c r="AD183" s="11"/>
      <c r="AE183" s="11"/>
      <c r="AF183" s="61"/>
      <c r="AG183" s="61"/>
      <c r="AH183" s="62"/>
      <c r="AI183" s="62"/>
      <c r="AJ183" s="61"/>
      <c r="AK183" s="61"/>
      <c r="AL183" s="61"/>
      <c r="AM183" s="58" t="str" cm="2">
        <f t="array" ref="AM183">IFERROR(LOOKUP(2, 1/SEARCH({"Black","White","Grey","Blue","Silver","Brown","Green","Blue","Purple","Red","Pink","Yellow","Gold"}, G183), {"Black","White","Grey","Blue","Silver","Brown","Green","Blue","Purple","Red","Pink","Yellow","Gold"}), "")</f>
        <v/>
      </c>
      <c r="AN183" s="58" t="str">
        <f>IFERROR(LOOKUP(2, 1/SEARCH({"8GB","16GB","32GB","64GB"}, G183), {"8GB","16GB","32GB","64GB"}), "")</f>
        <v/>
      </c>
      <c r="AO183" s="58" t="str">
        <f>IFERROR(LOOKUP(2, 1/SEARCH({"1TB","2TB","128GB","512GB","256GB"}, G183), {"1TB","2TB","128GB","512GB","256GB"}), "")</f>
        <v/>
      </c>
      <c r="AP183" s="58"/>
      <c r="AQ183" s="58" t="str">
        <f>IFERROR(LOOKUP(2, 1/SEARCH({"16-Inch","15-Inch","15.6-Inch","18-Inch","15.3-Inch","13-Inch","13.4-Inch","13.8-Inch","14-Inch","17-Inch","45-Inch","27-Inch","34-Inch","32-Inch","21.5-Inch"}, G183), {"16-Inch","15-Inch","15.6-Inch","18-Inch","15.3-Inch","13-Inch","13.4-Inch","13.8-Inch","14-Inch","17-Inch","45-Inch","27-Inch","34-Inch","32-Inch","21.5-Inch"}), "")</f>
        <v/>
      </c>
      <c r="AR183" s="58"/>
      <c r="AS183" s="91"/>
      <c r="AT183" s="93"/>
      <c r="AU183" s="93"/>
      <c r="AV183" s="93"/>
      <c r="AW183" s="93"/>
    </row>
    <row r="184" spans="1:49" ht="15" customHeight="1" x14ac:dyDescent="0.25">
      <c r="A184" s="59"/>
      <c r="B184" s="12"/>
      <c r="C184" s="12"/>
      <c r="D184" s="60"/>
      <c r="E184" s="6"/>
      <c r="F184" s="6"/>
      <c r="G184" s="12"/>
      <c r="H184" s="12" t="str" cm="2">
        <f t="array" ref="H184">IFERROR(INDEX(BrandList!$A$2:$A$50,MATCH(TRUE,ISNUMBER(SEARCH(BrandList!$A$2:$A$50,G184)),0)),"")</f>
        <v/>
      </c>
      <c r="I184" s="12" t="str" cm="2">
        <f t="array" ref="I184">IFERROR(INDEX(BrandList!$B$2:$B$200,MATCH(TRUE,ISNUMBER(SEARCH(BrandList!$B$2:$B$200,G184)),0)),"")</f>
        <v/>
      </c>
      <c r="J184" s="12"/>
      <c r="K184" s="12"/>
      <c r="L184" s="60"/>
      <c r="M184" s="60"/>
      <c r="N184" s="60"/>
      <c r="O184" s="60"/>
      <c r="P184" s="7" t="str">
        <f t="shared" si="5"/>
        <v/>
      </c>
      <c r="Q184" s="8">
        <f>IFERROR(VLOOKUP(VALUE(A184),WEEKLY_DATA!$A:$H,2,0),0)</f>
        <v>0</v>
      </c>
      <c r="R184" s="8">
        <f>IFERROR(VLOOKUP(VALUE(A184),WEEKLY_DATA!$A:$H,3,0),0)</f>
        <v>0</v>
      </c>
      <c r="S184" s="8">
        <f>IFERROR(VLOOKUP(VALUE(A184),WEEKLY_DATA!$A:$H,4,0),0)</f>
        <v>0</v>
      </c>
      <c r="T184" s="51">
        <f>IFERROR(VLOOKUP(VALUE(A184),WEEKLY_DATA!$A:$H,5,0),0)</f>
        <v>0</v>
      </c>
      <c r="U184" s="51">
        <f>IFERROR(VLOOKUP(VALUE(A184),WEEKLY_DATA!$A:$H,6,0),0)</f>
        <v>0</v>
      </c>
      <c r="V184" s="51">
        <f>IFERROR(VLOOKUP(VALUE(A184),WEEKLY_DATA!$A:$H,7,0),0)</f>
        <v>0</v>
      </c>
      <c r="W184" s="9" t="str">
        <f>IFERROR(IF(OR(Q184="",Q184=0),"",IF(VLOOKUP(VALUE($A184),WEEKLY_DATA!$A:$H,6,0)=0,"No Sales",Q184/(VLOOKUP(VALUE($A184),WEEKLY_DATA!$A:$H,6,0)/13))),"")</f>
        <v/>
      </c>
      <c r="X184" s="10">
        <f>IFERROR(VLOOKUP(VALUE(A184),WEEKLY_DATA!$A:$H,8,0),0)</f>
        <v>0</v>
      </c>
      <c r="Y184" s="13" t="str">
        <f t="shared" si="4"/>
        <v>—</v>
      </c>
      <c r="Z184" s="11"/>
      <c r="AA184" s="11"/>
      <c r="AB184" s="11"/>
      <c r="AC184" s="11"/>
      <c r="AD184" s="11"/>
      <c r="AE184" s="11"/>
      <c r="AF184" s="61" t="s">
        <v>144</v>
      </c>
      <c r="AG184" s="61"/>
      <c r="AH184" s="62"/>
      <c r="AI184" s="62"/>
      <c r="AJ184" s="61" t="s">
        <v>144</v>
      </c>
      <c r="AK184" s="61" t="s">
        <v>144</v>
      </c>
      <c r="AL184" s="61"/>
      <c r="AM184" s="58" t="str" cm="2">
        <f t="array" ref="AM184">IFERROR(LOOKUP(2, 1/SEARCH({"Black","White","Grey","Blue","Silver","Brown","Green","Blue","Purple","Red","Pink","Yellow","Gold"}, G184), {"Black","White","Grey","Blue","Silver","Brown","Green","Blue","Purple","Red","Pink","Yellow","Gold"}), "")</f>
        <v/>
      </c>
      <c r="AN184" s="58" t="str">
        <f>IFERROR(LOOKUP(2, 1/SEARCH({"8GB","16GB","32GB","64GB"}, G184), {"8GB","16GB","32GB","64GB"}), "")</f>
        <v/>
      </c>
      <c r="AO184" s="58" t="str">
        <f>IFERROR(LOOKUP(2, 1/SEARCH({"1TB","2TB","128GB","512GB","256GB"}, G184), {"1TB","2TB","128GB","512GB","256GB"}), "")</f>
        <v/>
      </c>
      <c r="AP184" s="58"/>
      <c r="AQ184" s="58" t="str">
        <f>IFERROR(LOOKUP(2, 1/SEARCH({"16-Inch","15-Inch","15.6-Inch","18-Inch","15.3-Inch","13-Inch","13.4-Inch","13.8-Inch","14-Inch","17-Inch","45-Inch","27-Inch","34-Inch","32-Inch","21.5-Inch"}, G184), {"16-Inch","15-Inch","15.6-Inch","18-Inch","15.3-Inch","13-Inch","13.4-Inch","13.8-Inch","14-Inch","17-Inch","45-Inch","27-Inch","34-Inch","32-Inch","21.5-Inch"}), "")</f>
        <v/>
      </c>
      <c r="AR184" s="58"/>
      <c r="AS184" s="91"/>
      <c r="AT184" s="93"/>
      <c r="AU184" s="93"/>
      <c r="AV184" s="93"/>
      <c r="AW184" s="93"/>
    </row>
    <row r="185" spans="1:49" ht="15" customHeight="1" x14ac:dyDescent="0.25">
      <c r="A185" s="59"/>
      <c r="B185" s="12"/>
      <c r="C185" s="12"/>
      <c r="D185" s="60"/>
      <c r="E185" s="6"/>
      <c r="F185" s="6"/>
      <c r="G185" s="12"/>
      <c r="H185" s="12" t="str" cm="2">
        <f t="array" ref="H185">IFERROR(INDEX(BrandList!$A$2:$A$50,MATCH(TRUE,ISNUMBER(SEARCH(BrandList!$A$2:$A$50,G185)),0)),"")</f>
        <v/>
      </c>
      <c r="I185" s="12" t="str" cm="2">
        <f t="array" ref="I185">IFERROR(INDEX(BrandList!$B$2:$B$200,MATCH(TRUE,ISNUMBER(SEARCH(BrandList!$B$2:$B$200,G185)),0)),"")</f>
        <v/>
      </c>
      <c r="J185" s="12"/>
      <c r="K185" s="59"/>
      <c r="L185" s="86"/>
      <c r="M185" s="86"/>
      <c r="N185" s="86"/>
      <c r="O185" s="86"/>
      <c r="P185" s="7" t="str">
        <f t="shared" si="5"/>
        <v/>
      </c>
      <c r="Q185" s="8">
        <f>IFERROR(VLOOKUP(VALUE(A185),WEEKLY_DATA!$A:$H,2,0),0)</f>
        <v>0</v>
      </c>
      <c r="R185" s="8">
        <f>IFERROR(VLOOKUP(VALUE(A185),WEEKLY_DATA!$A:$H,3,0),0)</f>
        <v>0</v>
      </c>
      <c r="S185" s="8">
        <f>IFERROR(VLOOKUP(VALUE(A185),WEEKLY_DATA!$A:$H,4,0),0)</f>
        <v>0</v>
      </c>
      <c r="T185" s="51">
        <f>IFERROR(VLOOKUP(VALUE(A185),WEEKLY_DATA!$A:$H,5,0),0)</f>
        <v>0</v>
      </c>
      <c r="U185" s="51">
        <f>IFERROR(VLOOKUP(VALUE(A185),WEEKLY_DATA!$A:$H,6,0),0)</f>
        <v>0</v>
      </c>
      <c r="V185" s="51">
        <f>IFERROR(VLOOKUP(VALUE(A185),WEEKLY_DATA!$A:$H,7,0),0)</f>
        <v>0</v>
      </c>
      <c r="W185" s="9" t="str">
        <f>IFERROR(IF(OR(Q185="",Q185=0),"",IF(VLOOKUP(VALUE($A185),WEEKLY_DATA!$A:$H,6,0)=0,"No Sales",Q185/(VLOOKUP(VALUE($A185),WEEKLY_DATA!$A:$H,6,0)/13))),"")</f>
        <v/>
      </c>
      <c r="X185" s="10">
        <f>IFERROR(VLOOKUP(VALUE(A185),WEEKLY_DATA!$A:$H,8,0),0)</f>
        <v>0</v>
      </c>
      <c r="Y185" s="13" t="str">
        <f t="shared" si="4"/>
        <v>—</v>
      </c>
      <c r="Z185" s="11"/>
      <c r="AA185" s="11"/>
      <c r="AB185" s="11"/>
      <c r="AC185" s="11"/>
      <c r="AD185" s="11"/>
      <c r="AE185" s="11"/>
      <c r="AF185" s="61" t="s">
        <v>144</v>
      </c>
      <c r="AG185" s="61"/>
      <c r="AH185" s="62"/>
      <c r="AI185" s="62"/>
      <c r="AJ185" s="61" t="s">
        <v>144</v>
      </c>
      <c r="AK185" s="61" t="s">
        <v>144</v>
      </c>
      <c r="AL185" s="61"/>
      <c r="AM185" s="58" t="str" cm="2">
        <f t="array" ref="AM185">IFERROR(LOOKUP(2, 1/SEARCH({"Black","White","Grey","Blue","Silver","Brown","Green","Blue","Purple","Red","Pink","Yellow","Gold"}, G185), {"Black","White","Grey","Blue","Silver","Brown","Green","Blue","Purple","Red","Pink","Yellow","Gold"}), "")</f>
        <v/>
      </c>
      <c r="AN185" s="58" t="str">
        <f>IFERROR(LOOKUP(2, 1/SEARCH({"8GB","16GB","32GB","64GB"}, G185), {"8GB","16GB","32GB","64GB"}), "")</f>
        <v/>
      </c>
      <c r="AO185" s="58" t="str">
        <f>IFERROR(LOOKUP(2, 1/SEARCH({"1TB","2TB","128GB","512GB","256GB"}, G185), {"1TB","2TB","128GB","512GB","256GB"}), "")</f>
        <v/>
      </c>
      <c r="AP185" s="58"/>
      <c r="AQ185" s="58" t="str">
        <f>IFERROR(LOOKUP(2, 1/SEARCH({"16-Inch","15-Inch","15.6-Inch","18-Inch","15.3-Inch","13-Inch","13.4-Inch","13.8-Inch","14-Inch","17-Inch","45-Inch","27-Inch","34-Inch","32-Inch","21.5-Inch"}, G185), {"16-Inch","15-Inch","15.6-Inch","18-Inch","15.3-Inch","13-Inch","13.4-Inch","13.8-Inch","14-Inch","17-Inch","45-Inch","27-Inch","34-Inch","32-Inch","21.5-Inch"}), "")</f>
        <v/>
      </c>
      <c r="AR185" s="58"/>
      <c r="AS185" s="91"/>
      <c r="AT185" s="93"/>
      <c r="AU185" s="93"/>
      <c r="AV185" s="93"/>
      <c r="AW185" s="93"/>
    </row>
    <row r="186" spans="1:49" ht="15" customHeight="1" x14ac:dyDescent="0.25">
      <c r="A186" s="59"/>
      <c r="B186" s="12"/>
      <c r="C186" s="12"/>
      <c r="D186" s="60"/>
      <c r="E186" s="6"/>
      <c r="F186" s="6"/>
      <c r="G186" s="12"/>
      <c r="H186" s="12" t="str" cm="2">
        <f t="array" ref="H186">IFERROR(INDEX(BrandList!$A$2:$A$50,MATCH(TRUE,ISNUMBER(SEARCH(BrandList!$A$2:$A$50,G186)),0)),"")</f>
        <v/>
      </c>
      <c r="I186" s="12" t="str" cm="2">
        <f t="array" ref="I186">IFERROR(INDEX(BrandList!$B$2:$B$200,MATCH(TRUE,ISNUMBER(SEARCH(BrandList!$B$2:$B$200,G186)),0)),"")</f>
        <v/>
      </c>
      <c r="J186" s="12"/>
      <c r="K186" s="12"/>
      <c r="L186" s="60"/>
      <c r="M186" s="60"/>
      <c r="N186" s="60"/>
      <c r="O186" s="60"/>
      <c r="P186" s="7" t="str">
        <f t="shared" si="5"/>
        <v/>
      </c>
      <c r="Q186" s="8">
        <f>IFERROR(VLOOKUP(VALUE(A186),WEEKLY_DATA!$A:$H,2,0),0)</f>
        <v>0</v>
      </c>
      <c r="R186" s="8">
        <f>IFERROR(VLOOKUP(VALUE(A186),WEEKLY_DATA!$A:$H,3,0),0)</f>
        <v>0</v>
      </c>
      <c r="S186" s="8">
        <f>IFERROR(VLOOKUP(VALUE(A186),WEEKLY_DATA!$A:$H,4,0),0)</f>
        <v>0</v>
      </c>
      <c r="T186" s="51">
        <f>IFERROR(VLOOKUP(VALUE(A186),WEEKLY_DATA!$A:$H,5,0),0)</f>
        <v>0</v>
      </c>
      <c r="U186" s="51">
        <f>IFERROR(VLOOKUP(VALUE(A186),WEEKLY_DATA!$A:$H,6,0),0)</f>
        <v>0</v>
      </c>
      <c r="V186" s="51">
        <f>IFERROR(VLOOKUP(VALUE(A186),WEEKLY_DATA!$A:$H,7,0),0)</f>
        <v>0</v>
      </c>
      <c r="W186" s="9" t="str">
        <f>IFERROR(IF(OR(Q186="",Q186=0),"",IF(VLOOKUP(VALUE($A186),WEEKLY_DATA!$A:$H,6,0)=0,"No Sales",Q186/(VLOOKUP(VALUE($A186),WEEKLY_DATA!$A:$H,6,0)/13))),"")</f>
        <v/>
      </c>
      <c r="X186" s="10">
        <f>IFERROR(VLOOKUP(VALUE(A186),WEEKLY_DATA!$A:$H,8,0),0)</f>
        <v>0</v>
      </c>
      <c r="Y186" s="13" t="str">
        <f t="shared" si="4"/>
        <v>—</v>
      </c>
      <c r="Z186" s="11"/>
      <c r="AA186" s="11"/>
      <c r="AB186" s="11"/>
      <c r="AC186" s="11"/>
      <c r="AD186" s="11"/>
      <c r="AE186" s="11"/>
      <c r="AF186" s="61" t="s">
        <v>144</v>
      </c>
      <c r="AG186" s="61"/>
      <c r="AH186" s="62"/>
      <c r="AI186" s="62"/>
      <c r="AJ186" s="61" t="s">
        <v>144</v>
      </c>
      <c r="AK186" s="61" t="s">
        <v>144</v>
      </c>
      <c r="AL186" s="61"/>
      <c r="AM186" s="58" t="str" cm="2">
        <f t="array" ref="AM186">IFERROR(LOOKUP(2, 1/SEARCH({"Black","White","Grey","Blue","Silver","Brown","Green","Blue","Purple","Red","Pink","Yellow","Gold"}, G186), {"Black","White","Grey","Blue","Silver","Brown","Green","Blue","Purple","Red","Pink","Yellow","Gold"}), "")</f>
        <v/>
      </c>
      <c r="AN186" s="58" t="str">
        <f>IFERROR(LOOKUP(2, 1/SEARCH({"8GB","16GB","32GB","64GB"}, G186), {"8GB","16GB","32GB","64GB"}), "")</f>
        <v/>
      </c>
      <c r="AO186" s="58" t="str">
        <f>IFERROR(LOOKUP(2, 1/SEARCH({"1TB","2TB","128GB","512GB","256GB"}, G186), {"1TB","2TB","128GB","512GB","256GB"}), "")</f>
        <v/>
      </c>
      <c r="AP186" s="58"/>
      <c r="AQ186" s="58" t="str">
        <f>IFERROR(LOOKUP(2, 1/SEARCH({"16-Inch","15-Inch","15.6-Inch","18-Inch","15.3-Inch","13-Inch","13.4-Inch","13.8-Inch","14-Inch","17-Inch","45-Inch","27-Inch","34-Inch","32-Inch","21.5-Inch"}, G186), {"16-Inch","15-Inch","15.6-Inch","18-Inch","15.3-Inch","13-Inch","13.4-Inch","13.8-Inch","14-Inch","17-Inch","45-Inch","27-Inch","34-Inch","32-Inch","21.5-Inch"}), "")</f>
        <v/>
      </c>
      <c r="AR186" s="58"/>
      <c r="AS186" s="91"/>
      <c r="AT186" s="93"/>
      <c r="AU186" s="93"/>
      <c r="AV186" s="93"/>
      <c r="AW186" s="93"/>
    </row>
    <row r="187" spans="1:49" ht="15" customHeight="1" x14ac:dyDescent="0.25">
      <c r="A187" s="59"/>
      <c r="B187" s="12"/>
      <c r="C187" s="12"/>
      <c r="D187" s="60"/>
      <c r="E187" s="6"/>
      <c r="F187" s="6"/>
      <c r="G187" s="12"/>
      <c r="H187" s="12" t="str" cm="2">
        <f t="array" ref="H187">IFERROR(INDEX(BrandList!$A$2:$A$50,MATCH(TRUE,ISNUMBER(SEARCH(BrandList!$A$2:$A$50,G187)),0)),"")</f>
        <v/>
      </c>
      <c r="I187" s="12" t="str" cm="2">
        <f t="array" ref="I187">IFERROR(INDEX(BrandList!$B$2:$B$200,MATCH(TRUE,ISNUMBER(SEARCH(BrandList!$B$2:$B$200,G187)),0)),"")</f>
        <v/>
      </c>
      <c r="J187" s="12"/>
      <c r="K187" s="12"/>
      <c r="L187" s="60"/>
      <c r="M187" s="60"/>
      <c r="N187" s="60"/>
      <c r="O187" s="60"/>
      <c r="P187" s="7" t="str">
        <f t="shared" si="5"/>
        <v/>
      </c>
      <c r="Q187" s="8">
        <f>IFERROR(VLOOKUP(VALUE(A187),WEEKLY_DATA!$A:$H,2,0),0)</f>
        <v>0</v>
      </c>
      <c r="R187" s="8">
        <f>IFERROR(VLOOKUP(VALUE(A187),WEEKLY_DATA!$A:$H,3,0),0)</f>
        <v>0</v>
      </c>
      <c r="S187" s="8">
        <f>IFERROR(VLOOKUP(VALUE(A187),WEEKLY_DATA!$A:$H,4,0),0)</f>
        <v>0</v>
      </c>
      <c r="T187" s="51">
        <f>IFERROR(VLOOKUP(VALUE(A187),WEEKLY_DATA!$A:$H,5,0),0)</f>
        <v>0</v>
      </c>
      <c r="U187" s="51">
        <f>IFERROR(VLOOKUP(VALUE(A187),WEEKLY_DATA!$A:$H,6,0),0)</f>
        <v>0</v>
      </c>
      <c r="V187" s="51">
        <f>IFERROR(VLOOKUP(VALUE(A187),WEEKLY_DATA!$A:$H,7,0),0)</f>
        <v>0</v>
      </c>
      <c r="W187" s="9" t="str">
        <f>IFERROR(IF(OR(Q187="",Q187=0),"",IF(VLOOKUP(VALUE($A187),WEEKLY_DATA!$A:$H,6,0)=0,"No Sales",Q187/(VLOOKUP(VALUE($A187),WEEKLY_DATA!$A:$H,6,0)/13))),"")</f>
        <v/>
      </c>
      <c r="X187" s="10">
        <f>IFERROR(VLOOKUP(VALUE(A187),WEEKLY_DATA!$A:$H,8,0),0)</f>
        <v>0</v>
      </c>
      <c r="Y187" s="13" t="str">
        <f t="shared" si="4"/>
        <v>—</v>
      </c>
      <c r="Z187" s="11"/>
      <c r="AA187" s="11"/>
      <c r="AB187" s="11"/>
      <c r="AC187" s="11"/>
      <c r="AD187" s="11"/>
      <c r="AE187" s="11"/>
      <c r="AF187" s="61" t="s">
        <v>144</v>
      </c>
      <c r="AG187" s="61"/>
      <c r="AH187" s="62"/>
      <c r="AI187" s="62"/>
      <c r="AJ187" s="61" t="s">
        <v>144</v>
      </c>
      <c r="AK187" s="61" t="s">
        <v>144</v>
      </c>
      <c r="AL187" s="61"/>
      <c r="AM187" s="58" t="str" cm="2">
        <f t="array" ref="AM187">IFERROR(LOOKUP(2, 1/SEARCH({"Black","White","Grey","Blue","Silver","Brown","Green","Blue","Purple","Red","Pink","Yellow","Gold"}, G187), {"Black","White","Grey","Blue","Silver","Brown","Green","Blue","Purple","Red","Pink","Yellow","Gold"}), "")</f>
        <v/>
      </c>
      <c r="AN187" s="58" t="str">
        <f>IFERROR(LOOKUP(2, 1/SEARCH({"8GB","16GB","32GB","64GB"}, G187), {"8GB","16GB","32GB","64GB"}), "")</f>
        <v/>
      </c>
      <c r="AO187" s="58" t="str">
        <f>IFERROR(LOOKUP(2, 1/SEARCH({"1TB","2TB","128GB","512GB","256GB"}, G187), {"1TB","2TB","128GB","512GB","256GB"}), "")</f>
        <v/>
      </c>
      <c r="AP187" s="58"/>
      <c r="AQ187" s="58" t="str">
        <f>IFERROR(LOOKUP(2, 1/SEARCH({"16-Inch","15-Inch","15.6-Inch","18-Inch","15.3-Inch","13-Inch","13.4-Inch","13.8-Inch","14-Inch","17-Inch","45-Inch","27-Inch","34-Inch","32-Inch","21.5-Inch"}, G187), {"16-Inch","15-Inch","15.6-Inch","18-Inch","15.3-Inch","13-Inch","13.4-Inch","13.8-Inch","14-Inch","17-Inch","45-Inch","27-Inch","34-Inch","32-Inch","21.5-Inch"}), "")</f>
        <v/>
      </c>
      <c r="AR187" s="58"/>
      <c r="AS187" s="91"/>
      <c r="AT187" s="93"/>
      <c r="AU187" s="93"/>
      <c r="AV187" s="93"/>
      <c r="AW187" s="93"/>
    </row>
    <row r="188" spans="1:49" ht="15" customHeight="1" x14ac:dyDescent="0.25">
      <c r="A188" s="59"/>
      <c r="B188" s="12"/>
      <c r="C188" s="12"/>
      <c r="D188" s="60"/>
      <c r="E188" s="6"/>
      <c r="F188" s="6"/>
      <c r="G188" s="12"/>
      <c r="H188" s="12" t="str" cm="2">
        <f t="array" ref="H188">IFERROR(INDEX(BrandList!$A$2:$A$50,MATCH(TRUE,ISNUMBER(SEARCH(BrandList!$A$2:$A$50,G188)),0)),"")</f>
        <v/>
      </c>
      <c r="I188" s="12" t="str" cm="2">
        <f t="array" ref="I188">IFERROR(INDEX(BrandList!$B$2:$B$200,MATCH(TRUE,ISNUMBER(SEARCH(BrandList!$B$2:$B$200,G188)),0)),"")</f>
        <v/>
      </c>
      <c r="J188" s="12"/>
      <c r="K188" s="12"/>
      <c r="L188" s="60"/>
      <c r="M188" s="60"/>
      <c r="N188" s="60"/>
      <c r="O188" s="60"/>
      <c r="P188" s="7" t="str">
        <f t="shared" si="5"/>
        <v/>
      </c>
      <c r="Q188" s="8">
        <f>IFERROR(VLOOKUP(VALUE(A188),WEEKLY_DATA!$A:$H,2,0),0)</f>
        <v>0</v>
      </c>
      <c r="R188" s="8">
        <f>IFERROR(VLOOKUP(VALUE(A188),WEEKLY_DATA!$A:$H,3,0),0)</f>
        <v>0</v>
      </c>
      <c r="S188" s="8">
        <f>IFERROR(VLOOKUP(VALUE(A188),WEEKLY_DATA!$A:$H,4,0),0)</f>
        <v>0</v>
      </c>
      <c r="T188" s="51">
        <f>IFERROR(VLOOKUP(VALUE(A188),WEEKLY_DATA!$A:$H,5,0),0)</f>
        <v>0</v>
      </c>
      <c r="U188" s="51">
        <f>IFERROR(VLOOKUP(VALUE(A188),WEEKLY_DATA!$A:$H,6,0),0)</f>
        <v>0</v>
      </c>
      <c r="V188" s="51">
        <f>IFERROR(VLOOKUP(VALUE(A188),WEEKLY_DATA!$A:$H,7,0),0)</f>
        <v>0</v>
      </c>
      <c r="W188" s="9" t="str">
        <f>IFERROR(IF(OR(Q188="",Q188=0),"",IF(VLOOKUP(VALUE($A188),WEEKLY_DATA!$A:$H,6,0)=0,"No Sales",Q188/(VLOOKUP(VALUE($A188),WEEKLY_DATA!$A:$H,6,0)/13))),"")</f>
        <v/>
      </c>
      <c r="X188" s="10">
        <f>IFERROR(VLOOKUP(VALUE(A188),WEEKLY_DATA!$A:$H,8,0),0)</f>
        <v>0</v>
      </c>
      <c r="Y188" s="13" t="str">
        <f t="shared" si="4"/>
        <v>—</v>
      </c>
      <c r="Z188" s="11"/>
      <c r="AA188" s="11"/>
      <c r="AB188" s="11"/>
      <c r="AC188" s="11"/>
      <c r="AD188" s="11"/>
      <c r="AE188" s="11"/>
      <c r="AF188" s="61" t="s">
        <v>144</v>
      </c>
      <c r="AG188" s="61"/>
      <c r="AH188" s="62"/>
      <c r="AI188" s="62"/>
      <c r="AJ188" s="61" t="s">
        <v>144</v>
      </c>
      <c r="AK188" s="61" t="s">
        <v>144</v>
      </c>
      <c r="AL188" s="61"/>
      <c r="AM188" s="58" t="str" cm="2">
        <f t="array" ref="AM188">IFERROR(LOOKUP(2, 1/SEARCH({"Black","White","Grey","Blue","Silver","Brown","Green","Blue","Purple","Red","Pink","Yellow","Gold"}, G188), {"Black","White","Grey","Blue","Silver","Brown","Green","Blue","Purple","Red","Pink","Yellow","Gold"}), "")</f>
        <v/>
      </c>
      <c r="AN188" s="58" t="str">
        <f>IFERROR(LOOKUP(2, 1/SEARCH({"8GB","16GB","32GB","64GB"}, G188), {"8GB","16GB","32GB","64GB"}), "")</f>
        <v/>
      </c>
      <c r="AO188" s="58" t="str">
        <f>IFERROR(LOOKUP(2, 1/SEARCH({"1TB","2TB","128GB","512GB","256GB"}, G188), {"1TB","2TB","128GB","512GB","256GB"}), "")</f>
        <v/>
      </c>
      <c r="AP188" s="58"/>
      <c r="AQ188" s="58" t="str">
        <f>IFERROR(LOOKUP(2, 1/SEARCH({"16-Inch","15-Inch","15.6-Inch","18-Inch","15.3-Inch","13-Inch","13.4-Inch","13.8-Inch","14-Inch","17-Inch","45-Inch","27-Inch","34-Inch","32-Inch","21.5-Inch"}, G188), {"16-Inch","15-Inch","15.6-Inch","18-Inch","15.3-Inch","13-Inch","13.4-Inch","13.8-Inch","14-Inch","17-Inch","45-Inch","27-Inch","34-Inch","32-Inch","21.5-Inch"}), "")</f>
        <v/>
      </c>
      <c r="AR188" s="58"/>
      <c r="AS188" s="91"/>
      <c r="AT188" s="93"/>
      <c r="AU188" s="93"/>
      <c r="AV188" s="93"/>
      <c r="AW188" s="93"/>
    </row>
    <row r="189" spans="1:49" ht="15" customHeight="1" x14ac:dyDescent="0.25">
      <c r="A189" s="59"/>
      <c r="B189" s="12"/>
      <c r="C189" s="12"/>
      <c r="D189" s="60"/>
      <c r="E189" s="6"/>
      <c r="F189" s="6"/>
      <c r="G189" s="12"/>
      <c r="H189" s="12" t="str" cm="2">
        <f t="array" ref="H189">IFERROR(INDEX(BrandList!$A$2:$A$50,MATCH(TRUE,ISNUMBER(SEARCH(BrandList!$A$2:$A$50,G189)),0)),"")</f>
        <v/>
      </c>
      <c r="I189" s="12" t="str" cm="2">
        <f t="array" ref="I189">IFERROR(INDEX(BrandList!$B$2:$B$200,MATCH(TRUE,ISNUMBER(SEARCH(BrandList!$B$2:$B$200,G189)),0)),"")</f>
        <v/>
      </c>
      <c r="J189" s="12"/>
      <c r="K189" s="12"/>
      <c r="L189" s="60"/>
      <c r="M189" s="60"/>
      <c r="N189" s="60"/>
      <c r="O189" s="60"/>
      <c r="P189" s="7" t="str">
        <f t="shared" si="5"/>
        <v/>
      </c>
      <c r="Q189" s="8">
        <f>IFERROR(VLOOKUP(VALUE(A189),WEEKLY_DATA!$A:$H,2,0),0)</f>
        <v>0</v>
      </c>
      <c r="R189" s="8">
        <f>IFERROR(VLOOKUP(VALUE(A189),WEEKLY_DATA!$A:$H,3,0),0)</f>
        <v>0</v>
      </c>
      <c r="S189" s="8">
        <f>IFERROR(VLOOKUP(VALUE(A189),WEEKLY_DATA!$A:$H,4,0),0)</f>
        <v>0</v>
      </c>
      <c r="T189" s="51">
        <f>IFERROR(VLOOKUP(VALUE(A189),WEEKLY_DATA!$A:$H,5,0),0)</f>
        <v>0</v>
      </c>
      <c r="U189" s="51">
        <f>IFERROR(VLOOKUP(VALUE(A189),WEEKLY_DATA!$A:$H,6,0),0)</f>
        <v>0</v>
      </c>
      <c r="V189" s="51">
        <f>IFERROR(VLOOKUP(VALUE(A189),WEEKLY_DATA!$A:$H,7,0),0)</f>
        <v>0</v>
      </c>
      <c r="W189" s="9" t="str">
        <f>IFERROR(IF(OR(Q189="",Q189=0),"",IF(VLOOKUP(VALUE($A189),WEEKLY_DATA!$A:$H,6,0)=0,"No Sales",Q189/(VLOOKUP(VALUE($A189),WEEKLY_DATA!$A:$H,6,0)/13))),"")</f>
        <v/>
      </c>
      <c r="X189" s="10">
        <f>IFERROR(VLOOKUP(VALUE(A189),WEEKLY_DATA!$A:$H,8,0),0)</f>
        <v>0</v>
      </c>
      <c r="Y189" s="13" t="str">
        <f t="shared" si="4"/>
        <v>—</v>
      </c>
      <c r="Z189" s="11"/>
      <c r="AA189" s="11"/>
      <c r="AB189" s="11"/>
      <c r="AC189" s="11"/>
      <c r="AD189" s="11"/>
      <c r="AE189" s="11"/>
      <c r="AF189" s="61" t="s">
        <v>144</v>
      </c>
      <c r="AG189" s="61"/>
      <c r="AH189" s="62"/>
      <c r="AI189" s="62"/>
      <c r="AJ189" s="61" t="s">
        <v>144</v>
      </c>
      <c r="AK189" s="61" t="s">
        <v>144</v>
      </c>
      <c r="AL189" s="61"/>
      <c r="AM189" s="58" t="str" cm="2">
        <f t="array" ref="AM189">IFERROR(LOOKUP(2, 1/SEARCH({"Black","White","Grey","Blue","Silver","Brown","Green","Blue","Purple","Red","Pink","Yellow","Gold"}, G189), {"Black","White","Grey","Blue","Silver","Brown","Green","Blue","Purple","Red","Pink","Yellow","Gold"}), "")</f>
        <v/>
      </c>
      <c r="AN189" s="58" t="str">
        <f>IFERROR(LOOKUP(2, 1/SEARCH({"8GB","16GB","32GB","64GB"}, G189), {"8GB","16GB","32GB","64GB"}), "")</f>
        <v/>
      </c>
      <c r="AO189" s="58" t="str">
        <f>IFERROR(LOOKUP(2, 1/SEARCH({"1TB","2TB","128GB","512GB","256GB"}, G189), {"1TB","2TB","128GB","512GB","256GB"}), "")</f>
        <v/>
      </c>
      <c r="AP189" s="58"/>
      <c r="AQ189" s="58" t="str">
        <f>IFERROR(LOOKUP(2, 1/SEARCH({"16-Inch","15-Inch","15.6-Inch","18-Inch","15.3-Inch","13-Inch","13.4-Inch","13.8-Inch","14-Inch","17-Inch","45-Inch","27-Inch","34-Inch","32-Inch","21.5-Inch"}, G189), {"16-Inch","15-Inch","15.6-Inch","18-Inch","15.3-Inch","13-Inch","13.4-Inch","13.8-Inch","14-Inch","17-Inch","45-Inch","27-Inch","34-Inch","32-Inch","21.5-Inch"}), "")</f>
        <v/>
      </c>
      <c r="AR189" s="58"/>
      <c r="AS189" s="91"/>
      <c r="AT189" s="93"/>
      <c r="AU189" s="93"/>
      <c r="AV189" s="93"/>
      <c r="AW189" s="93"/>
    </row>
    <row r="190" spans="1:49" ht="15" customHeight="1" x14ac:dyDescent="0.25">
      <c r="A190" s="59"/>
      <c r="B190" s="12"/>
      <c r="C190" s="12"/>
      <c r="D190" s="60"/>
      <c r="E190" s="6"/>
      <c r="F190" s="6"/>
      <c r="G190" s="12"/>
      <c r="H190" s="12" t="str" cm="2">
        <f t="array" ref="H190">IFERROR(INDEX(BrandList!$A$2:$A$50,MATCH(TRUE,ISNUMBER(SEARCH(BrandList!$A$2:$A$50,G190)),0)),"")</f>
        <v/>
      </c>
      <c r="I190" s="12" t="str" cm="2">
        <f t="array" ref="I190">IFERROR(INDEX(BrandList!$B$2:$B$200,MATCH(TRUE,ISNUMBER(SEARCH(BrandList!$B$2:$B$200,G190)),0)),"")</f>
        <v/>
      </c>
      <c r="J190" s="12"/>
      <c r="K190" s="12"/>
      <c r="L190" s="60"/>
      <c r="M190" s="60"/>
      <c r="N190" s="60"/>
      <c r="O190" s="60"/>
      <c r="P190" s="7" t="str">
        <f t="shared" si="5"/>
        <v/>
      </c>
      <c r="Q190" s="8">
        <f>IFERROR(VLOOKUP(VALUE(A190),WEEKLY_DATA!$A:$H,2,0),0)</f>
        <v>0</v>
      </c>
      <c r="R190" s="8">
        <f>IFERROR(VLOOKUP(VALUE(A190),WEEKLY_DATA!$A:$H,3,0),0)</f>
        <v>0</v>
      </c>
      <c r="S190" s="8">
        <f>IFERROR(VLOOKUP(VALUE(A190),WEEKLY_DATA!$A:$H,4,0),0)</f>
        <v>0</v>
      </c>
      <c r="T190" s="51">
        <f>IFERROR(VLOOKUP(VALUE(A190),WEEKLY_DATA!$A:$H,5,0),0)</f>
        <v>0</v>
      </c>
      <c r="U190" s="51">
        <f>IFERROR(VLOOKUP(VALUE(A190),WEEKLY_DATA!$A:$H,6,0),0)</f>
        <v>0</v>
      </c>
      <c r="V190" s="51">
        <f>IFERROR(VLOOKUP(VALUE(A190),WEEKLY_DATA!$A:$H,7,0),0)</f>
        <v>0</v>
      </c>
      <c r="W190" s="9" t="str">
        <f>IFERROR(IF(OR(Q190="",Q190=0),"",IF(VLOOKUP(VALUE($A190),WEEKLY_DATA!$A:$H,6,0)=0,"No Sales",Q190/(VLOOKUP(VALUE($A190),WEEKLY_DATA!$A:$H,6,0)/13))),"")</f>
        <v/>
      </c>
      <c r="X190" s="10">
        <f>IFERROR(VLOOKUP(VALUE(A190),WEEKLY_DATA!$A:$H,8,0),0)</f>
        <v>0</v>
      </c>
      <c r="Y190" s="13" t="str">
        <f t="shared" si="4"/>
        <v>—</v>
      </c>
      <c r="Z190" s="11"/>
      <c r="AA190" s="11"/>
      <c r="AB190" s="11"/>
      <c r="AC190" s="11"/>
      <c r="AD190" s="11"/>
      <c r="AE190" s="11"/>
      <c r="AF190" s="61" t="s">
        <v>144</v>
      </c>
      <c r="AG190" s="61"/>
      <c r="AH190" s="62"/>
      <c r="AI190" s="62"/>
      <c r="AJ190" s="61" t="s">
        <v>144</v>
      </c>
      <c r="AK190" s="61" t="s">
        <v>144</v>
      </c>
      <c r="AL190" s="61"/>
      <c r="AM190" s="58" t="str" cm="2">
        <f t="array" ref="AM190">IFERROR(LOOKUP(2, 1/SEARCH({"Black","White","Grey","Blue","Silver","Brown","Green","Blue","Purple","Red","Pink","Yellow","Gold"}, G190), {"Black","White","Grey","Blue","Silver","Brown","Green","Blue","Purple","Red","Pink","Yellow","Gold"}), "")</f>
        <v/>
      </c>
      <c r="AN190" s="58" t="str">
        <f>IFERROR(LOOKUP(2, 1/SEARCH({"8GB","16GB","32GB","64GB"}, G190), {"8GB","16GB","32GB","64GB"}), "")</f>
        <v/>
      </c>
      <c r="AO190" s="58" t="str">
        <f>IFERROR(LOOKUP(2, 1/SEARCH({"1TB","2TB","128GB","512GB","256GB"}, G190), {"1TB","2TB","128GB","512GB","256GB"}), "")</f>
        <v/>
      </c>
      <c r="AP190" s="58"/>
      <c r="AQ190" s="58" t="str">
        <f>IFERROR(LOOKUP(2, 1/SEARCH({"16-Inch","15-Inch","15.6-Inch","18-Inch","15.3-Inch","13-Inch","13.4-Inch","13.8-Inch","14-Inch","17-Inch","45-Inch","27-Inch","34-Inch","32-Inch","21.5-Inch"}, G190), {"16-Inch","15-Inch","15.6-Inch","18-Inch","15.3-Inch","13-Inch","13.4-Inch","13.8-Inch","14-Inch","17-Inch","45-Inch","27-Inch","34-Inch","32-Inch","21.5-Inch"}), "")</f>
        <v/>
      </c>
      <c r="AR190" s="58"/>
      <c r="AS190" s="91"/>
      <c r="AT190" s="93"/>
      <c r="AU190" s="93"/>
      <c r="AV190" s="93"/>
      <c r="AW190" s="93"/>
    </row>
    <row r="191" spans="1:49" ht="15" customHeight="1" x14ac:dyDescent="0.25">
      <c r="A191" s="59"/>
      <c r="B191" s="12"/>
      <c r="C191" s="12"/>
      <c r="D191" s="60"/>
      <c r="E191" s="6"/>
      <c r="F191" s="6"/>
      <c r="G191" s="12"/>
      <c r="H191" s="12" t="str" cm="2">
        <f t="array" ref="H191">IFERROR(INDEX(BrandList!$A$2:$A$50,MATCH(TRUE,ISNUMBER(SEARCH(BrandList!$A$2:$A$50,G191)),0)),"")</f>
        <v/>
      </c>
      <c r="I191" s="12" t="str" cm="2">
        <f t="array" ref="I191">IFERROR(INDEX(BrandList!$B$2:$B$200,MATCH(TRUE,ISNUMBER(SEARCH(BrandList!$B$2:$B$200,G191)),0)),"")</f>
        <v/>
      </c>
      <c r="J191" s="12"/>
      <c r="K191" s="12"/>
      <c r="L191" s="60"/>
      <c r="M191" s="60"/>
      <c r="N191" s="60"/>
      <c r="O191" s="60"/>
      <c r="P191" s="7" t="str">
        <f t="shared" si="5"/>
        <v/>
      </c>
      <c r="Q191" s="8">
        <f>IFERROR(VLOOKUP(VALUE(A191),WEEKLY_DATA!$A:$H,2,0),0)</f>
        <v>0</v>
      </c>
      <c r="R191" s="8">
        <f>IFERROR(VLOOKUP(VALUE(A191),WEEKLY_DATA!$A:$H,3,0),0)</f>
        <v>0</v>
      </c>
      <c r="S191" s="8">
        <f>IFERROR(VLOOKUP(VALUE(A191),WEEKLY_DATA!$A:$H,4,0),0)</f>
        <v>0</v>
      </c>
      <c r="T191" s="51">
        <f>IFERROR(VLOOKUP(VALUE(A191),WEEKLY_DATA!$A:$H,5,0),0)</f>
        <v>0</v>
      </c>
      <c r="U191" s="51">
        <f>IFERROR(VLOOKUP(VALUE(A191),WEEKLY_DATA!$A:$H,6,0),0)</f>
        <v>0</v>
      </c>
      <c r="V191" s="51">
        <f>IFERROR(VLOOKUP(VALUE(A191),WEEKLY_DATA!$A:$H,7,0),0)</f>
        <v>0</v>
      </c>
      <c r="W191" s="9" t="str">
        <f>IFERROR(IF(OR(Q191="",Q191=0),"",IF(VLOOKUP(VALUE($A191),WEEKLY_DATA!$A:$H,6,0)=0,"No Sales",Q191/(VLOOKUP(VALUE($A191),WEEKLY_DATA!$A:$H,6,0)/13))),"")</f>
        <v/>
      </c>
      <c r="X191" s="10">
        <f>IFERROR(VLOOKUP(VALUE(A191),WEEKLY_DATA!$A:$H,8,0),0)</f>
        <v>0</v>
      </c>
      <c r="Y191" s="13" t="str">
        <f t="shared" si="4"/>
        <v>—</v>
      </c>
      <c r="Z191" s="11"/>
      <c r="AA191" s="11"/>
      <c r="AB191" s="11"/>
      <c r="AC191" s="11"/>
      <c r="AD191" s="11"/>
      <c r="AE191" s="11"/>
      <c r="AF191" s="61" t="s">
        <v>144</v>
      </c>
      <c r="AG191" s="61"/>
      <c r="AH191" s="62"/>
      <c r="AI191" s="62"/>
      <c r="AJ191" s="61" t="s">
        <v>144</v>
      </c>
      <c r="AK191" s="61" t="s">
        <v>144</v>
      </c>
      <c r="AL191" s="61"/>
      <c r="AM191" s="58" t="str" cm="2">
        <f t="array" ref="AM191">IFERROR(LOOKUP(2, 1/SEARCH({"Black","White","Grey","Blue","Silver","Brown","Green","Blue","Purple","Red","Pink","Yellow","Gold"}, G191), {"Black","White","Grey","Blue","Silver","Brown","Green","Blue","Purple","Red","Pink","Yellow","Gold"}), "")</f>
        <v/>
      </c>
      <c r="AN191" s="58" t="str">
        <f>IFERROR(LOOKUP(2, 1/SEARCH({"8GB","16GB","32GB","64GB"}, G191), {"8GB","16GB","32GB","64GB"}), "")</f>
        <v/>
      </c>
      <c r="AO191" s="58" t="str">
        <f>IFERROR(LOOKUP(2, 1/SEARCH({"1TB","2TB","128GB","512GB","256GB"}, G191), {"1TB","2TB","128GB","512GB","256GB"}), "")</f>
        <v/>
      </c>
      <c r="AP191" s="58"/>
      <c r="AQ191" s="58" t="str">
        <f>IFERROR(LOOKUP(2, 1/SEARCH({"16-Inch","15-Inch","15.6-Inch","18-Inch","15.3-Inch","13-Inch","13.4-Inch","13.8-Inch","14-Inch","17-Inch","45-Inch","27-Inch","34-Inch","32-Inch","21.5-Inch"}, G191), {"16-Inch","15-Inch","15.6-Inch","18-Inch","15.3-Inch","13-Inch","13.4-Inch","13.8-Inch","14-Inch","17-Inch","45-Inch","27-Inch","34-Inch","32-Inch","21.5-Inch"}), "")</f>
        <v/>
      </c>
      <c r="AR191" s="58"/>
      <c r="AS191" s="91"/>
      <c r="AT191" s="93"/>
      <c r="AU191" s="93"/>
      <c r="AV191" s="93"/>
      <c r="AW191" s="93"/>
    </row>
    <row r="192" spans="1:49" ht="15" customHeight="1" x14ac:dyDescent="0.25">
      <c r="A192" s="59"/>
      <c r="B192" s="12"/>
      <c r="C192" s="12"/>
      <c r="D192" s="60"/>
      <c r="E192" s="6"/>
      <c r="F192" s="6"/>
      <c r="G192" s="12"/>
      <c r="H192" s="12" t="str" cm="2">
        <f t="array" ref="H192">IFERROR(INDEX(BrandList!$A$2:$A$50,MATCH(TRUE,ISNUMBER(SEARCH(BrandList!$A$2:$A$50,G192)),0)),"")</f>
        <v/>
      </c>
      <c r="I192" s="12" t="str" cm="2">
        <f t="array" ref="I192">IFERROR(INDEX(BrandList!$B$2:$B$200,MATCH(TRUE,ISNUMBER(SEARCH(BrandList!$B$2:$B$200,G192)),0)),"")</f>
        <v/>
      </c>
      <c r="J192" s="12"/>
      <c r="K192" s="12"/>
      <c r="L192" s="60"/>
      <c r="M192" s="60"/>
      <c r="N192" s="60"/>
      <c r="O192" s="60"/>
      <c r="P192" s="7" t="str">
        <f t="shared" si="5"/>
        <v/>
      </c>
      <c r="Q192" s="8">
        <f>IFERROR(VLOOKUP(VALUE(A192),WEEKLY_DATA!$A:$H,2,0),0)</f>
        <v>0</v>
      </c>
      <c r="R192" s="8">
        <f>IFERROR(VLOOKUP(VALUE(A192),WEEKLY_DATA!$A:$H,3,0),0)</f>
        <v>0</v>
      </c>
      <c r="S192" s="8">
        <f>IFERROR(VLOOKUP(VALUE(A192),WEEKLY_DATA!$A:$H,4,0),0)</f>
        <v>0</v>
      </c>
      <c r="T192" s="51">
        <f>IFERROR(VLOOKUP(VALUE(A192),WEEKLY_DATA!$A:$H,5,0),0)</f>
        <v>0</v>
      </c>
      <c r="U192" s="51">
        <f>IFERROR(VLOOKUP(VALUE(A192),WEEKLY_DATA!$A:$H,6,0),0)</f>
        <v>0</v>
      </c>
      <c r="V192" s="51">
        <f>IFERROR(VLOOKUP(VALUE(A192),WEEKLY_DATA!$A:$H,7,0),0)</f>
        <v>0</v>
      </c>
      <c r="W192" s="9" t="str">
        <f>IFERROR(IF(OR(Q192="",Q192=0),"",IF(VLOOKUP(VALUE($A192),WEEKLY_DATA!$A:$H,6,0)=0,"No Sales",Q192/(VLOOKUP(VALUE($A192),WEEKLY_DATA!$A:$H,6,0)/13))),"")</f>
        <v/>
      </c>
      <c r="X192" s="10">
        <f>IFERROR(VLOOKUP(VALUE(A192),WEEKLY_DATA!$A:$H,8,0),0)</f>
        <v>0</v>
      </c>
      <c r="Y192" s="13" t="str">
        <f t="shared" si="4"/>
        <v>—</v>
      </c>
      <c r="Z192" s="11"/>
      <c r="AA192" s="11"/>
      <c r="AB192" s="11"/>
      <c r="AC192" s="11"/>
      <c r="AD192" s="11"/>
      <c r="AE192" s="11"/>
      <c r="AF192" s="61" t="s">
        <v>144</v>
      </c>
      <c r="AG192" s="61"/>
      <c r="AH192" s="62"/>
      <c r="AI192" s="62"/>
      <c r="AJ192" s="61" t="s">
        <v>144</v>
      </c>
      <c r="AK192" s="61" t="s">
        <v>144</v>
      </c>
      <c r="AL192" s="61"/>
      <c r="AM192" s="58" t="str" cm="2">
        <f t="array" ref="AM192">IFERROR(LOOKUP(2, 1/SEARCH({"Black","White","Grey","Blue","Silver","Brown","Green","Blue","Purple","Red","Pink","Yellow","Gold"}, G192), {"Black","White","Grey","Blue","Silver","Brown","Green","Blue","Purple","Red","Pink","Yellow","Gold"}), "")</f>
        <v/>
      </c>
      <c r="AN192" s="58" t="str">
        <f>IFERROR(LOOKUP(2, 1/SEARCH({"8GB","16GB","32GB","64GB"}, G192), {"8GB","16GB","32GB","64GB"}), "")</f>
        <v/>
      </c>
      <c r="AO192" s="58" t="str">
        <f>IFERROR(LOOKUP(2, 1/SEARCH({"1TB","2TB","128GB","512GB","256GB"}, G192), {"1TB","2TB","128GB","512GB","256GB"}), "")</f>
        <v/>
      </c>
      <c r="AP192" s="58"/>
      <c r="AQ192" s="58" t="str">
        <f>IFERROR(LOOKUP(2, 1/SEARCH({"16-Inch","15-Inch","15.6-Inch","18-Inch","15.3-Inch","13-Inch","13.4-Inch","13.8-Inch","14-Inch","17-Inch","45-Inch","27-Inch","34-Inch","32-Inch","21.5-Inch"}, G192), {"16-Inch","15-Inch","15.6-Inch","18-Inch","15.3-Inch","13-Inch","13.4-Inch","13.8-Inch","14-Inch","17-Inch","45-Inch","27-Inch","34-Inch","32-Inch","21.5-Inch"}), "")</f>
        <v/>
      </c>
      <c r="AR192" s="58"/>
      <c r="AS192" s="91"/>
      <c r="AT192" s="93"/>
      <c r="AU192" s="93"/>
      <c r="AV192" s="93"/>
      <c r="AW192" s="93"/>
    </row>
    <row r="193" spans="1:49" ht="15" customHeight="1" x14ac:dyDescent="0.25">
      <c r="A193" s="59"/>
      <c r="B193" s="12"/>
      <c r="C193" s="12"/>
      <c r="D193" s="60"/>
      <c r="E193" s="6"/>
      <c r="F193" s="6"/>
      <c r="G193" s="12"/>
      <c r="H193" s="12" t="str" cm="2">
        <f t="array" ref="H193">IFERROR(INDEX(BrandList!$A$2:$A$50,MATCH(TRUE,ISNUMBER(SEARCH(BrandList!$A$2:$A$50,G193)),0)),"")</f>
        <v/>
      </c>
      <c r="I193" s="12" t="str" cm="2">
        <f t="array" ref="I193">IFERROR(INDEX(BrandList!$B$2:$B$200,MATCH(TRUE,ISNUMBER(SEARCH(BrandList!$B$2:$B$200,G193)),0)),"")</f>
        <v/>
      </c>
      <c r="J193" s="12"/>
      <c r="K193" s="59"/>
      <c r="L193" s="86"/>
      <c r="M193" s="86"/>
      <c r="N193" s="86"/>
      <c r="O193" s="86"/>
      <c r="P193" s="7" t="str">
        <f t="shared" si="5"/>
        <v/>
      </c>
      <c r="Q193" s="8">
        <f>IFERROR(VLOOKUP(VALUE(A193),WEEKLY_DATA!$A:$H,2,0),0)</f>
        <v>0</v>
      </c>
      <c r="R193" s="8">
        <f>IFERROR(VLOOKUP(VALUE(A193),WEEKLY_DATA!$A:$H,3,0),0)</f>
        <v>0</v>
      </c>
      <c r="S193" s="8">
        <f>IFERROR(VLOOKUP(VALUE(A193),WEEKLY_DATA!$A:$H,4,0),0)</f>
        <v>0</v>
      </c>
      <c r="T193" s="51">
        <f>IFERROR(VLOOKUP(VALUE(A193),WEEKLY_DATA!$A:$H,5,0),0)</f>
        <v>0</v>
      </c>
      <c r="U193" s="51">
        <f>IFERROR(VLOOKUP(VALUE(A193),WEEKLY_DATA!$A:$H,6,0),0)</f>
        <v>0</v>
      </c>
      <c r="V193" s="51">
        <f>IFERROR(VLOOKUP(VALUE(A193),WEEKLY_DATA!$A:$H,7,0),0)</f>
        <v>0</v>
      </c>
      <c r="W193" s="9" t="str">
        <f>IFERROR(IF(OR(Q193="",Q193=0),"",IF(VLOOKUP(VALUE($A193),WEEKLY_DATA!$A:$H,6,0)=0,"No Sales",Q193/(VLOOKUP(VALUE($A193),WEEKLY_DATA!$A:$H,6,0)/13))),"")</f>
        <v/>
      </c>
      <c r="X193" s="10">
        <f>IFERROR(VLOOKUP(VALUE(A193),WEEKLY_DATA!$A:$H,8,0),0)</f>
        <v>0</v>
      </c>
      <c r="Y193" s="13" t="str">
        <f t="shared" si="4"/>
        <v>—</v>
      </c>
      <c r="Z193" s="11"/>
      <c r="AA193" s="11"/>
      <c r="AB193" s="11"/>
      <c r="AC193" s="11"/>
      <c r="AD193" s="11"/>
      <c r="AE193" s="11"/>
      <c r="AF193" s="61"/>
      <c r="AG193" s="61"/>
      <c r="AH193" s="62"/>
      <c r="AI193" s="62"/>
      <c r="AJ193" s="61"/>
      <c r="AK193" s="61"/>
      <c r="AL193" s="61"/>
      <c r="AM193" s="58" t="str" cm="2">
        <f t="array" ref="AM193">IFERROR(LOOKUP(2, 1/SEARCH({"Black","White","Grey","Blue","Silver","Brown","Green","Blue","Purple","Red","Pink","Yellow","Gold"}, G193), {"Black","White","Grey","Blue","Silver","Brown","Green","Blue","Purple","Red","Pink","Yellow","Gold"}), "")</f>
        <v/>
      </c>
      <c r="AN193" s="58" t="str">
        <f>IFERROR(LOOKUP(2, 1/SEARCH({"8GB","16GB","32GB","64GB"}, G193), {"8GB","16GB","32GB","64GB"}), "")</f>
        <v/>
      </c>
      <c r="AO193" s="58" t="str">
        <f>IFERROR(LOOKUP(2, 1/SEARCH({"1TB","2TB","128GB","512GB","256GB"}, G193), {"1TB","2TB","128GB","512GB","256GB"}), "")</f>
        <v/>
      </c>
      <c r="AP193" s="58"/>
      <c r="AQ193" s="58" t="str">
        <f>IFERROR(LOOKUP(2, 1/SEARCH({"16-Inch","15-Inch","15.6-Inch","18-Inch","15.3-Inch","13-Inch","13.4-Inch","13.8-Inch","14-Inch","17-Inch","45-Inch","27-Inch","34-Inch","32-Inch","21.5-Inch"}, G193), {"16-Inch","15-Inch","15.6-Inch","18-Inch","15.3-Inch","13-Inch","13.4-Inch","13.8-Inch","14-Inch","17-Inch","45-Inch","27-Inch","34-Inch","32-Inch","21.5-Inch"}), "")</f>
        <v/>
      </c>
      <c r="AR193" s="58"/>
      <c r="AS193" s="91"/>
      <c r="AT193" s="93"/>
      <c r="AU193" s="93"/>
      <c r="AV193" s="93"/>
      <c r="AW193" s="93"/>
    </row>
    <row r="194" spans="1:49" ht="15" customHeight="1" x14ac:dyDescent="0.25">
      <c r="A194" s="59"/>
      <c r="B194" s="12"/>
      <c r="C194" s="12"/>
      <c r="D194" s="60"/>
      <c r="E194" s="6"/>
      <c r="F194" s="6"/>
      <c r="G194" s="12"/>
      <c r="H194" s="12" t="str" cm="2">
        <f t="array" ref="H194">IFERROR(INDEX(BrandList!$A$2:$A$50,MATCH(TRUE,ISNUMBER(SEARCH(BrandList!$A$2:$A$50,G194)),0)),"")</f>
        <v/>
      </c>
      <c r="I194" s="12" t="str" cm="2">
        <f t="array" ref="I194">IFERROR(INDEX(BrandList!$B$2:$B$200,MATCH(TRUE,ISNUMBER(SEARCH(BrandList!$B$2:$B$200,G194)),0)),"")</f>
        <v/>
      </c>
      <c r="J194" s="12"/>
      <c r="K194" s="59"/>
      <c r="L194" s="86"/>
      <c r="M194" s="86"/>
      <c r="N194" s="86"/>
      <c r="O194" s="86"/>
      <c r="P194" s="7" t="str">
        <f t="shared" si="5"/>
        <v/>
      </c>
      <c r="Q194" s="8">
        <f>IFERROR(VLOOKUP(VALUE(A194),WEEKLY_DATA!$A:$H,2,0),0)</f>
        <v>0</v>
      </c>
      <c r="R194" s="8">
        <f>IFERROR(VLOOKUP(VALUE(A194),WEEKLY_DATA!$A:$H,3,0),0)</f>
        <v>0</v>
      </c>
      <c r="S194" s="8">
        <f>IFERROR(VLOOKUP(VALUE(A194),WEEKLY_DATA!$A:$H,4,0),0)</f>
        <v>0</v>
      </c>
      <c r="T194" s="51">
        <f>IFERROR(VLOOKUP(VALUE(A194),WEEKLY_DATA!$A:$H,5,0),0)</f>
        <v>0</v>
      </c>
      <c r="U194" s="51">
        <f>IFERROR(VLOOKUP(VALUE(A194),WEEKLY_DATA!$A:$H,6,0),0)</f>
        <v>0</v>
      </c>
      <c r="V194" s="51">
        <f>IFERROR(VLOOKUP(VALUE(A194),WEEKLY_DATA!$A:$H,7,0),0)</f>
        <v>0</v>
      </c>
      <c r="W194" s="9" t="str">
        <f>IFERROR(IF(OR(Q194="",Q194=0),"",IF(VLOOKUP(VALUE($A194),WEEKLY_DATA!$A:$H,6,0)=0,"No Sales",Q194/(VLOOKUP(VALUE($A194),WEEKLY_DATA!$A:$H,6,0)/13))),"")</f>
        <v/>
      </c>
      <c r="X194" s="10">
        <f>IFERROR(VLOOKUP(VALUE(A194),WEEKLY_DATA!$A:$H,8,0),0)</f>
        <v>0</v>
      </c>
      <c r="Y194" s="13" t="str">
        <f t="shared" si="4"/>
        <v>—</v>
      </c>
      <c r="Z194" s="11"/>
      <c r="AA194" s="11"/>
      <c r="AB194" s="11"/>
      <c r="AC194" s="11"/>
      <c r="AD194" s="11"/>
      <c r="AE194" s="11"/>
      <c r="AF194" s="61"/>
      <c r="AG194" s="61"/>
      <c r="AH194" s="62"/>
      <c r="AI194" s="62"/>
      <c r="AJ194" s="61"/>
      <c r="AK194" s="61"/>
      <c r="AL194" s="61"/>
      <c r="AM194" s="58" t="str" cm="2">
        <f t="array" ref="AM194">IFERROR(LOOKUP(2, 1/SEARCH({"Black","White","Grey","Blue","Silver","Brown","Green","Blue","Purple","Red","Pink","Yellow","Gold"}, G194), {"Black","White","Grey","Blue","Silver","Brown","Green","Blue","Purple","Red","Pink","Yellow","Gold"}), "")</f>
        <v/>
      </c>
      <c r="AN194" s="58" t="str">
        <f>IFERROR(LOOKUP(2, 1/SEARCH({"8GB","16GB","32GB","64GB"}, G194), {"8GB","16GB","32GB","64GB"}), "")</f>
        <v/>
      </c>
      <c r="AO194" s="58" t="str">
        <f>IFERROR(LOOKUP(2, 1/SEARCH({"1TB","2TB","128GB","512GB","256GB"}, G194), {"1TB","2TB","128GB","512GB","256GB"}), "")</f>
        <v/>
      </c>
      <c r="AP194" s="58"/>
      <c r="AQ194" s="58" t="str">
        <f>IFERROR(LOOKUP(2, 1/SEARCH({"16-Inch","15-Inch","15.6-Inch","18-Inch","15.3-Inch","13-Inch","13.4-Inch","13.8-Inch","14-Inch","17-Inch","45-Inch","27-Inch","34-Inch","32-Inch","21.5-Inch"}, G194), {"16-Inch","15-Inch","15.6-Inch","18-Inch","15.3-Inch","13-Inch","13.4-Inch","13.8-Inch","14-Inch","17-Inch","45-Inch","27-Inch","34-Inch","32-Inch","21.5-Inch"}), "")</f>
        <v/>
      </c>
      <c r="AR194" s="58"/>
      <c r="AS194" s="91"/>
      <c r="AT194" s="93"/>
      <c r="AU194" s="93"/>
      <c r="AV194" s="93"/>
      <c r="AW194" s="93"/>
    </row>
    <row r="195" spans="1:49" ht="15" customHeight="1" x14ac:dyDescent="0.25">
      <c r="A195" s="59"/>
      <c r="B195" s="12"/>
      <c r="C195" s="12"/>
      <c r="D195" s="60"/>
      <c r="E195" s="6"/>
      <c r="F195" s="6"/>
      <c r="G195" s="12"/>
      <c r="H195" s="12" t="str" cm="2">
        <f t="array" ref="H195">IFERROR(INDEX(BrandList!$A$2:$A$50,MATCH(TRUE,ISNUMBER(SEARCH(BrandList!$A$2:$A$50,G195)),0)),"")</f>
        <v/>
      </c>
      <c r="I195" s="12" t="str" cm="2">
        <f t="array" ref="I195">IFERROR(INDEX(BrandList!$B$2:$B$200,MATCH(TRUE,ISNUMBER(SEARCH(BrandList!$B$2:$B$200,G195)),0)),"")</f>
        <v/>
      </c>
      <c r="J195" s="12"/>
      <c r="K195" s="59"/>
      <c r="L195" s="86"/>
      <c r="M195" s="86"/>
      <c r="N195" s="86"/>
      <c r="O195" s="86"/>
      <c r="P195" s="7" t="str">
        <f t="shared" si="5"/>
        <v/>
      </c>
      <c r="Q195" s="8">
        <f>IFERROR(VLOOKUP(VALUE(A195),WEEKLY_DATA!$A:$H,2,0),0)</f>
        <v>0</v>
      </c>
      <c r="R195" s="8">
        <f>IFERROR(VLOOKUP(VALUE(A195),WEEKLY_DATA!$A:$H,3,0),0)</f>
        <v>0</v>
      </c>
      <c r="S195" s="8">
        <f>IFERROR(VLOOKUP(VALUE(A195),WEEKLY_DATA!$A:$H,4,0),0)</f>
        <v>0</v>
      </c>
      <c r="T195" s="51">
        <f>IFERROR(VLOOKUP(VALUE(A195),WEEKLY_DATA!$A:$H,5,0),0)</f>
        <v>0</v>
      </c>
      <c r="U195" s="51">
        <f>IFERROR(VLOOKUP(VALUE(A195),WEEKLY_DATA!$A:$H,6,0),0)</f>
        <v>0</v>
      </c>
      <c r="V195" s="51">
        <f>IFERROR(VLOOKUP(VALUE(A195),WEEKLY_DATA!$A:$H,7,0),0)</f>
        <v>0</v>
      </c>
      <c r="W195" s="9" t="str">
        <f>IFERROR(IF(OR(Q195="",Q195=0),"",IF(VLOOKUP(VALUE($A195),WEEKLY_DATA!$A:$H,6,0)=0,"No Sales",Q195/(VLOOKUP(VALUE($A195),WEEKLY_DATA!$A:$H,6,0)/13))),"")</f>
        <v/>
      </c>
      <c r="X195" s="10">
        <f>IFERROR(VLOOKUP(VALUE(A195),WEEKLY_DATA!$A:$H,8,0),0)</f>
        <v>0</v>
      </c>
      <c r="Y195" s="13" t="str">
        <f t="shared" si="4"/>
        <v>—</v>
      </c>
      <c r="Z195" s="11"/>
      <c r="AA195" s="11"/>
      <c r="AB195" s="11"/>
      <c r="AC195" s="11"/>
      <c r="AD195" s="11"/>
      <c r="AE195" s="11"/>
      <c r="AF195" s="61"/>
      <c r="AG195" s="61"/>
      <c r="AH195" s="62"/>
      <c r="AI195" s="62"/>
      <c r="AJ195" s="61"/>
      <c r="AK195" s="61"/>
      <c r="AL195" s="61"/>
      <c r="AM195" s="58" t="str" cm="2">
        <f t="array" ref="AM195">IFERROR(LOOKUP(2, 1/SEARCH({"Black","White","Grey","Blue","Silver","Brown","Green","Blue","Purple","Red","Pink","Yellow","Gold"}, G195), {"Black","White","Grey","Blue","Silver","Brown","Green","Blue","Purple","Red","Pink","Yellow","Gold"}), "")</f>
        <v/>
      </c>
      <c r="AN195" s="58" t="str">
        <f>IFERROR(LOOKUP(2, 1/SEARCH({"8GB","16GB","32GB","64GB"}, G195), {"8GB","16GB","32GB","64GB"}), "")</f>
        <v/>
      </c>
      <c r="AO195" s="58" t="str">
        <f>IFERROR(LOOKUP(2, 1/SEARCH({"1TB","2TB","128GB","512GB","256GB"}, G195), {"1TB","2TB","128GB","512GB","256GB"}), "")</f>
        <v/>
      </c>
      <c r="AP195" s="58"/>
      <c r="AQ195" s="58" t="str">
        <f>IFERROR(LOOKUP(2, 1/SEARCH({"16-Inch","15-Inch","15.6-Inch","18-Inch","15.3-Inch","13-Inch","13.4-Inch","13.8-Inch","14-Inch","17-Inch","45-Inch","27-Inch","34-Inch","32-Inch","21.5-Inch"}, G195), {"16-Inch","15-Inch","15.6-Inch","18-Inch","15.3-Inch","13-Inch","13.4-Inch","13.8-Inch","14-Inch","17-Inch","45-Inch","27-Inch","34-Inch","32-Inch","21.5-Inch"}), "")</f>
        <v/>
      </c>
      <c r="AR195" s="58"/>
      <c r="AS195" s="91"/>
      <c r="AT195" s="93"/>
      <c r="AU195" s="93"/>
      <c r="AV195" s="93"/>
      <c r="AW195" s="93"/>
    </row>
    <row r="196" spans="1:49" ht="15" customHeight="1" x14ac:dyDescent="0.25">
      <c r="A196" s="59"/>
      <c r="B196" s="12"/>
      <c r="C196" s="12"/>
      <c r="D196" s="60"/>
      <c r="E196" s="6"/>
      <c r="F196" s="6"/>
      <c r="G196" s="12"/>
      <c r="H196" s="12" t="str" cm="2">
        <f t="array" ref="H196">IFERROR(INDEX(BrandList!$A$2:$A$50,MATCH(TRUE,ISNUMBER(SEARCH(BrandList!$A$2:$A$50,G196)),0)),"")</f>
        <v/>
      </c>
      <c r="I196" s="12" t="str" cm="2">
        <f t="array" ref="I196">IFERROR(INDEX(BrandList!$B$2:$B$200,MATCH(TRUE,ISNUMBER(SEARCH(BrandList!$B$2:$B$200,G196)),0)),"")</f>
        <v/>
      </c>
      <c r="J196" s="12"/>
      <c r="K196" s="59"/>
      <c r="L196" s="86"/>
      <c r="M196" s="86"/>
      <c r="N196" s="86"/>
      <c r="O196" s="86"/>
      <c r="P196" s="7" t="str">
        <f t="shared" si="5"/>
        <v/>
      </c>
      <c r="Q196" s="8">
        <f>IFERROR(VLOOKUP(VALUE(A196),WEEKLY_DATA!$A:$H,2,0),0)</f>
        <v>0</v>
      </c>
      <c r="R196" s="8">
        <f>IFERROR(VLOOKUP(VALUE(A196),WEEKLY_DATA!$A:$H,3,0),0)</f>
        <v>0</v>
      </c>
      <c r="S196" s="8">
        <f>IFERROR(VLOOKUP(VALUE(A196),WEEKLY_DATA!$A:$H,4,0),0)</f>
        <v>0</v>
      </c>
      <c r="T196" s="51">
        <f>IFERROR(VLOOKUP(VALUE(A196),WEEKLY_DATA!$A:$H,5,0),0)</f>
        <v>0</v>
      </c>
      <c r="U196" s="51">
        <f>IFERROR(VLOOKUP(VALUE(A196),WEEKLY_DATA!$A:$H,6,0),0)</f>
        <v>0</v>
      </c>
      <c r="V196" s="51">
        <f>IFERROR(VLOOKUP(VALUE(A196),WEEKLY_DATA!$A:$H,7,0),0)</f>
        <v>0</v>
      </c>
      <c r="W196" s="9" t="str">
        <f>IFERROR(IF(OR(Q196="",Q196=0),"",IF(VLOOKUP(VALUE($A196),WEEKLY_DATA!$A:$H,6,0)=0,"No Sales",Q196/(VLOOKUP(VALUE($A196),WEEKLY_DATA!$A:$H,6,0)/13))),"")</f>
        <v/>
      </c>
      <c r="X196" s="10">
        <f>IFERROR(VLOOKUP(VALUE(A196),WEEKLY_DATA!$A:$H,8,0),0)</f>
        <v>0</v>
      </c>
      <c r="Y196" s="13" t="str">
        <f t="shared" si="4"/>
        <v>—</v>
      </c>
      <c r="Z196" s="11"/>
      <c r="AA196" s="11"/>
      <c r="AB196" s="11"/>
      <c r="AC196" s="11"/>
      <c r="AD196" s="11"/>
      <c r="AE196" s="11"/>
      <c r="AF196" s="61"/>
      <c r="AG196" s="61"/>
      <c r="AH196" s="62"/>
      <c r="AI196" s="62"/>
      <c r="AJ196" s="61"/>
      <c r="AK196" s="61"/>
      <c r="AL196" s="61"/>
      <c r="AM196" s="58" t="str" cm="2">
        <f t="array" ref="AM196">IFERROR(LOOKUP(2, 1/SEARCH({"Black","White","Grey","Blue","Silver","Brown","Green","Blue","Purple","Red","Pink","Yellow","Gold"}, G196), {"Black","White","Grey","Blue","Silver","Brown","Green","Blue","Purple","Red","Pink","Yellow","Gold"}), "")</f>
        <v/>
      </c>
      <c r="AN196" s="58" t="str">
        <f>IFERROR(LOOKUP(2, 1/SEARCH({"8GB","16GB","32GB","64GB"}, G196), {"8GB","16GB","32GB","64GB"}), "")</f>
        <v/>
      </c>
      <c r="AO196" s="58" t="str">
        <f>IFERROR(LOOKUP(2, 1/SEARCH({"1TB","2TB","128GB","512GB","256GB"}, G196), {"1TB","2TB","128GB","512GB","256GB"}), "")</f>
        <v/>
      </c>
      <c r="AP196" s="58"/>
      <c r="AQ196" s="58" t="str">
        <f>IFERROR(LOOKUP(2, 1/SEARCH({"16-Inch","15-Inch","15.6-Inch","18-Inch","15.3-Inch","13-Inch","13.4-Inch","13.8-Inch","14-Inch","17-Inch","45-Inch","27-Inch","34-Inch","32-Inch","21.5-Inch"}, G196), {"16-Inch","15-Inch","15.6-Inch","18-Inch","15.3-Inch","13-Inch","13.4-Inch","13.8-Inch","14-Inch","17-Inch","45-Inch","27-Inch","34-Inch","32-Inch","21.5-Inch"}), "")</f>
        <v/>
      </c>
      <c r="AR196" s="58"/>
      <c r="AS196" s="91"/>
      <c r="AT196" s="93"/>
      <c r="AU196" s="93"/>
      <c r="AV196" s="93"/>
      <c r="AW196" s="93"/>
    </row>
    <row r="197" spans="1:49" ht="15" customHeight="1" x14ac:dyDescent="0.25">
      <c r="A197" s="59"/>
      <c r="B197" s="12"/>
      <c r="C197" s="12"/>
      <c r="D197" s="60"/>
      <c r="E197" s="6"/>
      <c r="F197" s="6"/>
      <c r="G197" s="12"/>
      <c r="H197" s="12" t="str" cm="2">
        <f t="array" ref="H197">IFERROR(INDEX(BrandList!$A$2:$A$50,MATCH(TRUE,ISNUMBER(SEARCH(BrandList!$A$2:$A$50,G197)),0)),"")</f>
        <v/>
      </c>
      <c r="I197" s="12" t="str" cm="2">
        <f t="array" ref="I197">IFERROR(INDEX(BrandList!$B$2:$B$200,MATCH(TRUE,ISNUMBER(SEARCH(BrandList!$B$2:$B$200,G197)),0)),"")</f>
        <v/>
      </c>
      <c r="J197" s="12"/>
      <c r="K197" s="12"/>
      <c r="L197" s="60"/>
      <c r="M197" s="60"/>
      <c r="N197" s="60"/>
      <c r="O197" s="60"/>
      <c r="P197" s="7" t="str">
        <f t="shared" si="5"/>
        <v/>
      </c>
      <c r="Q197" s="8">
        <f>IFERROR(VLOOKUP(VALUE(A197),WEEKLY_DATA!$A:$H,2,0),0)</f>
        <v>0</v>
      </c>
      <c r="R197" s="8">
        <f>IFERROR(VLOOKUP(VALUE(A197),WEEKLY_DATA!$A:$H,3,0),0)</f>
        <v>0</v>
      </c>
      <c r="S197" s="8">
        <f>IFERROR(VLOOKUP(VALUE(A197),WEEKLY_DATA!$A:$H,4,0),0)</f>
        <v>0</v>
      </c>
      <c r="T197" s="51">
        <f>IFERROR(VLOOKUP(VALUE(A197),WEEKLY_DATA!$A:$H,5,0),0)</f>
        <v>0</v>
      </c>
      <c r="U197" s="51">
        <f>IFERROR(VLOOKUP(VALUE(A197),WEEKLY_DATA!$A:$H,6,0),0)</f>
        <v>0</v>
      </c>
      <c r="V197" s="51">
        <f>IFERROR(VLOOKUP(VALUE(A197),WEEKLY_DATA!$A:$H,7,0),0)</f>
        <v>0</v>
      </c>
      <c r="W197" s="9" t="str">
        <f>IFERROR(IF(OR(Q197="",Q197=0),"",IF(VLOOKUP(VALUE($A197),WEEKLY_DATA!$A:$H,6,0)=0,"No Sales",Q197/(VLOOKUP(VALUE($A197),WEEKLY_DATA!$A:$H,6,0)/13))),"")</f>
        <v/>
      </c>
      <c r="X197" s="10">
        <f>IFERROR(VLOOKUP(VALUE(A197),WEEKLY_DATA!$A:$H,8,0),0)</f>
        <v>0</v>
      </c>
      <c r="Y197" s="13" t="str">
        <f t="shared" si="4"/>
        <v>—</v>
      </c>
      <c r="Z197" s="11"/>
      <c r="AA197" s="11"/>
      <c r="AB197" s="11"/>
      <c r="AC197" s="11"/>
      <c r="AD197" s="11"/>
      <c r="AE197" s="11"/>
      <c r="AF197" s="61" t="s">
        <v>144</v>
      </c>
      <c r="AG197" s="61"/>
      <c r="AH197" s="62"/>
      <c r="AI197" s="62"/>
      <c r="AJ197" s="61" t="s">
        <v>144</v>
      </c>
      <c r="AK197" s="61" t="s">
        <v>144</v>
      </c>
      <c r="AL197" s="61"/>
      <c r="AM197" s="58" t="str" cm="2">
        <f t="array" ref="AM197">IFERROR(LOOKUP(2, 1/SEARCH({"Black","White","Grey","Blue","Silver","Brown","Green","Blue","Purple","Red","Pink","Yellow","Gold"}, G197), {"Black","White","Grey","Blue","Silver","Brown","Green","Blue","Purple","Red","Pink","Yellow","Gold"}), "")</f>
        <v/>
      </c>
      <c r="AN197" s="58" t="str">
        <f>IFERROR(LOOKUP(2, 1/SEARCH({"8GB","16GB","32GB","64GB"}, G197), {"8GB","16GB","32GB","64GB"}), "")</f>
        <v/>
      </c>
      <c r="AO197" s="58" t="str">
        <f>IFERROR(LOOKUP(2, 1/SEARCH({"1TB","2TB","128GB","512GB","256GB"}, G197), {"1TB","2TB","128GB","512GB","256GB"}), "")</f>
        <v/>
      </c>
      <c r="AP197" s="58"/>
      <c r="AQ197" s="58" t="str">
        <f>IFERROR(LOOKUP(2, 1/SEARCH({"16-Inch","15-Inch","15.6-Inch","18-Inch","15.3-Inch","13-Inch","13.4-Inch","13.8-Inch","14-Inch","17-Inch","45-Inch","27-Inch","34-Inch","32-Inch","21.5-Inch"}, G197), {"16-Inch","15-Inch","15.6-Inch","18-Inch","15.3-Inch","13-Inch","13.4-Inch","13.8-Inch","14-Inch","17-Inch","45-Inch","27-Inch","34-Inch","32-Inch","21.5-Inch"}), "")</f>
        <v/>
      </c>
      <c r="AR197" s="58"/>
      <c r="AS197" s="91"/>
      <c r="AT197" s="93"/>
      <c r="AU197" s="93"/>
      <c r="AV197" s="93"/>
      <c r="AW197" s="93"/>
    </row>
    <row r="198" spans="1:49" ht="15" customHeight="1" x14ac:dyDescent="0.25">
      <c r="A198" s="59"/>
      <c r="B198" s="12"/>
      <c r="C198" s="12"/>
      <c r="D198" s="60"/>
      <c r="E198" s="6"/>
      <c r="F198" s="6"/>
      <c r="G198" s="12"/>
      <c r="H198" s="12" t="str" cm="2">
        <f t="array" ref="H198">IFERROR(INDEX(BrandList!$A$2:$A$50,MATCH(TRUE,ISNUMBER(SEARCH(BrandList!$A$2:$A$50,G198)),0)),"")</f>
        <v/>
      </c>
      <c r="I198" s="12" t="str" cm="2">
        <f t="array" ref="I198">IFERROR(INDEX(BrandList!$B$2:$B$200,MATCH(TRUE,ISNUMBER(SEARCH(BrandList!$B$2:$B$200,G198)),0)),"")</f>
        <v/>
      </c>
      <c r="J198" s="12"/>
      <c r="K198" s="59"/>
      <c r="L198" s="86"/>
      <c r="M198" s="86"/>
      <c r="N198" s="86"/>
      <c r="O198" s="86"/>
      <c r="P198" s="7" t="str">
        <f t="shared" si="5"/>
        <v/>
      </c>
      <c r="Q198" s="8">
        <f>IFERROR(VLOOKUP(VALUE(A198),WEEKLY_DATA!$A:$H,2,0),0)</f>
        <v>0</v>
      </c>
      <c r="R198" s="8">
        <f>IFERROR(VLOOKUP(VALUE(A198),WEEKLY_DATA!$A:$H,3,0),0)</f>
        <v>0</v>
      </c>
      <c r="S198" s="8">
        <f>IFERROR(VLOOKUP(VALUE(A198),WEEKLY_DATA!$A:$H,4,0),0)</f>
        <v>0</v>
      </c>
      <c r="T198" s="51">
        <f>IFERROR(VLOOKUP(VALUE(A198),WEEKLY_DATA!$A:$H,5,0),0)</f>
        <v>0</v>
      </c>
      <c r="U198" s="51">
        <f>IFERROR(VLOOKUP(VALUE(A198),WEEKLY_DATA!$A:$H,6,0),0)</f>
        <v>0</v>
      </c>
      <c r="V198" s="51">
        <f>IFERROR(VLOOKUP(VALUE(A198),WEEKLY_DATA!$A:$H,7,0),0)</f>
        <v>0</v>
      </c>
      <c r="W198" s="9" t="str">
        <f>IFERROR(IF(OR(Q198="",Q198=0),"",IF(VLOOKUP(VALUE($A198),WEEKLY_DATA!$A:$H,6,0)=0,"No Sales",Q198/(VLOOKUP(VALUE($A198),WEEKLY_DATA!$A:$H,6,0)/13))),"")</f>
        <v/>
      </c>
      <c r="X198" s="10">
        <f>IFERROR(VLOOKUP(VALUE(A198),WEEKLY_DATA!$A:$H,8,0),0)</f>
        <v>0</v>
      </c>
      <c r="Y198" s="13" t="str">
        <f t="shared" ref="Y198:Y261" si="6">IFERROR(
IF(J198="Discontinued","🔴 EOL",
IF(J198="Drop Ship","📦 Drop Ship",
IF(J198="New","🆕 New",
IF(W198="","—",
IF(W198&lt;2,"🔴 Critical",
IF(W198&lt;4,"🟡 Low",
IF(W198&gt;26,"🔵 Overstock","🟢 Healthy")
)))))),"")</f>
        <v>—</v>
      </c>
      <c r="Z198" s="11"/>
      <c r="AA198" s="11"/>
      <c r="AB198" s="11"/>
      <c r="AC198" s="11"/>
      <c r="AD198" s="11"/>
      <c r="AE198" s="11"/>
      <c r="AF198" s="61"/>
      <c r="AG198" s="61"/>
      <c r="AH198" s="62"/>
      <c r="AI198" s="62"/>
      <c r="AJ198" s="61"/>
      <c r="AK198" s="61"/>
      <c r="AL198" s="61"/>
      <c r="AM198" s="58" t="str" cm="2">
        <f t="array" ref="AM198">IFERROR(LOOKUP(2, 1/SEARCH({"Black","White","Grey","Blue","Silver","Brown","Green","Blue","Purple","Red","Pink","Yellow","Gold"}, G198), {"Black","White","Grey","Blue","Silver","Brown","Green","Blue","Purple","Red","Pink","Yellow","Gold"}), "")</f>
        <v/>
      </c>
      <c r="AN198" s="58" t="str">
        <f>IFERROR(LOOKUP(2, 1/SEARCH({"8GB","16GB","32GB","64GB"}, G198), {"8GB","16GB","32GB","64GB"}), "")</f>
        <v/>
      </c>
      <c r="AO198" s="58" t="str">
        <f>IFERROR(LOOKUP(2, 1/SEARCH({"1TB","2TB","128GB","512GB","256GB"}, G198), {"1TB","2TB","128GB","512GB","256GB"}), "")</f>
        <v/>
      </c>
      <c r="AP198" s="58"/>
      <c r="AQ198" s="58" t="str">
        <f>IFERROR(LOOKUP(2, 1/SEARCH({"16-Inch","15-Inch","15.6-Inch","18-Inch","15.3-Inch","13-Inch","13.4-Inch","13.8-Inch","14-Inch","17-Inch","45-Inch","27-Inch","34-Inch","32-Inch","21.5-Inch"}, G198), {"16-Inch","15-Inch","15.6-Inch","18-Inch","15.3-Inch","13-Inch","13.4-Inch","13.8-Inch","14-Inch","17-Inch","45-Inch","27-Inch","34-Inch","32-Inch","21.5-Inch"}), "")</f>
        <v/>
      </c>
      <c r="AR198" s="58"/>
      <c r="AS198" s="91"/>
      <c r="AT198" s="93"/>
      <c r="AU198" s="93"/>
      <c r="AV198" s="93"/>
      <c r="AW198" s="93"/>
    </row>
    <row r="199" spans="1:49" ht="15" customHeight="1" x14ac:dyDescent="0.25">
      <c r="A199" s="59"/>
      <c r="B199" s="12"/>
      <c r="C199" s="12"/>
      <c r="D199" s="60"/>
      <c r="E199" s="6"/>
      <c r="F199" s="6"/>
      <c r="G199" s="12"/>
      <c r="H199" s="12" t="str" cm="2">
        <f t="array" ref="H199">IFERROR(INDEX(BrandList!$A$2:$A$50,MATCH(TRUE,ISNUMBER(SEARCH(BrandList!$A$2:$A$50,G199)),0)),"")</f>
        <v/>
      </c>
      <c r="I199" s="12" t="str" cm="2">
        <f t="array" ref="I199">IFERROR(INDEX(BrandList!$B$2:$B$200,MATCH(TRUE,ISNUMBER(SEARCH(BrandList!$B$2:$B$200,G199)),0)),"")</f>
        <v/>
      </c>
      <c r="J199" s="12"/>
      <c r="K199" s="59"/>
      <c r="L199" s="86"/>
      <c r="M199" s="86"/>
      <c r="N199" s="86"/>
      <c r="O199" s="86"/>
      <c r="P199" s="7" t="str">
        <f t="shared" ref="P199:P262" si="7">IFERROR(IF(OR(E199="",F199="",F199=0),"",(F199-E199)/F199),"")</f>
        <v/>
      </c>
      <c r="Q199" s="8">
        <f>IFERROR(VLOOKUP(VALUE(A199),WEEKLY_DATA!$A:$H,2,0),0)</f>
        <v>0</v>
      </c>
      <c r="R199" s="8">
        <f>IFERROR(VLOOKUP(VALUE(A199),WEEKLY_DATA!$A:$H,3,0),0)</f>
        <v>0</v>
      </c>
      <c r="S199" s="8">
        <f>IFERROR(VLOOKUP(VALUE(A199),WEEKLY_DATA!$A:$H,4,0),0)</f>
        <v>0</v>
      </c>
      <c r="T199" s="51">
        <f>IFERROR(VLOOKUP(VALUE(A199),WEEKLY_DATA!$A:$H,5,0),0)</f>
        <v>0</v>
      </c>
      <c r="U199" s="51">
        <f>IFERROR(VLOOKUP(VALUE(A199),WEEKLY_DATA!$A:$H,6,0),0)</f>
        <v>0</v>
      </c>
      <c r="V199" s="51">
        <f>IFERROR(VLOOKUP(VALUE(A199),WEEKLY_DATA!$A:$H,7,0),0)</f>
        <v>0</v>
      </c>
      <c r="W199" s="9" t="str">
        <f>IFERROR(IF(OR(Q199="",Q199=0),"",IF(VLOOKUP(VALUE($A199),WEEKLY_DATA!$A:$H,6,0)=0,"No Sales",Q199/(VLOOKUP(VALUE($A199),WEEKLY_DATA!$A:$H,6,0)/13))),"")</f>
        <v/>
      </c>
      <c r="X199" s="10">
        <f>IFERROR(VLOOKUP(VALUE(A199),WEEKLY_DATA!$A:$H,8,0),0)</f>
        <v>0</v>
      </c>
      <c r="Y199" s="13" t="str">
        <f t="shared" si="6"/>
        <v>—</v>
      </c>
      <c r="Z199" s="11"/>
      <c r="AA199" s="11"/>
      <c r="AB199" s="11"/>
      <c r="AC199" s="11"/>
      <c r="AD199" s="11"/>
      <c r="AE199" s="11"/>
      <c r="AF199" s="61"/>
      <c r="AG199" s="61"/>
      <c r="AH199" s="62"/>
      <c r="AI199" s="62"/>
      <c r="AJ199" s="61"/>
      <c r="AK199" s="61"/>
      <c r="AL199" s="61"/>
      <c r="AM199" s="58" t="str" cm="2">
        <f t="array" ref="AM199">IFERROR(LOOKUP(2, 1/SEARCH({"Black","White","Grey","Blue","Silver","Brown","Green","Blue","Purple","Red","Pink","Yellow","Gold"}, G199), {"Black","White","Grey","Blue","Silver","Brown","Green","Blue","Purple","Red","Pink","Yellow","Gold"}), "")</f>
        <v/>
      </c>
      <c r="AN199" s="58" t="str">
        <f>IFERROR(LOOKUP(2, 1/SEARCH({"8GB","16GB","32GB","64GB"}, G199), {"8GB","16GB","32GB","64GB"}), "")</f>
        <v/>
      </c>
      <c r="AO199" s="58" t="str">
        <f>IFERROR(LOOKUP(2, 1/SEARCH({"1TB","2TB","128GB","512GB","256GB"}, G199), {"1TB","2TB","128GB","512GB","256GB"}), "")</f>
        <v/>
      </c>
      <c r="AP199" s="58"/>
      <c r="AQ199" s="58" t="str">
        <f>IFERROR(LOOKUP(2, 1/SEARCH({"16-Inch","15-Inch","15.6-Inch","18-Inch","15.3-Inch","13-Inch","13.4-Inch","13.8-Inch","14-Inch","17-Inch","45-Inch","27-Inch","34-Inch","32-Inch","21.5-Inch"}, G199), {"16-Inch","15-Inch","15.6-Inch","18-Inch","15.3-Inch","13-Inch","13.4-Inch","13.8-Inch","14-Inch","17-Inch","45-Inch","27-Inch","34-Inch","32-Inch","21.5-Inch"}), "")</f>
        <v/>
      </c>
      <c r="AR199" s="58"/>
      <c r="AS199" s="91"/>
      <c r="AT199" s="93"/>
      <c r="AU199" s="93"/>
      <c r="AV199" s="93"/>
      <c r="AW199" s="93"/>
    </row>
    <row r="200" spans="1:49" ht="15" customHeight="1" x14ac:dyDescent="0.25">
      <c r="A200" s="59"/>
      <c r="B200" s="12"/>
      <c r="C200" s="12"/>
      <c r="D200" s="60"/>
      <c r="E200" s="6"/>
      <c r="F200" s="6"/>
      <c r="G200" s="12"/>
      <c r="H200" s="12" t="str" cm="2">
        <f t="array" ref="H200">IFERROR(INDEX(BrandList!$A$2:$A$50,MATCH(TRUE,ISNUMBER(SEARCH(BrandList!$A$2:$A$50,G200)),0)),"")</f>
        <v/>
      </c>
      <c r="I200" s="12" t="str" cm="2">
        <f t="array" ref="I200">IFERROR(INDEX(BrandList!$B$2:$B$200,MATCH(TRUE,ISNUMBER(SEARCH(BrandList!$B$2:$B$200,G200)),0)),"")</f>
        <v/>
      </c>
      <c r="J200" s="12"/>
      <c r="K200" s="59"/>
      <c r="L200" s="86"/>
      <c r="M200" s="86"/>
      <c r="N200" s="86"/>
      <c r="O200" s="86"/>
      <c r="P200" s="7" t="str">
        <f t="shared" si="7"/>
        <v/>
      </c>
      <c r="Q200" s="8">
        <f>IFERROR(VLOOKUP(VALUE(A200),WEEKLY_DATA!$A:$H,2,0),0)</f>
        <v>0</v>
      </c>
      <c r="R200" s="8">
        <f>IFERROR(VLOOKUP(VALUE(A200),WEEKLY_DATA!$A:$H,3,0),0)</f>
        <v>0</v>
      </c>
      <c r="S200" s="8">
        <f>IFERROR(VLOOKUP(VALUE(A200),WEEKLY_DATA!$A:$H,4,0),0)</f>
        <v>0</v>
      </c>
      <c r="T200" s="51">
        <f>IFERROR(VLOOKUP(VALUE(A200),WEEKLY_DATA!$A:$H,5,0),0)</f>
        <v>0</v>
      </c>
      <c r="U200" s="51">
        <f>IFERROR(VLOOKUP(VALUE(A200),WEEKLY_DATA!$A:$H,6,0),0)</f>
        <v>0</v>
      </c>
      <c r="V200" s="51">
        <f>IFERROR(VLOOKUP(VALUE(A200),WEEKLY_DATA!$A:$H,7,0),0)</f>
        <v>0</v>
      </c>
      <c r="W200" s="9" t="str">
        <f>IFERROR(IF(OR(Q200="",Q200=0),"",IF(VLOOKUP(VALUE($A200),WEEKLY_DATA!$A:$H,6,0)=0,"No Sales",Q200/(VLOOKUP(VALUE($A200),WEEKLY_DATA!$A:$H,6,0)/13))),"")</f>
        <v/>
      </c>
      <c r="X200" s="10">
        <f>IFERROR(VLOOKUP(VALUE(A200),WEEKLY_DATA!$A:$H,8,0),0)</f>
        <v>0</v>
      </c>
      <c r="Y200" s="13" t="str">
        <f t="shared" si="6"/>
        <v>—</v>
      </c>
      <c r="Z200" s="11"/>
      <c r="AA200" s="11"/>
      <c r="AB200" s="11"/>
      <c r="AC200" s="11"/>
      <c r="AD200" s="11"/>
      <c r="AE200" s="11"/>
      <c r="AF200" s="61"/>
      <c r="AG200" s="61"/>
      <c r="AH200" s="62"/>
      <c r="AI200" s="62"/>
      <c r="AJ200" s="61"/>
      <c r="AK200" s="61"/>
      <c r="AL200" s="61"/>
      <c r="AM200" s="58" t="str" cm="2">
        <f t="array" ref="AM200">IFERROR(LOOKUP(2, 1/SEARCH({"Black","White","Grey","Blue","Silver","Brown","Green","Blue","Purple","Red","Pink","Yellow","Gold"}, G200), {"Black","White","Grey","Blue","Silver","Brown","Green","Blue","Purple","Red","Pink","Yellow","Gold"}), "")</f>
        <v/>
      </c>
      <c r="AN200" s="58" t="str">
        <f>IFERROR(LOOKUP(2, 1/SEARCH({"8GB","16GB","32GB","64GB"}, G200), {"8GB","16GB","32GB","64GB"}), "")</f>
        <v/>
      </c>
      <c r="AO200" s="58" t="str">
        <f>IFERROR(LOOKUP(2, 1/SEARCH({"1TB","2TB","128GB","512GB","256GB"}, G200), {"1TB","2TB","128GB","512GB","256GB"}), "")</f>
        <v/>
      </c>
      <c r="AP200" s="58"/>
      <c r="AQ200" s="58" t="str">
        <f>IFERROR(LOOKUP(2, 1/SEARCH({"16-Inch","15-Inch","15.6-Inch","18-Inch","15.3-Inch","13-Inch","13.4-Inch","13.8-Inch","14-Inch","17-Inch","45-Inch","27-Inch","34-Inch","32-Inch","21.5-Inch"}, G200), {"16-Inch","15-Inch","15.6-Inch","18-Inch","15.3-Inch","13-Inch","13.4-Inch","13.8-Inch","14-Inch","17-Inch","45-Inch","27-Inch","34-Inch","32-Inch","21.5-Inch"}), "")</f>
        <v/>
      </c>
      <c r="AR200" s="58"/>
      <c r="AS200" s="91"/>
      <c r="AT200" s="93"/>
      <c r="AU200" s="93"/>
      <c r="AV200" s="93"/>
      <c r="AW200" s="93"/>
    </row>
    <row r="201" spans="1:49" ht="15" customHeight="1" x14ac:dyDescent="0.25">
      <c r="A201" s="59"/>
      <c r="B201" s="12"/>
      <c r="C201" s="12"/>
      <c r="D201" s="60"/>
      <c r="E201" s="6"/>
      <c r="F201" s="6"/>
      <c r="G201" s="12"/>
      <c r="H201" s="12" t="str" cm="2">
        <f t="array" ref="H201">IFERROR(INDEX(BrandList!$A$2:$A$50,MATCH(TRUE,ISNUMBER(SEARCH(BrandList!$A$2:$A$50,G201)),0)),"")</f>
        <v/>
      </c>
      <c r="I201" s="12" t="str" cm="2">
        <f t="array" ref="I201">IFERROR(INDEX(BrandList!$B$2:$B$200,MATCH(TRUE,ISNUMBER(SEARCH(BrandList!$B$2:$B$200,G201)),0)),"")</f>
        <v/>
      </c>
      <c r="J201" s="12"/>
      <c r="K201" s="59"/>
      <c r="L201" s="86"/>
      <c r="M201" s="86"/>
      <c r="N201" s="86"/>
      <c r="O201" s="86"/>
      <c r="P201" s="7" t="str">
        <f t="shared" si="7"/>
        <v/>
      </c>
      <c r="Q201" s="8">
        <f>IFERROR(VLOOKUP(VALUE(A201),WEEKLY_DATA!$A:$H,2,0),0)</f>
        <v>0</v>
      </c>
      <c r="R201" s="8">
        <f>IFERROR(VLOOKUP(VALUE(A201),WEEKLY_DATA!$A:$H,3,0),0)</f>
        <v>0</v>
      </c>
      <c r="S201" s="8">
        <f>IFERROR(VLOOKUP(VALUE(A201),WEEKLY_DATA!$A:$H,4,0),0)</f>
        <v>0</v>
      </c>
      <c r="T201" s="51">
        <f>IFERROR(VLOOKUP(VALUE(A201),WEEKLY_DATA!$A:$H,5,0),0)</f>
        <v>0</v>
      </c>
      <c r="U201" s="51">
        <f>IFERROR(VLOOKUP(VALUE(A201),WEEKLY_DATA!$A:$H,6,0),0)</f>
        <v>0</v>
      </c>
      <c r="V201" s="51">
        <f>IFERROR(VLOOKUP(VALUE(A201),WEEKLY_DATA!$A:$H,7,0),0)</f>
        <v>0</v>
      </c>
      <c r="W201" s="9" t="str">
        <f>IFERROR(IF(OR(Q201="",Q201=0),"",IF(VLOOKUP(VALUE($A201),WEEKLY_DATA!$A:$H,6,0)=0,"No Sales",Q201/(VLOOKUP(VALUE($A201),WEEKLY_DATA!$A:$H,6,0)/13))),"")</f>
        <v/>
      </c>
      <c r="X201" s="10">
        <f>IFERROR(VLOOKUP(VALUE(A201),WEEKLY_DATA!$A:$H,8,0),0)</f>
        <v>0</v>
      </c>
      <c r="Y201" s="13" t="str">
        <f t="shared" si="6"/>
        <v>—</v>
      </c>
      <c r="Z201" s="11"/>
      <c r="AA201" s="11"/>
      <c r="AB201" s="11"/>
      <c r="AC201" s="11"/>
      <c r="AD201" s="11"/>
      <c r="AE201" s="11"/>
      <c r="AF201" s="61"/>
      <c r="AG201" s="61"/>
      <c r="AH201" s="62"/>
      <c r="AI201" s="62"/>
      <c r="AJ201" s="61"/>
      <c r="AK201" s="61"/>
      <c r="AL201" s="61"/>
      <c r="AM201" s="58" t="str" cm="2">
        <f t="array" ref="AM201">IFERROR(LOOKUP(2, 1/SEARCH({"Black","White","Grey","Blue","Silver","Brown","Green","Blue","Purple","Red","Pink","Yellow","Gold"}, G201), {"Black","White","Grey","Blue","Silver","Brown","Green","Blue","Purple","Red","Pink","Yellow","Gold"}), "")</f>
        <v/>
      </c>
      <c r="AN201" s="58" t="str">
        <f>IFERROR(LOOKUP(2, 1/SEARCH({"8GB","16GB","32GB","64GB"}, G201), {"8GB","16GB","32GB","64GB"}), "")</f>
        <v/>
      </c>
      <c r="AO201" s="58" t="str">
        <f>IFERROR(LOOKUP(2, 1/SEARCH({"1TB","2TB","128GB","512GB","256GB"}, G201), {"1TB","2TB","128GB","512GB","256GB"}), "")</f>
        <v/>
      </c>
      <c r="AP201" s="58"/>
      <c r="AQ201" s="58" t="str">
        <f>IFERROR(LOOKUP(2, 1/SEARCH({"16-Inch","15-Inch","15.6-Inch","18-Inch","15.3-Inch","13-Inch","13.4-Inch","13.8-Inch","14-Inch","17-Inch","45-Inch","27-Inch","34-Inch","32-Inch","21.5-Inch"}, G201), {"16-Inch","15-Inch","15.6-Inch","18-Inch","15.3-Inch","13-Inch","13.4-Inch","13.8-Inch","14-Inch","17-Inch","45-Inch","27-Inch","34-Inch","32-Inch","21.5-Inch"}), "")</f>
        <v/>
      </c>
      <c r="AR201" s="58"/>
      <c r="AS201" s="91"/>
      <c r="AT201" s="93"/>
      <c r="AU201" s="93"/>
      <c r="AV201" s="93"/>
      <c r="AW201" s="93"/>
    </row>
    <row r="202" spans="1:49" ht="15" customHeight="1" x14ac:dyDescent="0.25">
      <c r="A202" s="59"/>
      <c r="B202" s="12"/>
      <c r="C202" s="12"/>
      <c r="D202" s="60"/>
      <c r="E202" s="6"/>
      <c r="F202" s="6"/>
      <c r="G202" s="12"/>
      <c r="H202" s="12" t="str" cm="2">
        <f t="array" ref="H202">IFERROR(INDEX(BrandList!$A$2:$A$50,MATCH(TRUE,ISNUMBER(SEARCH(BrandList!$A$2:$A$50,G202)),0)),"")</f>
        <v/>
      </c>
      <c r="I202" s="12" t="str" cm="2">
        <f t="array" ref="I202">IFERROR(INDEX(BrandList!$B$2:$B$200,MATCH(TRUE,ISNUMBER(SEARCH(BrandList!$B$2:$B$200,G202)),0)),"")</f>
        <v/>
      </c>
      <c r="J202" s="12"/>
      <c r="K202" s="59"/>
      <c r="L202" s="86"/>
      <c r="M202" s="86"/>
      <c r="N202" s="86"/>
      <c r="O202" s="86"/>
      <c r="P202" s="7" t="str">
        <f t="shared" si="7"/>
        <v/>
      </c>
      <c r="Q202" s="8">
        <f>IFERROR(VLOOKUP(VALUE(A202),WEEKLY_DATA!$A:$H,2,0),0)</f>
        <v>0</v>
      </c>
      <c r="R202" s="8">
        <f>IFERROR(VLOOKUP(VALUE(A202),WEEKLY_DATA!$A:$H,3,0),0)</f>
        <v>0</v>
      </c>
      <c r="S202" s="8">
        <f>IFERROR(VLOOKUP(VALUE(A202),WEEKLY_DATA!$A:$H,4,0),0)</f>
        <v>0</v>
      </c>
      <c r="T202" s="51">
        <f>IFERROR(VLOOKUP(VALUE(A202),WEEKLY_DATA!$A:$H,5,0),0)</f>
        <v>0</v>
      </c>
      <c r="U202" s="51">
        <f>IFERROR(VLOOKUP(VALUE(A202),WEEKLY_DATA!$A:$H,6,0),0)</f>
        <v>0</v>
      </c>
      <c r="V202" s="51">
        <f>IFERROR(VLOOKUP(VALUE(A202),WEEKLY_DATA!$A:$H,7,0),0)</f>
        <v>0</v>
      </c>
      <c r="W202" s="9" t="str">
        <f>IFERROR(IF(OR(Q202="",Q202=0),"",IF(VLOOKUP(VALUE($A202),WEEKLY_DATA!$A:$H,6,0)=0,"No Sales",Q202/(VLOOKUP(VALUE($A202),WEEKLY_DATA!$A:$H,6,0)/13))),"")</f>
        <v/>
      </c>
      <c r="X202" s="10">
        <f>IFERROR(VLOOKUP(VALUE(A202),WEEKLY_DATA!$A:$H,8,0),0)</f>
        <v>0</v>
      </c>
      <c r="Y202" s="13" t="str">
        <f t="shared" si="6"/>
        <v>—</v>
      </c>
      <c r="Z202" s="11"/>
      <c r="AA202" s="11"/>
      <c r="AB202" s="11"/>
      <c r="AC202" s="11"/>
      <c r="AD202" s="11"/>
      <c r="AE202" s="11"/>
      <c r="AF202" s="61" t="s">
        <v>144</v>
      </c>
      <c r="AG202" s="61"/>
      <c r="AH202" s="62"/>
      <c r="AI202" s="62"/>
      <c r="AJ202" s="61" t="s">
        <v>144</v>
      </c>
      <c r="AK202" s="61" t="s">
        <v>144</v>
      </c>
      <c r="AL202" s="61"/>
      <c r="AM202" s="58" t="str" cm="2">
        <f t="array" ref="AM202">IFERROR(LOOKUP(2, 1/SEARCH({"Black","White","Grey","Blue","Silver","Brown","Green","Blue","Purple","Red","Pink","Yellow","Gold"}, G202), {"Black","White","Grey","Blue","Silver","Brown","Green","Blue","Purple","Red","Pink","Yellow","Gold"}), "")</f>
        <v/>
      </c>
      <c r="AN202" s="58" t="str">
        <f>IFERROR(LOOKUP(2, 1/SEARCH({"8GB","16GB","32GB","64GB"}, G202), {"8GB","16GB","32GB","64GB"}), "")</f>
        <v/>
      </c>
      <c r="AO202" s="58" t="str">
        <f>IFERROR(LOOKUP(2, 1/SEARCH({"1TB","2TB","128GB","512GB","256GB"}, G202), {"1TB","2TB","128GB","512GB","256GB"}), "")</f>
        <v/>
      </c>
      <c r="AP202" s="58"/>
      <c r="AQ202" s="58" t="str">
        <f>IFERROR(LOOKUP(2, 1/SEARCH({"16-Inch","15-Inch","15.6-Inch","18-Inch","15.3-Inch","13-Inch","13.4-Inch","13.8-Inch","14-Inch","17-Inch","45-Inch","27-Inch","34-Inch","32-Inch","21.5-Inch"}, G202), {"16-Inch","15-Inch","15.6-Inch","18-Inch","15.3-Inch","13-Inch","13.4-Inch","13.8-Inch","14-Inch","17-Inch","45-Inch","27-Inch","34-Inch","32-Inch","21.5-Inch"}), "")</f>
        <v/>
      </c>
      <c r="AR202" s="58"/>
      <c r="AS202" s="91"/>
      <c r="AT202" s="93"/>
      <c r="AU202" s="93"/>
      <c r="AV202" s="93"/>
      <c r="AW202" s="93"/>
    </row>
    <row r="203" spans="1:49" ht="15" customHeight="1" x14ac:dyDescent="0.25">
      <c r="A203" s="59"/>
      <c r="B203" s="12"/>
      <c r="C203" s="12"/>
      <c r="D203" s="60"/>
      <c r="E203" s="6"/>
      <c r="F203" s="6"/>
      <c r="G203" s="12"/>
      <c r="H203" s="12" t="str" cm="2">
        <f t="array" ref="H203">IFERROR(INDEX(BrandList!$A$2:$A$50,MATCH(TRUE,ISNUMBER(SEARCH(BrandList!$A$2:$A$50,G203)),0)),"")</f>
        <v/>
      </c>
      <c r="I203" s="12" t="str" cm="2">
        <f t="array" ref="I203">IFERROR(INDEX(BrandList!$B$2:$B$200,MATCH(TRUE,ISNUMBER(SEARCH(BrandList!$B$2:$B$200,G203)),0)),"")</f>
        <v/>
      </c>
      <c r="J203" s="12"/>
      <c r="K203" s="59"/>
      <c r="L203" s="86"/>
      <c r="M203" s="86"/>
      <c r="N203" s="86"/>
      <c r="O203" s="86"/>
      <c r="P203" s="7" t="str">
        <f t="shared" si="7"/>
        <v/>
      </c>
      <c r="Q203" s="8">
        <f>IFERROR(VLOOKUP(VALUE(A203),WEEKLY_DATA!$A:$H,2,0),0)</f>
        <v>0</v>
      </c>
      <c r="R203" s="8">
        <f>IFERROR(VLOOKUP(VALUE(A203),WEEKLY_DATA!$A:$H,3,0),0)</f>
        <v>0</v>
      </c>
      <c r="S203" s="8">
        <f>IFERROR(VLOOKUP(VALUE(A203),WEEKLY_DATA!$A:$H,4,0),0)</f>
        <v>0</v>
      </c>
      <c r="T203" s="51">
        <f>IFERROR(VLOOKUP(VALUE(A203),WEEKLY_DATA!$A:$H,5,0),0)</f>
        <v>0</v>
      </c>
      <c r="U203" s="51">
        <f>IFERROR(VLOOKUP(VALUE(A203),WEEKLY_DATA!$A:$H,6,0),0)</f>
        <v>0</v>
      </c>
      <c r="V203" s="51">
        <f>IFERROR(VLOOKUP(VALUE(A203),WEEKLY_DATA!$A:$H,7,0),0)</f>
        <v>0</v>
      </c>
      <c r="W203" s="9" t="str">
        <f>IFERROR(IF(OR(Q203="",Q203=0),"",IF(VLOOKUP(VALUE($A203),WEEKLY_DATA!$A:$H,6,0)=0,"No Sales",Q203/(VLOOKUP(VALUE($A203),WEEKLY_DATA!$A:$H,6,0)/13))),"")</f>
        <v/>
      </c>
      <c r="X203" s="10">
        <f>IFERROR(VLOOKUP(VALUE(A203),WEEKLY_DATA!$A:$H,8,0),0)</f>
        <v>0</v>
      </c>
      <c r="Y203" s="13" t="str">
        <f t="shared" si="6"/>
        <v>—</v>
      </c>
      <c r="Z203" s="11"/>
      <c r="AA203" s="11"/>
      <c r="AB203" s="11"/>
      <c r="AC203" s="11"/>
      <c r="AD203" s="11"/>
      <c r="AE203" s="11"/>
      <c r="AF203" s="61" t="s">
        <v>144</v>
      </c>
      <c r="AG203" s="61"/>
      <c r="AH203" s="62"/>
      <c r="AI203" s="62"/>
      <c r="AJ203" s="61" t="s">
        <v>144</v>
      </c>
      <c r="AK203" s="61" t="s">
        <v>144</v>
      </c>
      <c r="AL203" s="61"/>
      <c r="AM203" s="58" t="str" cm="2">
        <f t="array" ref="AM203">IFERROR(LOOKUP(2, 1/SEARCH({"Black","White","Grey","Blue","Silver","Brown","Green","Blue","Purple","Red","Pink","Yellow","Gold"}, G203), {"Black","White","Grey","Blue","Silver","Brown","Green","Blue","Purple","Red","Pink","Yellow","Gold"}), "")</f>
        <v/>
      </c>
      <c r="AN203" s="58" t="str">
        <f>IFERROR(LOOKUP(2, 1/SEARCH({"8GB","16GB","32GB","64GB"}, G203), {"8GB","16GB","32GB","64GB"}), "")</f>
        <v/>
      </c>
      <c r="AO203" s="58" t="str">
        <f>IFERROR(LOOKUP(2, 1/SEARCH({"1TB","2TB","128GB","512GB","256GB"}, G203), {"1TB","2TB","128GB","512GB","256GB"}), "")</f>
        <v/>
      </c>
      <c r="AP203" s="58"/>
      <c r="AQ203" s="58" t="str">
        <f>IFERROR(LOOKUP(2, 1/SEARCH({"16-Inch","15-Inch","15.6-Inch","18-Inch","15.3-Inch","13-Inch","13.4-Inch","13.8-Inch","14-Inch","17-Inch","45-Inch","27-Inch","34-Inch","32-Inch","21.5-Inch"}, G203), {"16-Inch","15-Inch","15.6-Inch","18-Inch","15.3-Inch","13-Inch","13.4-Inch","13.8-Inch","14-Inch","17-Inch","45-Inch","27-Inch","34-Inch","32-Inch","21.5-Inch"}), "")</f>
        <v/>
      </c>
      <c r="AR203" s="58"/>
      <c r="AS203" s="91"/>
      <c r="AT203" s="93"/>
      <c r="AU203" s="93"/>
      <c r="AV203" s="93"/>
      <c r="AW203" s="93"/>
    </row>
    <row r="204" spans="1:49" ht="15" customHeight="1" x14ac:dyDescent="0.25">
      <c r="A204" s="59"/>
      <c r="B204" s="12"/>
      <c r="C204" s="12"/>
      <c r="D204" s="60"/>
      <c r="E204" s="6"/>
      <c r="F204" s="6"/>
      <c r="G204" s="12"/>
      <c r="H204" s="12" t="str" cm="2">
        <f t="array" ref="H204">IFERROR(INDEX(BrandList!$A$2:$A$50,MATCH(TRUE,ISNUMBER(SEARCH(BrandList!$A$2:$A$50,G204)),0)),"")</f>
        <v/>
      </c>
      <c r="I204" s="12" t="str" cm="2">
        <f t="array" ref="I204">IFERROR(INDEX(BrandList!$B$2:$B$200,MATCH(TRUE,ISNUMBER(SEARCH(BrandList!$B$2:$B$200,G204)),0)),"")</f>
        <v/>
      </c>
      <c r="J204" s="12"/>
      <c r="K204" s="59"/>
      <c r="L204" s="86"/>
      <c r="M204" s="86"/>
      <c r="N204" s="86"/>
      <c r="O204" s="86"/>
      <c r="P204" s="7" t="str">
        <f t="shared" si="7"/>
        <v/>
      </c>
      <c r="Q204" s="8">
        <f>IFERROR(VLOOKUP(VALUE(A204),WEEKLY_DATA!$A:$H,2,0),0)</f>
        <v>0</v>
      </c>
      <c r="R204" s="8">
        <f>IFERROR(VLOOKUP(VALUE(A204),WEEKLY_DATA!$A:$H,3,0),0)</f>
        <v>0</v>
      </c>
      <c r="S204" s="8">
        <f>IFERROR(VLOOKUP(VALUE(A204),WEEKLY_DATA!$A:$H,4,0),0)</f>
        <v>0</v>
      </c>
      <c r="T204" s="51">
        <f>IFERROR(VLOOKUP(VALUE(A204),WEEKLY_DATA!$A:$H,5,0),0)</f>
        <v>0</v>
      </c>
      <c r="U204" s="51">
        <f>IFERROR(VLOOKUP(VALUE(A204),WEEKLY_DATA!$A:$H,6,0),0)</f>
        <v>0</v>
      </c>
      <c r="V204" s="51">
        <f>IFERROR(VLOOKUP(VALUE(A204),WEEKLY_DATA!$A:$H,7,0),0)</f>
        <v>0</v>
      </c>
      <c r="W204" s="9" t="str">
        <f>IFERROR(IF(OR(Q204="",Q204=0),"",IF(VLOOKUP(VALUE($A204),WEEKLY_DATA!$A:$H,6,0)=0,"No Sales",Q204/(VLOOKUP(VALUE($A204),WEEKLY_DATA!$A:$H,6,0)/13))),"")</f>
        <v/>
      </c>
      <c r="X204" s="10">
        <f>IFERROR(VLOOKUP(VALUE(A204),WEEKLY_DATA!$A:$H,8,0),0)</f>
        <v>0</v>
      </c>
      <c r="Y204" s="13" t="str">
        <f t="shared" si="6"/>
        <v>—</v>
      </c>
      <c r="Z204" s="11"/>
      <c r="AA204" s="11"/>
      <c r="AB204" s="11"/>
      <c r="AC204" s="11"/>
      <c r="AD204" s="11"/>
      <c r="AE204" s="11"/>
      <c r="AF204" s="61" t="s">
        <v>144</v>
      </c>
      <c r="AG204" s="61"/>
      <c r="AH204" s="62"/>
      <c r="AI204" s="62"/>
      <c r="AJ204" s="61" t="s">
        <v>144</v>
      </c>
      <c r="AK204" s="61" t="s">
        <v>144</v>
      </c>
      <c r="AL204" s="61"/>
      <c r="AM204" s="58" t="str" cm="2">
        <f t="array" ref="AM204">IFERROR(LOOKUP(2, 1/SEARCH({"Black","White","Grey","Blue","Silver","Brown","Green","Blue","Purple","Red","Pink","Yellow","Gold"}, G204), {"Black","White","Grey","Blue","Silver","Brown","Green","Blue","Purple","Red","Pink","Yellow","Gold"}), "")</f>
        <v/>
      </c>
      <c r="AN204" s="58" t="str">
        <f>IFERROR(LOOKUP(2, 1/SEARCH({"8GB","16GB","32GB","64GB"}, G204), {"8GB","16GB","32GB","64GB"}), "")</f>
        <v/>
      </c>
      <c r="AO204" s="58" t="str">
        <f>IFERROR(LOOKUP(2, 1/SEARCH({"1TB","2TB","128GB","512GB","256GB"}, G204), {"1TB","2TB","128GB","512GB","256GB"}), "")</f>
        <v/>
      </c>
      <c r="AP204" s="58"/>
      <c r="AQ204" s="58" t="str">
        <f>IFERROR(LOOKUP(2, 1/SEARCH({"16-Inch","15-Inch","15.6-Inch","18-Inch","15.3-Inch","13-Inch","13.4-Inch","13.8-Inch","14-Inch","17-Inch","45-Inch","27-Inch","34-Inch","32-Inch","21.5-Inch"}, G204), {"16-Inch","15-Inch","15.6-Inch","18-Inch","15.3-Inch","13-Inch","13.4-Inch","13.8-Inch","14-Inch","17-Inch","45-Inch","27-Inch","34-Inch","32-Inch","21.5-Inch"}), "")</f>
        <v/>
      </c>
      <c r="AR204" s="58"/>
      <c r="AS204" s="91"/>
      <c r="AT204" s="93"/>
      <c r="AU204" s="93"/>
      <c r="AV204" s="93"/>
      <c r="AW204" s="93"/>
    </row>
    <row r="205" spans="1:49" ht="15" customHeight="1" x14ac:dyDescent="0.25">
      <c r="A205" s="59"/>
      <c r="B205" s="12"/>
      <c r="C205" s="12"/>
      <c r="D205" s="60"/>
      <c r="E205" s="6"/>
      <c r="F205" s="6"/>
      <c r="G205" s="12"/>
      <c r="H205" s="12" t="str" cm="2">
        <f t="array" ref="H205">IFERROR(INDEX(BrandList!$A$2:$A$50,MATCH(TRUE,ISNUMBER(SEARCH(BrandList!$A$2:$A$50,G205)),0)),"")</f>
        <v/>
      </c>
      <c r="I205" s="12" t="str" cm="2">
        <f t="array" ref="I205">IFERROR(INDEX(BrandList!$B$2:$B$200,MATCH(TRUE,ISNUMBER(SEARCH(BrandList!$B$2:$B$200,G205)),0)),"")</f>
        <v/>
      </c>
      <c r="J205" s="12"/>
      <c r="K205" s="59"/>
      <c r="L205" s="86"/>
      <c r="M205" s="86"/>
      <c r="N205" s="86"/>
      <c r="O205" s="86"/>
      <c r="P205" s="7" t="str">
        <f t="shared" si="7"/>
        <v/>
      </c>
      <c r="Q205" s="8">
        <f>IFERROR(VLOOKUP(VALUE(A205),WEEKLY_DATA!$A:$H,2,0),0)</f>
        <v>0</v>
      </c>
      <c r="R205" s="8">
        <f>IFERROR(VLOOKUP(VALUE(A205),WEEKLY_DATA!$A:$H,3,0),0)</f>
        <v>0</v>
      </c>
      <c r="S205" s="8">
        <f>IFERROR(VLOOKUP(VALUE(A205),WEEKLY_DATA!$A:$H,4,0),0)</f>
        <v>0</v>
      </c>
      <c r="T205" s="51">
        <f>IFERROR(VLOOKUP(VALUE(A205),WEEKLY_DATA!$A:$H,5,0),0)</f>
        <v>0</v>
      </c>
      <c r="U205" s="51">
        <f>IFERROR(VLOOKUP(VALUE(A205),WEEKLY_DATA!$A:$H,6,0),0)</f>
        <v>0</v>
      </c>
      <c r="V205" s="51">
        <f>IFERROR(VLOOKUP(VALUE(A205),WEEKLY_DATA!$A:$H,7,0),0)</f>
        <v>0</v>
      </c>
      <c r="W205" s="9" t="str">
        <f>IFERROR(IF(OR(Q205="",Q205=0),"",IF(VLOOKUP(VALUE($A205),WEEKLY_DATA!$A:$H,6,0)=0,"No Sales",Q205/(VLOOKUP(VALUE($A205),WEEKLY_DATA!$A:$H,6,0)/13))),"")</f>
        <v/>
      </c>
      <c r="X205" s="10">
        <f>IFERROR(VLOOKUP(VALUE(A205),WEEKLY_DATA!$A:$H,8,0),0)</f>
        <v>0</v>
      </c>
      <c r="Y205" s="13" t="str">
        <f t="shared" si="6"/>
        <v>—</v>
      </c>
      <c r="Z205" s="11"/>
      <c r="AA205" s="11"/>
      <c r="AB205" s="11"/>
      <c r="AC205" s="11"/>
      <c r="AD205" s="11"/>
      <c r="AE205" s="11"/>
      <c r="AF205" s="61" t="s">
        <v>144</v>
      </c>
      <c r="AG205" s="61"/>
      <c r="AH205" s="62"/>
      <c r="AI205" s="62"/>
      <c r="AJ205" s="61" t="s">
        <v>144</v>
      </c>
      <c r="AK205" s="61" t="s">
        <v>144</v>
      </c>
      <c r="AL205" s="61"/>
      <c r="AM205" s="58" t="str" cm="2">
        <f t="array" ref="AM205">IFERROR(LOOKUP(2, 1/SEARCH({"Black","White","Grey","Blue","Silver","Brown","Green","Blue","Purple","Red","Pink","Yellow","Gold"}, G205), {"Black","White","Grey","Blue","Silver","Brown","Green","Blue","Purple","Red","Pink","Yellow","Gold"}), "")</f>
        <v/>
      </c>
      <c r="AN205" s="58" t="str">
        <f>IFERROR(LOOKUP(2, 1/SEARCH({"8GB","16GB","32GB","64GB"}, G205), {"8GB","16GB","32GB","64GB"}), "")</f>
        <v/>
      </c>
      <c r="AO205" s="58" t="str">
        <f>IFERROR(LOOKUP(2, 1/SEARCH({"1TB","2TB","128GB","512GB","256GB"}, G205), {"1TB","2TB","128GB","512GB","256GB"}), "")</f>
        <v/>
      </c>
      <c r="AP205" s="58"/>
      <c r="AQ205" s="58" t="str">
        <f>IFERROR(LOOKUP(2, 1/SEARCH({"16-Inch","15-Inch","15.6-Inch","18-Inch","15.3-Inch","13-Inch","13.4-Inch","13.8-Inch","14-Inch","17-Inch","45-Inch","27-Inch","34-Inch","32-Inch","21.5-Inch"}, G205), {"16-Inch","15-Inch","15.6-Inch","18-Inch","15.3-Inch","13-Inch","13.4-Inch","13.8-Inch","14-Inch","17-Inch","45-Inch","27-Inch","34-Inch","32-Inch","21.5-Inch"}), "")</f>
        <v/>
      </c>
      <c r="AR205" s="58"/>
      <c r="AS205" s="91"/>
      <c r="AT205" s="93"/>
      <c r="AU205" s="93"/>
      <c r="AV205" s="93"/>
      <c r="AW205" s="93"/>
    </row>
    <row r="206" spans="1:49" ht="15" customHeight="1" x14ac:dyDescent="0.25">
      <c r="A206" s="59"/>
      <c r="B206" s="12"/>
      <c r="C206" s="12"/>
      <c r="D206" s="60"/>
      <c r="E206" s="6"/>
      <c r="F206" s="6"/>
      <c r="G206" s="12"/>
      <c r="H206" s="12" t="str" cm="2">
        <f t="array" ref="H206">IFERROR(INDEX(BrandList!$A$2:$A$50,MATCH(TRUE,ISNUMBER(SEARCH(BrandList!$A$2:$A$50,G206)),0)),"")</f>
        <v/>
      </c>
      <c r="I206" s="12" t="str" cm="2">
        <f t="array" ref="I206">IFERROR(INDEX(BrandList!$B$2:$B$200,MATCH(TRUE,ISNUMBER(SEARCH(BrandList!$B$2:$B$200,G206)),0)),"")</f>
        <v/>
      </c>
      <c r="J206" s="12"/>
      <c r="K206" s="59"/>
      <c r="L206" s="86"/>
      <c r="M206" s="86"/>
      <c r="N206" s="86"/>
      <c r="O206" s="86"/>
      <c r="P206" s="7" t="str">
        <f t="shared" si="7"/>
        <v/>
      </c>
      <c r="Q206" s="8">
        <f>IFERROR(VLOOKUP(VALUE(A206),WEEKLY_DATA!$A:$H,2,0),0)</f>
        <v>0</v>
      </c>
      <c r="R206" s="8">
        <f>IFERROR(VLOOKUP(VALUE(A206),WEEKLY_DATA!$A:$H,3,0),0)</f>
        <v>0</v>
      </c>
      <c r="S206" s="8">
        <f>IFERROR(VLOOKUP(VALUE(A206),WEEKLY_DATA!$A:$H,4,0),0)</f>
        <v>0</v>
      </c>
      <c r="T206" s="51">
        <f>IFERROR(VLOOKUP(VALUE(A206),WEEKLY_DATA!$A:$H,5,0),0)</f>
        <v>0</v>
      </c>
      <c r="U206" s="51">
        <f>IFERROR(VLOOKUP(VALUE(A206),WEEKLY_DATA!$A:$H,6,0),0)</f>
        <v>0</v>
      </c>
      <c r="V206" s="51">
        <f>IFERROR(VLOOKUP(VALUE(A206),WEEKLY_DATA!$A:$H,7,0),0)</f>
        <v>0</v>
      </c>
      <c r="W206" s="9" t="str">
        <f>IFERROR(IF(OR(Q206="",Q206=0),"",IF(VLOOKUP(VALUE($A206),WEEKLY_DATA!$A:$H,6,0)=0,"No Sales",Q206/(VLOOKUP(VALUE($A206),WEEKLY_DATA!$A:$H,6,0)/13))),"")</f>
        <v/>
      </c>
      <c r="X206" s="10">
        <f>IFERROR(VLOOKUP(VALUE(A206),WEEKLY_DATA!$A:$H,8,0),0)</f>
        <v>0</v>
      </c>
      <c r="Y206" s="13" t="str">
        <f t="shared" si="6"/>
        <v>—</v>
      </c>
      <c r="Z206" s="11"/>
      <c r="AA206" s="11"/>
      <c r="AB206" s="11"/>
      <c r="AC206" s="11"/>
      <c r="AD206" s="11"/>
      <c r="AE206" s="11"/>
      <c r="AF206" s="61" t="s">
        <v>144</v>
      </c>
      <c r="AG206" s="61"/>
      <c r="AH206" s="62"/>
      <c r="AI206" s="62"/>
      <c r="AJ206" s="61" t="s">
        <v>144</v>
      </c>
      <c r="AK206" s="61" t="s">
        <v>144</v>
      </c>
      <c r="AL206" s="61"/>
      <c r="AM206" s="58" t="str" cm="2">
        <f t="array" ref="AM206">IFERROR(LOOKUP(2, 1/SEARCH({"Black","White","Grey","Blue","Silver","Brown","Green","Blue","Purple","Red","Pink","Yellow","Gold"}, G206), {"Black","White","Grey","Blue","Silver","Brown","Green","Blue","Purple","Red","Pink","Yellow","Gold"}), "")</f>
        <v/>
      </c>
      <c r="AN206" s="58" t="str">
        <f>IFERROR(LOOKUP(2, 1/SEARCH({"8GB","16GB","32GB","64GB"}, G206), {"8GB","16GB","32GB","64GB"}), "")</f>
        <v/>
      </c>
      <c r="AO206" s="58" t="str">
        <f>IFERROR(LOOKUP(2, 1/SEARCH({"1TB","2TB","128GB","512GB","256GB"}, G206), {"1TB","2TB","128GB","512GB","256GB"}), "")</f>
        <v/>
      </c>
      <c r="AP206" s="58"/>
      <c r="AQ206" s="58" t="str">
        <f>IFERROR(LOOKUP(2, 1/SEARCH({"16-Inch","15-Inch","15.6-Inch","18-Inch","15.3-Inch","13-Inch","13.4-Inch","13.8-Inch","14-Inch","17-Inch","45-Inch","27-Inch","34-Inch","32-Inch","21.5-Inch"}, G206), {"16-Inch","15-Inch","15.6-Inch","18-Inch","15.3-Inch","13-Inch","13.4-Inch","13.8-Inch","14-Inch","17-Inch","45-Inch","27-Inch","34-Inch","32-Inch","21.5-Inch"}), "")</f>
        <v/>
      </c>
      <c r="AR206" s="58"/>
      <c r="AS206" s="91"/>
      <c r="AT206" s="93"/>
      <c r="AU206" s="93"/>
      <c r="AV206" s="93"/>
      <c r="AW206" s="93"/>
    </row>
    <row r="207" spans="1:49" ht="15" customHeight="1" x14ac:dyDescent="0.25">
      <c r="A207" s="59"/>
      <c r="B207" s="12"/>
      <c r="C207" s="12"/>
      <c r="D207" s="60"/>
      <c r="E207" s="6"/>
      <c r="F207" s="6"/>
      <c r="G207" s="12"/>
      <c r="H207" s="12" t="str" cm="2">
        <f t="array" ref="H207">IFERROR(INDEX(BrandList!$A$2:$A$50,MATCH(TRUE,ISNUMBER(SEARCH(BrandList!$A$2:$A$50,G207)),0)),"")</f>
        <v/>
      </c>
      <c r="I207" s="12" t="str" cm="2">
        <f t="array" ref="I207">IFERROR(INDEX(BrandList!$B$2:$B$200,MATCH(TRUE,ISNUMBER(SEARCH(BrandList!$B$2:$B$200,G207)),0)),"")</f>
        <v/>
      </c>
      <c r="J207" s="12"/>
      <c r="K207" s="12"/>
      <c r="L207" s="60"/>
      <c r="M207" s="60"/>
      <c r="N207" s="60"/>
      <c r="O207" s="60"/>
      <c r="P207" s="7" t="str">
        <f t="shared" si="7"/>
        <v/>
      </c>
      <c r="Q207" s="8">
        <f>IFERROR(VLOOKUP(VALUE(A207),WEEKLY_DATA!$A:$H,2,0),0)</f>
        <v>0</v>
      </c>
      <c r="R207" s="8">
        <f>IFERROR(VLOOKUP(VALUE(A207),WEEKLY_DATA!$A:$H,3,0),0)</f>
        <v>0</v>
      </c>
      <c r="S207" s="8">
        <f>IFERROR(VLOOKUP(VALUE(A207),WEEKLY_DATA!$A:$H,4,0),0)</f>
        <v>0</v>
      </c>
      <c r="T207" s="51">
        <f>IFERROR(VLOOKUP(VALUE(A207),WEEKLY_DATA!$A:$H,5,0),0)</f>
        <v>0</v>
      </c>
      <c r="U207" s="51">
        <f>IFERROR(VLOOKUP(VALUE(A207),WEEKLY_DATA!$A:$H,6,0),0)</f>
        <v>0</v>
      </c>
      <c r="V207" s="51">
        <f>IFERROR(VLOOKUP(VALUE(A207),WEEKLY_DATA!$A:$H,7,0),0)</f>
        <v>0</v>
      </c>
      <c r="W207" s="9" t="str">
        <f>IFERROR(IF(OR(Q207="",Q207=0),"",IF(VLOOKUP(VALUE($A207),WEEKLY_DATA!$A:$H,6,0)=0,"No Sales",Q207/(VLOOKUP(VALUE($A207),WEEKLY_DATA!$A:$H,6,0)/13))),"")</f>
        <v/>
      </c>
      <c r="X207" s="10">
        <f>IFERROR(VLOOKUP(VALUE(A207),WEEKLY_DATA!$A:$H,8,0),0)</f>
        <v>0</v>
      </c>
      <c r="Y207" s="13" t="str">
        <f t="shared" si="6"/>
        <v>—</v>
      </c>
      <c r="Z207" s="11"/>
      <c r="AA207" s="11"/>
      <c r="AB207" s="11"/>
      <c r="AC207" s="11"/>
      <c r="AD207" s="11"/>
      <c r="AE207" s="11"/>
      <c r="AF207" s="61" t="s">
        <v>144</v>
      </c>
      <c r="AG207" s="61"/>
      <c r="AH207" s="62"/>
      <c r="AI207" s="62"/>
      <c r="AJ207" s="61" t="s">
        <v>144</v>
      </c>
      <c r="AK207" s="61" t="s">
        <v>144</v>
      </c>
      <c r="AL207" s="61"/>
      <c r="AM207" s="58" t="str" cm="2">
        <f t="array" ref="AM207">IFERROR(LOOKUP(2, 1/SEARCH({"Black","White","Grey","Blue","Silver","Brown","Green","Blue","Purple","Red","Pink","Yellow","Gold"}, G207), {"Black","White","Grey","Blue","Silver","Brown","Green","Blue","Purple","Red","Pink","Yellow","Gold"}), "")</f>
        <v/>
      </c>
      <c r="AN207" s="58" t="str">
        <f>IFERROR(LOOKUP(2, 1/SEARCH({"8GB","16GB","32GB","64GB"}, G207), {"8GB","16GB","32GB","64GB"}), "")</f>
        <v/>
      </c>
      <c r="AO207" s="58" t="str">
        <f>IFERROR(LOOKUP(2, 1/SEARCH({"1TB","2TB","128GB","512GB","256GB"}, G207), {"1TB","2TB","128GB","512GB","256GB"}), "")</f>
        <v/>
      </c>
      <c r="AP207" s="58"/>
      <c r="AQ207" s="58" t="str">
        <f>IFERROR(LOOKUP(2, 1/SEARCH({"16-Inch","15-Inch","15.6-Inch","18-Inch","15.3-Inch","13-Inch","13.4-Inch","13.8-Inch","14-Inch","17-Inch","45-Inch","27-Inch","34-Inch","32-Inch","21.5-Inch"}, G207), {"16-Inch","15-Inch","15.6-Inch","18-Inch","15.3-Inch","13-Inch","13.4-Inch","13.8-Inch","14-Inch","17-Inch","45-Inch","27-Inch","34-Inch","32-Inch","21.5-Inch"}), "")</f>
        <v/>
      </c>
      <c r="AR207" s="58"/>
      <c r="AS207" s="91"/>
      <c r="AT207" s="93"/>
      <c r="AU207" s="93"/>
      <c r="AV207" s="93"/>
      <c r="AW207" s="93"/>
    </row>
    <row r="208" spans="1:49" ht="15" customHeight="1" x14ac:dyDescent="0.25">
      <c r="A208" s="59"/>
      <c r="B208" s="12"/>
      <c r="C208" s="12"/>
      <c r="D208" s="60"/>
      <c r="E208" s="6"/>
      <c r="F208" s="6"/>
      <c r="G208" s="12"/>
      <c r="H208" s="12" t="str" cm="2">
        <f t="array" ref="H208">IFERROR(INDEX(BrandList!$A$2:$A$50,MATCH(TRUE,ISNUMBER(SEARCH(BrandList!$A$2:$A$50,G208)),0)),"")</f>
        <v/>
      </c>
      <c r="I208" s="12" t="str" cm="2">
        <f t="array" ref="I208">IFERROR(INDEX(BrandList!$B$2:$B$200,MATCH(TRUE,ISNUMBER(SEARCH(BrandList!$B$2:$B$200,G208)),0)),"")</f>
        <v/>
      </c>
      <c r="J208" s="12"/>
      <c r="K208" s="59"/>
      <c r="L208" s="86"/>
      <c r="M208" s="86"/>
      <c r="N208" s="86"/>
      <c r="O208" s="86"/>
      <c r="P208" s="7" t="str">
        <f t="shared" si="7"/>
        <v/>
      </c>
      <c r="Q208" s="8">
        <f>IFERROR(VLOOKUP(VALUE(A208),WEEKLY_DATA!$A:$H,2,0),0)</f>
        <v>0</v>
      </c>
      <c r="R208" s="8">
        <f>IFERROR(VLOOKUP(VALUE(A208),WEEKLY_DATA!$A:$H,3,0),0)</f>
        <v>0</v>
      </c>
      <c r="S208" s="8">
        <f>IFERROR(VLOOKUP(VALUE(A208),WEEKLY_DATA!$A:$H,4,0),0)</f>
        <v>0</v>
      </c>
      <c r="T208" s="51">
        <f>IFERROR(VLOOKUP(VALUE(A208),WEEKLY_DATA!$A:$H,5,0),0)</f>
        <v>0</v>
      </c>
      <c r="U208" s="51">
        <f>IFERROR(VLOOKUP(VALUE(A208),WEEKLY_DATA!$A:$H,6,0),0)</f>
        <v>0</v>
      </c>
      <c r="V208" s="51">
        <f>IFERROR(VLOOKUP(VALUE(A208),WEEKLY_DATA!$A:$H,7,0),0)</f>
        <v>0</v>
      </c>
      <c r="W208" s="9" t="str">
        <f>IFERROR(IF(OR(Q208="",Q208=0),"",IF(VLOOKUP(VALUE($A208),WEEKLY_DATA!$A:$H,6,0)=0,"No Sales",Q208/(VLOOKUP(VALUE($A208),WEEKLY_DATA!$A:$H,6,0)/13))),"")</f>
        <v/>
      </c>
      <c r="X208" s="10">
        <f>IFERROR(VLOOKUP(VALUE(A208),WEEKLY_DATA!$A:$H,8,0),0)</f>
        <v>0</v>
      </c>
      <c r="Y208" s="13" t="str">
        <f t="shared" si="6"/>
        <v>—</v>
      </c>
      <c r="Z208" s="11"/>
      <c r="AA208" s="11"/>
      <c r="AB208" s="11"/>
      <c r="AC208" s="11"/>
      <c r="AD208" s="11"/>
      <c r="AE208" s="11"/>
      <c r="AF208" s="61" t="s">
        <v>144</v>
      </c>
      <c r="AG208" s="61"/>
      <c r="AH208" s="62"/>
      <c r="AI208" s="62"/>
      <c r="AJ208" s="61" t="s">
        <v>144</v>
      </c>
      <c r="AK208" s="61" t="s">
        <v>144</v>
      </c>
      <c r="AL208" s="61"/>
      <c r="AM208" s="58" t="str" cm="2">
        <f t="array" ref="AM208">IFERROR(LOOKUP(2, 1/SEARCH({"Black","White","Grey","Blue","Silver","Brown","Green","Blue","Purple","Red","Pink","Yellow","Gold"}, G208), {"Black","White","Grey","Blue","Silver","Brown","Green","Blue","Purple","Red","Pink","Yellow","Gold"}), "")</f>
        <v/>
      </c>
      <c r="AN208" s="58" t="str">
        <f>IFERROR(LOOKUP(2, 1/SEARCH({"8GB","16GB","32GB","64GB"}, G208), {"8GB","16GB","32GB","64GB"}), "")</f>
        <v/>
      </c>
      <c r="AO208" s="58" t="str">
        <f>IFERROR(LOOKUP(2, 1/SEARCH({"1TB","2TB","128GB","512GB","256GB"}, G208), {"1TB","2TB","128GB","512GB","256GB"}), "")</f>
        <v/>
      </c>
      <c r="AP208" s="58"/>
      <c r="AQ208" s="58" t="str">
        <f>IFERROR(LOOKUP(2, 1/SEARCH({"16-Inch","15-Inch","15.6-Inch","18-Inch","15.3-Inch","13-Inch","13.4-Inch","13.8-Inch","14-Inch","17-Inch","45-Inch","27-Inch","34-Inch","32-Inch","21.5-Inch"}, G208), {"16-Inch","15-Inch","15.6-Inch","18-Inch","15.3-Inch","13-Inch","13.4-Inch","13.8-Inch","14-Inch","17-Inch","45-Inch","27-Inch","34-Inch","32-Inch","21.5-Inch"}), "")</f>
        <v/>
      </c>
      <c r="AR208" s="58"/>
      <c r="AS208" s="91"/>
      <c r="AT208" s="93"/>
      <c r="AU208" s="93"/>
      <c r="AV208" s="93"/>
      <c r="AW208" s="93"/>
    </row>
    <row r="209" spans="1:49" ht="15" customHeight="1" x14ac:dyDescent="0.25">
      <c r="A209" s="59"/>
      <c r="B209" s="12"/>
      <c r="C209" s="12"/>
      <c r="D209" s="60"/>
      <c r="E209" s="6"/>
      <c r="F209" s="6"/>
      <c r="G209" s="12"/>
      <c r="H209" s="12" t="str" cm="2">
        <f t="array" ref="H209">IFERROR(INDEX(BrandList!$A$2:$A$50,MATCH(TRUE,ISNUMBER(SEARCH(BrandList!$A$2:$A$50,G209)),0)),"")</f>
        <v/>
      </c>
      <c r="I209" s="12" t="str" cm="2">
        <f t="array" ref="I209">IFERROR(INDEX(BrandList!$B$2:$B$200,MATCH(TRUE,ISNUMBER(SEARCH(BrandList!$B$2:$B$200,G209)),0)),"")</f>
        <v/>
      </c>
      <c r="J209" s="12"/>
      <c r="K209" s="59"/>
      <c r="L209" s="86"/>
      <c r="M209" s="86"/>
      <c r="N209" s="86"/>
      <c r="O209" s="86"/>
      <c r="P209" s="7" t="str">
        <f t="shared" si="7"/>
        <v/>
      </c>
      <c r="Q209" s="8">
        <f>IFERROR(VLOOKUP(VALUE(A209),WEEKLY_DATA!$A:$H,2,0),0)</f>
        <v>0</v>
      </c>
      <c r="R209" s="8">
        <f>IFERROR(VLOOKUP(VALUE(A209),WEEKLY_DATA!$A:$H,3,0),0)</f>
        <v>0</v>
      </c>
      <c r="S209" s="8">
        <f>IFERROR(VLOOKUP(VALUE(A209),WEEKLY_DATA!$A:$H,4,0),0)</f>
        <v>0</v>
      </c>
      <c r="T209" s="51">
        <f>IFERROR(VLOOKUP(VALUE(A209),WEEKLY_DATA!$A:$H,5,0),0)</f>
        <v>0</v>
      </c>
      <c r="U209" s="51">
        <f>IFERROR(VLOOKUP(VALUE(A209),WEEKLY_DATA!$A:$H,6,0),0)</f>
        <v>0</v>
      </c>
      <c r="V209" s="51">
        <f>IFERROR(VLOOKUP(VALUE(A209),WEEKLY_DATA!$A:$H,7,0),0)</f>
        <v>0</v>
      </c>
      <c r="W209" s="9" t="str">
        <f>IFERROR(IF(OR(Q209="",Q209=0),"",IF(VLOOKUP(VALUE($A209),WEEKLY_DATA!$A:$H,6,0)=0,"No Sales",Q209/(VLOOKUP(VALUE($A209),WEEKLY_DATA!$A:$H,6,0)/13))),"")</f>
        <v/>
      </c>
      <c r="X209" s="10">
        <f>IFERROR(VLOOKUP(VALUE(A209),WEEKLY_DATA!$A:$H,8,0),0)</f>
        <v>0</v>
      </c>
      <c r="Y209" s="13" t="str">
        <f t="shared" si="6"/>
        <v>—</v>
      </c>
      <c r="Z209" s="11"/>
      <c r="AA209" s="11"/>
      <c r="AB209" s="11"/>
      <c r="AC209" s="11"/>
      <c r="AD209" s="11"/>
      <c r="AE209" s="11"/>
      <c r="AF209" s="61" t="s">
        <v>144</v>
      </c>
      <c r="AG209" s="61"/>
      <c r="AH209" s="62"/>
      <c r="AI209" s="62"/>
      <c r="AJ209" s="61" t="s">
        <v>144</v>
      </c>
      <c r="AK209" s="61" t="s">
        <v>144</v>
      </c>
      <c r="AL209" s="61"/>
      <c r="AM209" s="58" t="str" cm="2">
        <f t="array" ref="AM209">IFERROR(LOOKUP(2, 1/SEARCH({"Black","White","Grey","Blue","Silver","Brown","Green","Blue","Purple","Red","Pink","Yellow","Gold"}, G209), {"Black","White","Grey","Blue","Silver","Brown","Green","Blue","Purple","Red","Pink","Yellow","Gold"}), "")</f>
        <v/>
      </c>
      <c r="AN209" s="58" t="str">
        <f>IFERROR(LOOKUP(2, 1/SEARCH({"8GB","16GB","32GB","64GB"}, G209), {"8GB","16GB","32GB","64GB"}), "")</f>
        <v/>
      </c>
      <c r="AO209" s="58" t="str">
        <f>IFERROR(LOOKUP(2, 1/SEARCH({"1TB","2TB","128GB","512GB","256GB"}, G209), {"1TB","2TB","128GB","512GB","256GB"}), "")</f>
        <v/>
      </c>
      <c r="AP209" s="58"/>
      <c r="AQ209" s="58" t="str">
        <f>IFERROR(LOOKUP(2, 1/SEARCH({"16-Inch","15-Inch","15.6-Inch","18-Inch","15.3-Inch","13-Inch","13.4-Inch","13.8-Inch","14-Inch","17-Inch","45-Inch","27-Inch","34-Inch","32-Inch","21.5-Inch"}, G209), {"16-Inch","15-Inch","15.6-Inch","18-Inch","15.3-Inch","13-Inch","13.4-Inch","13.8-Inch","14-Inch","17-Inch","45-Inch","27-Inch","34-Inch","32-Inch","21.5-Inch"}), "")</f>
        <v/>
      </c>
      <c r="AR209" s="58"/>
      <c r="AS209" s="91"/>
      <c r="AT209" s="93"/>
      <c r="AU209" s="93"/>
      <c r="AV209" s="93"/>
      <c r="AW209" s="93"/>
    </row>
    <row r="210" spans="1:49" ht="15" customHeight="1" x14ac:dyDescent="0.25">
      <c r="A210" s="59"/>
      <c r="B210" s="12"/>
      <c r="C210" s="12"/>
      <c r="D210" s="60"/>
      <c r="E210" s="6"/>
      <c r="F210" s="6"/>
      <c r="G210" s="12"/>
      <c r="H210" s="12" t="str" cm="2">
        <f t="array" ref="H210">IFERROR(INDEX(BrandList!$A$2:$A$50,MATCH(TRUE,ISNUMBER(SEARCH(BrandList!$A$2:$A$50,G210)),0)),"")</f>
        <v/>
      </c>
      <c r="I210" s="12" t="str" cm="2">
        <f t="array" ref="I210">IFERROR(INDEX(BrandList!$B$2:$B$200,MATCH(TRUE,ISNUMBER(SEARCH(BrandList!$B$2:$B$200,G210)),0)),"")</f>
        <v/>
      </c>
      <c r="J210" s="12"/>
      <c r="K210" s="12"/>
      <c r="L210" s="60"/>
      <c r="M210" s="60"/>
      <c r="N210" s="60"/>
      <c r="O210" s="60"/>
      <c r="P210" s="7" t="str">
        <f t="shared" si="7"/>
        <v/>
      </c>
      <c r="Q210" s="8">
        <f>IFERROR(VLOOKUP(VALUE(A210),WEEKLY_DATA!$A:$H,2,0),0)</f>
        <v>0</v>
      </c>
      <c r="R210" s="8">
        <f>IFERROR(VLOOKUP(VALUE(A210),WEEKLY_DATA!$A:$H,3,0),0)</f>
        <v>0</v>
      </c>
      <c r="S210" s="8">
        <f>IFERROR(VLOOKUP(VALUE(A210),WEEKLY_DATA!$A:$H,4,0),0)</f>
        <v>0</v>
      </c>
      <c r="T210" s="51">
        <f>IFERROR(VLOOKUP(VALUE(A210),WEEKLY_DATA!$A:$H,5,0),0)</f>
        <v>0</v>
      </c>
      <c r="U210" s="51">
        <f>IFERROR(VLOOKUP(VALUE(A210),WEEKLY_DATA!$A:$H,6,0),0)</f>
        <v>0</v>
      </c>
      <c r="V210" s="51">
        <f>IFERROR(VLOOKUP(VALUE(A210),WEEKLY_DATA!$A:$H,7,0),0)</f>
        <v>0</v>
      </c>
      <c r="W210" s="9" t="str">
        <f>IFERROR(IF(OR(Q210="",Q210=0),"",IF(VLOOKUP(VALUE($A210),WEEKLY_DATA!$A:$H,6,0)=0,"No Sales",Q210/(VLOOKUP(VALUE($A210),WEEKLY_DATA!$A:$H,6,0)/13))),"")</f>
        <v/>
      </c>
      <c r="X210" s="10">
        <f>IFERROR(VLOOKUP(VALUE(A210),WEEKLY_DATA!$A:$H,8,0),0)</f>
        <v>0</v>
      </c>
      <c r="Y210" s="13" t="str">
        <f t="shared" si="6"/>
        <v>—</v>
      </c>
      <c r="Z210" s="11"/>
      <c r="AA210" s="11"/>
      <c r="AB210" s="11"/>
      <c r="AC210" s="11"/>
      <c r="AD210" s="11"/>
      <c r="AE210" s="11"/>
      <c r="AF210" s="61" t="s">
        <v>144</v>
      </c>
      <c r="AG210" s="61"/>
      <c r="AH210" s="62"/>
      <c r="AI210" s="62"/>
      <c r="AJ210" s="61" t="s">
        <v>144</v>
      </c>
      <c r="AK210" s="61" t="s">
        <v>144</v>
      </c>
      <c r="AL210" s="61"/>
      <c r="AM210" s="58" t="str" cm="2">
        <f t="array" ref="AM210">IFERROR(LOOKUP(2, 1/SEARCH({"Black","White","Grey","Blue","Silver","Brown","Green","Blue","Purple","Red","Pink","Yellow","Gold"}, G210), {"Black","White","Grey","Blue","Silver","Brown","Green","Blue","Purple","Red","Pink","Yellow","Gold"}), "")</f>
        <v/>
      </c>
      <c r="AN210" s="58" t="str">
        <f>IFERROR(LOOKUP(2, 1/SEARCH({"8GB","16GB","32GB","64GB"}, G210), {"8GB","16GB","32GB","64GB"}), "")</f>
        <v/>
      </c>
      <c r="AO210" s="58" t="str">
        <f>IFERROR(LOOKUP(2, 1/SEARCH({"1TB","2TB","128GB","512GB","256GB"}, G210), {"1TB","2TB","128GB","512GB","256GB"}), "")</f>
        <v/>
      </c>
      <c r="AP210" s="58"/>
      <c r="AQ210" s="58" t="str">
        <f>IFERROR(LOOKUP(2, 1/SEARCH({"16-Inch","15-Inch","15.6-Inch","18-Inch","15.3-Inch","13-Inch","13.4-Inch","13.8-Inch","14-Inch","17-Inch","45-Inch","27-Inch","34-Inch","32-Inch","21.5-Inch"}, G210), {"16-Inch","15-Inch","15.6-Inch","18-Inch","15.3-Inch","13-Inch","13.4-Inch","13.8-Inch","14-Inch","17-Inch","45-Inch","27-Inch","34-Inch","32-Inch","21.5-Inch"}), "")</f>
        <v/>
      </c>
      <c r="AR210" s="58"/>
      <c r="AS210" s="91"/>
      <c r="AT210" s="93"/>
      <c r="AU210" s="93"/>
      <c r="AV210" s="93"/>
      <c r="AW210" s="93"/>
    </row>
    <row r="211" spans="1:49" ht="15" customHeight="1" x14ac:dyDescent="0.25">
      <c r="A211" s="59"/>
      <c r="B211" s="12"/>
      <c r="C211" s="12"/>
      <c r="D211" s="60"/>
      <c r="E211" s="6"/>
      <c r="F211" s="6"/>
      <c r="G211" s="12"/>
      <c r="H211" s="12" t="str" cm="2">
        <f t="array" ref="H211">IFERROR(INDEX(BrandList!$A$2:$A$50,MATCH(TRUE,ISNUMBER(SEARCH(BrandList!$A$2:$A$50,G211)),0)),"")</f>
        <v/>
      </c>
      <c r="I211" s="12" t="str" cm="2">
        <f t="array" ref="I211">IFERROR(INDEX(BrandList!$B$2:$B$200,MATCH(TRUE,ISNUMBER(SEARCH(BrandList!$B$2:$B$200,G211)),0)),"")</f>
        <v/>
      </c>
      <c r="J211" s="12"/>
      <c r="K211" s="59"/>
      <c r="L211" s="86"/>
      <c r="M211" s="86"/>
      <c r="N211" s="86"/>
      <c r="O211" s="86"/>
      <c r="P211" s="7" t="str">
        <f t="shared" si="7"/>
        <v/>
      </c>
      <c r="Q211" s="8">
        <f>IFERROR(VLOOKUP(VALUE(A211),WEEKLY_DATA!$A:$H,2,0),0)</f>
        <v>0</v>
      </c>
      <c r="R211" s="8">
        <f>IFERROR(VLOOKUP(VALUE(A211),WEEKLY_DATA!$A:$H,3,0),0)</f>
        <v>0</v>
      </c>
      <c r="S211" s="8">
        <f>IFERROR(VLOOKUP(VALUE(A211),WEEKLY_DATA!$A:$H,4,0),0)</f>
        <v>0</v>
      </c>
      <c r="T211" s="51">
        <f>IFERROR(VLOOKUP(VALUE(A211),WEEKLY_DATA!$A:$H,5,0),0)</f>
        <v>0</v>
      </c>
      <c r="U211" s="51">
        <f>IFERROR(VLOOKUP(VALUE(A211),WEEKLY_DATA!$A:$H,6,0),0)</f>
        <v>0</v>
      </c>
      <c r="V211" s="51">
        <f>IFERROR(VLOOKUP(VALUE(A211),WEEKLY_DATA!$A:$H,7,0),0)</f>
        <v>0</v>
      </c>
      <c r="W211" s="9" t="str">
        <f>IFERROR(IF(OR(Q211="",Q211=0),"",IF(VLOOKUP(VALUE($A211),WEEKLY_DATA!$A:$H,6,0)=0,"No Sales",Q211/(VLOOKUP(VALUE($A211),WEEKLY_DATA!$A:$H,6,0)/13))),"")</f>
        <v/>
      </c>
      <c r="X211" s="10">
        <f>IFERROR(VLOOKUP(VALUE(A211),WEEKLY_DATA!$A:$H,8,0),0)</f>
        <v>0</v>
      </c>
      <c r="Y211" s="13" t="str">
        <f t="shared" si="6"/>
        <v>—</v>
      </c>
      <c r="Z211" s="11"/>
      <c r="AA211" s="11"/>
      <c r="AB211" s="11"/>
      <c r="AC211" s="11"/>
      <c r="AD211" s="11"/>
      <c r="AE211" s="11"/>
      <c r="AF211" s="61" t="s">
        <v>144</v>
      </c>
      <c r="AG211" s="61"/>
      <c r="AH211" s="62"/>
      <c r="AI211" s="62"/>
      <c r="AJ211" s="61" t="s">
        <v>144</v>
      </c>
      <c r="AK211" s="61" t="s">
        <v>144</v>
      </c>
      <c r="AL211" s="61"/>
      <c r="AM211" s="58" t="str" cm="2">
        <f t="array" ref="AM211">IFERROR(LOOKUP(2, 1/SEARCH({"Black","White","Grey","Blue","Silver","Brown","Green","Blue","Purple","Red","Pink","Yellow","Gold"}, G211), {"Black","White","Grey","Blue","Silver","Brown","Green","Blue","Purple","Red","Pink","Yellow","Gold"}), "")</f>
        <v/>
      </c>
      <c r="AN211" s="58" t="str">
        <f>IFERROR(LOOKUP(2, 1/SEARCH({"8GB","16GB","32GB","64GB"}, G211), {"8GB","16GB","32GB","64GB"}), "")</f>
        <v/>
      </c>
      <c r="AO211" s="58" t="str">
        <f>IFERROR(LOOKUP(2, 1/SEARCH({"1TB","2TB","128GB","512GB","256GB"}, G211), {"1TB","2TB","128GB","512GB","256GB"}), "")</f>
        <v/>
      </c>
      <c r="AP211" s="58"/>
      <c r="AQ211" s="58" t="str">
        <f>IFERROR(LOOKUP(2, 1/SEARCH({"16-Inch","15-Inch","15.6-Inch","18-Inch","15.3-Inch","13-Inch","13.4-Inch","13.8-Inch","14-Inch","17-Inch","45-Inch","27-Inch","34-Inch","32-Inch","21.5-Inch"}, G211), {"16-Inch","15-Inch","15.6-Inch","18-Inch","15.3-Inch","13-Inch","13.4-Inch","13.8-Inch","14-Inch","17-Inch","45-Inch","27-Inch","34-Inch","32-Inch","21.5-Inch"}), "")</f>
        <v/>
      </c>
      <c r="AR211" s="58"/>
      <c r="AS211" s="91"/>
      <c r="AT211" s="93"/>
      <c r="AU211" s="93"/>
      <c r="AV211" s="93"/>
      <c r="AW211" s="93"/>
    </row>
    <row r="212" spans="1:49" ht="15" customHeight="1" x14ac:dyDescent="0.25">
      <c r="A212" s="59"/>
      <c r="B212" s="12"/>
      <c r="C212" s="12"/>
      <c r="D212" s="60"/>
      <c r="E212" s="6"/>
      <c r="F212" s="6"/>
      <c r="G212" s="12"/>
      <c r="H212" s="12" t="str" cm="2">
        <f t="array" ref="H212">IFERROR(INDEX(BrandList!$A$2:$A$50,MATCH(TRUE,ISNUMBER(SEARCH(BrandList!$A$2:$A$50,G212)),0)),"")</f>
        <v/>
      </c>
      <c r="I212" s="12" t="str" cm="2">
        <f t="array" ref="I212">IFERROR(INDEX(BrandList!$B$2:$B$200,MATCH(TRUE,ISNUMBER(SEARCH(BrandList!$B$2:$B$200,G212)),0)),"")</f>
        <v/>
      </c>
      <c r="J212" s="12"/>
      <c r="K212" s="12"/>
      <c r="L212" s="60"/>
      <c r="M212" s="60"/>
      <c r="N212" s="60"/>
      <c r="O212" s="60"/>
      <c r="P212" s="7" t="str">
        <f t="shared" si="7"/>
        <v/>
      </c>
      <c r="Q212" s="8">
        <f>IFERROR(VLOOKUP(VALUE(A212),WEEKLY_DATA!$A:$H,2,0),0)</f>
        <v>0</v>
      </c>
      <c r="R212" s="8">
        <f>IFERROR(VLOOKUP(VALUE(A212),WEEKLY_DATA!$A:$H,3,0),0)</f>
        <v>0</v>
      </c>
      <c r="S212" s="8">
        <f>IFERROR(VLOOKUP(VALUE(A212),WEEKLY_DATA!$A:$H,4,0),0)</f>
        <v>0</v>
      </c>
      <c r="T212" s="51">
        <f>IFERROR(VLOOKUP(VALUE(A212),WEEKLY_DATA!$A:$H,5,0),0)</f>
        <v>0</v>
      </c>
      <c r="U212" s="51">
        <f>IFERROR(VLOOKUP(VALUE(A212),WEEKLY_DATA!$A:$H,6,0),0)</f>
        <v>0</v>
      </c>
      <c r="V212" s="51">
        <f>IFERROR(VLOOKUP(VALUE(A212),WEEKLY_DATA!$A:$H,7,0),0)</f>
        <v>0</v>
      </c>
      <c r="W212" s="9" t="str">
        <f>IFERROR(IF(OR(Q212="",Q212=0),"",IF(VLOOKUP(VALUE($A212),WEEKLY_DATA!$A:$H,6,0)=0,"No Sales",Q212/(VLOOKUP(VALUE($A212),WEEKLY_DATA!$A:$H,6,0)/13))),"")</f>
        <v/>
      </c>
      <c r="X212" s="10">
        <f>IFERROR(VLOOKUP(VALUE(A212),WEEKLY_DATA!$A:$H,8,0),0)</f>
        <v>0</v>
      </c>
      <c r="Y212" s="13" t="str">
        <f t="shared" si="6"/>
        <v>—</v>
      </c>
      <c r="Z212" s="11"/>
      <c r="AA212" s="11"/>
      <c r="AB212" s="11"/>
      <c r="AC212" s="11"/>
      <c r="AD212" s="11"/>
      <c r="AE212" s="11"/>
      <c r="AF212" s="61" t="s">
        <v>144</v>
      </c>
      <c r="AG212" s="61"/>
      <c r="AH212" s="62"/>
      <c r="AI212" s="62"/>
      <c r="AJ212" s="61" t="s">
        <v>144</v>
      </c>
      <c r="AK212" s="61" t="s">
        <v>144</v>
      </c>
      <c r="AL212" s="61"/>
      <c r="AM212" s="58" t="str" cm="2">
        <f t="array" ref="AM212">IFERROR(LOOKUP(2, 1/SEARCH({"Black","White","Grey","Blue","Silver","Brown","Green","Blue","Purple","Red","Pink","Yellow","Gold"}, G212), {"Black","White","Grey","Blue","Silver","Brown","Green","Blue","Purple","Red","Pink","Yellow","Gold"}), "")</f>
        <v/>
      </c>
      <c r="AN212" s="58" t="str">
        <f>IFERROR(LOOKUP(2, 1/SEARCH({"8GB","16GB","32GB","64GB"}, G212), {"8GB","16GB","32GB","64GB"}), "")</f>
        <v/>
      </c>
      <c r="AO212" s="58" t="str">
        <f>IFERROR(LOOKUP(2, 1/SEARCH({"1TB","2TB","128GB","512GB","256GB"}, G212), {"1TB","2TB","128GB","512GB","256GB"}), "")</f>
        <v/>
      </c>
      <c r="AP212" s="58"/>
      <c r="AQ212" s="58" t="str">
        <f>IFERROR(LOOKUP(2, 1/SEARCH({"16-Inch","15-Inch","15.6-Inch","18-Inch","15.3-Inch","13-Inch","13.4-Inch","13.8-Inch","14-Inch","17-Inch","45-Inch","27-Inch","34-Inch","32-Inch","21.5-Inch"}, G212), {"16-Inch","15-Inch","15.6-Inch","18-Inch","15.3-Inch","13-Inch","13.4-Inch","13.8-Inch","14-Inch","17-Inch","45-Inch","27-Inch","34-Inch","32-Inch","21.5-Inch"}), "")</f>
        <v/>
      </c>
      <c r="AR212" s="58"/>
      <c r="AS212" s="91"/>
      <c r="AT212" s="93"/>
      <c r="AU212" s="93"/>
      <c r="AV212" s="93"/>
      <c r="AW212" s="93"/>
    </row>
    <row r="213" spans="1:49" ht="15" customHeight="1" x14ac:dyDescent="0.25">
      <c r="A213" s="59"/>
      <c r="B213" s="12"/>
      <c r="C213" s="12"/>
      <c r="D213" s="60"/>
      <c r="E213" s="6"/>
      <c r="F213" s="6"/>
      <c r="G213" s="12"/>
      <c r="H213" s="12" t="str" cm="2">
        <f t="array" ref="H213">IFERROR(INDEX(BrandList!$A$2:$A$50,MATCH(TRUE,ISNUMBER(SEARCH(BrandList!$A$2:$A$50,G213)),0)),"")</f>
        <v/>
      </c>
      <c r="I213" s="12" t="str" cm="2">
        <f t="array" ref="I213">IFERROR(INDEX(BrandList!$B$2:$B$200,MATCH(TRUE,ISNUMBER(SEARCH(BrandList!$B$2:$B$200,G213)),0)),"")</f>
        <v/>
      </c>
      <c r="J213" s="12"/>
      <c r="K213" s="59"/>
      <c r="L213" s="86"/>
      <c r="M213" s="86"/>
      <c r="N213" s="86"/>
      <c r="O213" s="86"/>
      <c r="P213" s="7" t="str">
        <f t="shared" si="7"/>
        <v/>
      </c>
      <c r="Q213" s="8">
        <f>IFERROR(VLOOKUP(VALUE(A213),WEEKLY_DATA!$A:$H,2,0),0)</f>
        <v>0</v>
      </c>
      <c r="R213" s="8">
        <f>IFERROR(VLOOKUP(VALUE(A213),WEEKLY_DATA!$A:$H,3,0),0)</f>
        <v>0</v>
      </c>
      <c r="S213" s="8">
        <f>IFERROR(VLOOKUP(VALUE(A213),WEEKLY_DATA!$A:$H,4,0),0)</f>
        <v>0</v>
      </c>
      <c r="T213" s="51">
        <f>IFERROR(VLOOKUP(VALUE(A213),WEEKLY_DATA!$A:$H,5,0),0)</f>
        <v>0</v>
      </c>
      <c r="U213" s="51">
        <f>IFERROR(VLOOKUP(VALUE(A213),WEEKLY_DATA!$A:$H,6,0),0)</f>
        <v>0</v>
      </c>
      <c r="V213" s="51">
        <f>IFERROR(VLOOKUP(VALUE(A213),WEEKLY_DATA!$A:$H,7,0),0)</f>
        <v>0</v>
      </c>
      <c r="W213" s="9" t="str">
        <f>IFERROR(IF(OR(Q213="",Q213=0),"",IF(VLOOKUP(VALUE($A213),WEEKLY_DATA!$A:$H,6,0)=0,"No Sales",Q213/(VLOOKUP(VALUE($A213),WEEKLY_DATA!$A:$H,6,0)/13))),"")</f>
        <v/>
      </c>
      <c r="X213" s="10">
        <f>IFERROR(VLOOKUP(VALUE(A213),WEEKLY_DATA!$A:$H,8,0),0)</f>
        <v>0</v>
      </c>
      <c r="Y213" s="13" t="str">
        <f t="shared" si="6"/>
        <v>—</v>
      </c>
      <c r="Z213" s="11"/>
      <c r="AA213" s="11"/>
      <c r="AB213" s="11"/>
      <c r="AC213" s="11"/>
      <c r="AD213" s="11"/>
      <c r="AE213" s="11"/>
      <c r="AF213" s="61" t="s">
        <v>144</v>
      </c>
      <c r="AG213" s="61"/>
      <c r="AH213" s="62"/>
      <c r="AI213" s="62"/>
      <c r="AJ213" s="61" t="s">
        <v>144</v>
      </c>
      <c r="AK213" s="61" t="s">
        <v>144</v>
      </c>
      <c r="AL213" s="61"/>
      <c r="AM213" s="58" t="str" cm="2">
        <f t="array" ref="AM213">IFERROR(LOOKUP(2, 1/SEARCH({"Black","White","Grey","Blue","Silver","Brown","Green","Blue","Purple","Red","Pink","Yellow","Gold"}, G213), {"Black","White","Grey","Blue","Silver","Brown","Green","Blue","Purple","Red","Pink","Yellow","Gold"}), "")</f>
        <v/>
      </c>
      <c r="AN213" s="58" t="str">
        <f>IFERROR(LOOKUP(2, 1/SEARCH({"8GB","16GB","32GB","64GB"}, G213), {"8GB","16GB","32GB","64GB"}), "")</f>
        <v/>
      </c>
      <c r="AO213" s="58" t="str">
        <f>IFERROR(LOOKUP(2, 1/SEARCH({"1TB","2TB","128GB","512GB","256GB"}, G213), {"1TB","2TB","128GB","512GB","256GB"}), "")</f>
        <v/>
      </c>
      <c r="AP213" s="58"/>
      <c r="AQ213" s="58" t="str">
        <f>IFERROR(LOOKUP(2, 1/SEARCH({"16-Inch","15-Inch","15.6-Inch","18-Inch","15.3-Inch","13-Inch","13.4-Inch","13.8-Inch","14-Inch","17-Inch","45-Inch","27-Inch","34-Inch","32-Inch","21.5-Inch"}, G213), {"16-Inch","15-Inch","15.6-Inch","18-Inch","15.3-Inch","13-Inch","13.4-Inch","13.8-Inch","14-Inch","17-Inch","45-Inch","27-Inch","34-Inch","32-Inch","21.5-Inch"}), "")</f>
        <v/>
      </c>
      <c r="AR213" s="58"/>
      <c r="AS213" s="91"/>
      <c r="AT213" s="93"/>
      <c r="AU213" s="93"/>
      <c r="AV213" s="93"/>
      <c r="AW213" s="93"/>
    </row>
    <row r="214" spans="1:49" ht="15" customHeight="1" x14ac:dyDescent="0.25">
      <c r="A214" s="59"/>
      <c r="B214" s="12"/>
      <c r="C214" s="12"/>
      <c r="D214" s="60"/>
      <c r="E214" s="6"/>
      <c r="F214" s="6"/>
      <c r="G214" s="12"/>
      <c r="H214" s="12" t="str" cm="2">
        <f t="array" ref="H214">IFERROR(INDEX(BrandList!$A$2:$A$50,MATCH(TRUE,ISNUMBER(SEARCH(BrandList!$A$2:$A$50,G214)),0)),"")</f>
        <v/>
      </c>
      <c r="I214" s="12" t="str" cm="2">
        <f t="array" ref="I214">IFERROR(INDEX(BrandList!$B$2:$B$200,MATCH(TRUE,ISNUMBER(SEARCH(BrandList!$B$2:$B$200,G214)),0)),"")</f>
        <v/>
      </c>
      <c r="J214" s="12"/>
      <c r="K214" s="12"/>
      <c r="L214" s="60"/>
      <c r="M214" s="60"/>
      <c r="N214" s="60"/>
      <c r="O214" s="60"/>
      <c r="P214" s="7" t="str">
        <f t="shared" si="7"/>
        <v/>
      </c>
      <c r="Q214" s="8">
        <f>IFERROR(VLOOKUP(VALUE(A214),WEEKLY_DATA!$A:$H,2,0),0)</f>
        <v>0</v>
      </c>
      <c r="R214" s="8">
        <f>IFERROR(VLOOKUP(VALUE(A214),WEEKLY_DATA!$A:$H,3,0),0)</f>
        <v>0</v>
      </c>
      <c r="S214" s="8">
        <f>IFERROR(VLOOKUP(VALUE(A214),WEEKLY_DATA!$A:$H,4,0),0)</f>
        <v>0</v>
      </c>
      <c r="T214" s="51">
        <f>IFERROR(VLOOKUP(VALUE(A214),WEEKLY_DATA!$A:$H,5,0),0)</f>
        <v>0</v>
      </c>
      <c r="U214" s="51">
        <f>IFERROR(VLOOKUP(VALUE(A214),WEEKLY_DATA!$A:$H,6,0),0)</f>
        <v>0</v>
      </c>
      <c r="V214" s="51">
        <f>IFERROR(VLOOKUP(VALUE(A214),WEEKLY_DATA!$A:$H,7,0),0)</f>
        <v>0</v>
      </c>
      <c r="W214" s="9" t="str">
        <f>IFERROR(IF(OR(Q214="",Q214=0),"",IF(VLOOKUP(VALUE($A214),WEEKLY_DATA!$A:$H,6,0)=0,"No Sales",Q214/(VLOOKUP(VALUE($A214),WEEKLY_DATA!$A:$H,6,0)/13))),"")</f>
        <v/>
      </c>
      <c r="X214" s="10">
        <f>IFERROR(VLOOKUP(VALUE(A214),WEEKLY_DATA!$A:$H,8,0),0)</f>
        <v>0</v>
      </c>
      <c r="Y214" s="13" t="str">
        <f t="shared" si="6"/>
        <v>—</v>
      </c>
      <c r="Z214" s="11"/>
      <c r="AA214" s="11"/>
      <c r="AB214" s="11"/>
      <c r="AC214" s="11"/>
      <c r="AD214" s="11"/>
      <c r="AE214" s="11"/>
      <c r="AF214" s="61" t="s">
        <v>144</v>
      </c>
      <c r="AG214" s="61"/>
      <c r="AH214" s="62"/>
      <c r="AI214" s="62"/>
      <c r="AJ214" s="61" t="s">
        <v>144</v>
      </c>
      <c r="AK214" s="61" t="s">
        <v>144</v>
      </c>
      <c r="AL214" s="61"/>
      <c r="AM214" s="58" t="str" cm="2">
        <f t="array" ref="AM214">IFERROR(LOOKUP(2, 1/SEARCH({"Black","White","Grey","Blue","Silver","Brown","Green","Blue","Purple","Red","Pink","Yellow","Gold"}, G214), {"Black","White","Grey","Blue","Silver","Brown","Green","Blue","Purple","Red","Pink","Yellow","Gold"}), "")</f>
        <v/>
      </c>
      <c r="AN214" s="58" t="str">
        <f>IFERROR(LOOKUP(2, 1/SEARCH({"8GB","16GB","32GB","64GB"}, G214), {"8GB","16GB","32GB","64GB"}), "")</f>
        <v/>
      </c>
      <c r="AO214" s="58" t="str">
        <f>IFERROR(LOOKUP(2, 1/SEARCH({"1TB","2TB","128GB","512GB","256GB"}, G214), {"1TB","2TB","128GB","512GB","256GB"}), "")</f>
        <v/>
      </c>
      <c r="AP214" s="58"/>
      <c r="AQ214" s="58" t="str">
        <f>IFERROR(LOOKUP(2, 1/SEARCH({"16-Inch","15-Inch","15.6-Inch","18-Inch","15.3-Inch","13-Inch","13.4-Inch","13.8-Inch","14-Inch","17-Inch","45-Inch","27-Inch","34-Inch","32-Inch","21.5-Inch"}, G214), {"16-Inch","15-Inch","15.6-Inch","18-Inch","15.3-Inch","13-Inch","13.4-Inch","13.8-Inch","14-Inch","17-Inch","45-Inch","27-Inch","34-Inch","32-Inch","21.5-Inch"}), "")</f>
        <v/>
      </c>
      <c r="AR214" s="58"/>
      <c r="AS214" s="91"/>
      <c r="AT214" s="93"/>
      <c r="AU214" s="93"/>
      <c r="AV214" s="93"/>
      <c r="AW214" s="93"/>
    </row>
    <row r="215" spans="1:49" ht="15" customHeight="1" x14ac:dyDescent="0.25">
      <c r="A215" s="59"/>
      <c r="B215" s="12"/>
      <c r="C215" s="12"/>
      <c r="D215" s="60"/>
      <c r="E215" s="6"/>
      <c r="F215" s="6"/>
      <c r="G215" s="12"/>
      <c r="H215" s="12" t="str" cm="2">
        <f t="array" ref="H215">IFERROR(INDEX(BrandList!$A$2:$A$50,MATCH(TRUE,ISNUMBER(SEARCH(BrandList!$A$2:$A$50,G215)),0)),"")</f>
        <v/>
      </c>
      <c r="I215" s="12" t="str" cm="2">
        <f t="array" ref="I215">IFERROR(INDEX(BrandList!$B$2:$B$200,MATCH(TRUE,ISNUMBER(SEARCH(BrandList!$B$2:$B$200,G215)),0)),"")</f>
        <v/>
      </c>
      <c r="J215" s="12"/>
      <c r="K215" s="12"/>
      <c r="L215" s="60"/>
      <c r="M215" s="60"/>
      <c r="N215" s="60"/>
      <c r="O215" s="60"/>
      <c r="P215" s="7" t="str">
        <f t="shared" si="7"/>
        <v/>
      </c>
      <c r="Q215" s="8">
        <f>IFERROR(VLOOKUP(VALUE(A215),WEEKLY_DATA!$A:$H,2,0),0)</f>
        <v>0</v>
      </c>
      <c r="R215" s="8">
        <f>IFERROR(VLOOKUP(VALUE(A215),WEEKLY_DATA!$A:$H,3,0),0)</f>
        <v>0</v>
      </c>
      <c r="S215" s="8">
        <f>IFERROR(VLOOKUP(VALUE(A215),WEEKLY_DATA!$A:$H,4,0),0)</f>
        <v>0</v>
      </c>
      <c r="T215" s="51">
        <f>IFERROR(VLOOKUP(VALUE(A215),WEEKLY_DATA!$A:$H,5,0),0)</f>
        <v>0</v>
      </c>
      <c r="U215" s="51">
        <f>IFERROR(VLOOKUP(VALUE(A215),WEEKLY_DATA!$A:$H,6,0),0)</f>
        <v>0</v>
      </c>
      <c r="V215" s="51">
        <f>IFERROR(VLOOKUP(VALUE(A215),WEEKLY_DATA!$A:$H,7,0),0)</f>
        <v>0</v>
      </c>
      <c r="W215" s="9" t="str">
        <f>IFERROR(IF(OR(Q215="",Q215=0),"",IF(VLOOKUP(VALUE($A215),WEEKLY_DATA!$A:$H,6,0)=0,"No Sales",Q215/(VLOOKUP(VALUE($A215),WEEKLY_DATA!$A:$H,6,0)/13))),"")</f>
        <v/>
      </c>
      <c r="X215" s="10">
        <f>IFERROR(VLOOKUP(VALUE(A215),WEEKLY_DATA!$A:$H,8,0),0)</f>
        <v>0</v>
      </c>
      <c r="Y215" s="13" t="str">
        <f t="shared" si="6"/>
        <v>—</v>
      </c>
      <c r="Z215" s="11"/>
      <c r="AA215" s="11"/>
      <c r="AB215" s="11"/>
      <c r="AC215" s="11"/>
      <c r="AD215" s="11"/>
      <c r="AE215" s="11"/>
      <c r="AF215" s="61" t="s">
        <v>144</v>
      </c>
      <c r="AG215" s="61"/>
      <c r="AH215" s="62"/>
      <c r="AI215" s="62"/>
      <c r="AJ215" s="61" t="s">
        <v>144</v>
      </c>
      <c r="AK215" s="61" t="s">
        <v>144</v>
      </c>
      <c r="AL215" s="61"/>
      <c r="AM215" s="58" t="str" cm="2">
        <f t="array" ref="AM215">IFERROR(LOOKUP(2, 1/SEARCH({"Black","White","Grey","Blue","Silver","Brown","Green","Blue","Purple","Red","Pink","Yellow","Gold"}, G215), {"Black","White","Grey","Blue","Silver","Brown","Green","Blue","Purple","Red","Pink","Yellow","Gold"}), "")</f>
        <v/>
      </c>
      <c r="AN215" s="58" t="str">
        <f>IFERROR(LOOKUP(2, 1/SEARCH({"8GB","16GB","32GB","64GB"}, G215), {"8GB","16GB","32GB","64GB"}), "")</f>
        <v/>
      </c>
      <c r="AO215" s="58" t="str">
        <f>IFERROR(LOOKUP(2, 1/SEARCH({"1TB","2TB","128GB","512GB","256GB"}, G215), {"1TB","2TB","128GB","512GB","256GB"}), "")</f>
        <v/>
      </c>
      <c r="AP215" s="58"/>
      <c r="AQ215" s="58" t="str">
        <f>IFERROR(LOOKUP(2, 1/SEARCH({"16-Inch","15-Inch","15.6-Inch","18-Inch","15.3-Inch","13-Inch","13.4-Inch","13.8-Inch","14-Inch","17-Inch","45-Inch","27-Inch","34-Inch","32-Inch","21.5-Inch"}, G215), {"16-Inch","15-Inch","15.6-Inch","18-Inch","15.3-Inch","13-Inch","13.4-Inch","13.8-Inch","14-Inch","17-Inch","45-Inch","27-Inch","34-Inch","32-Inch","21.5-Inch"}), "")</f>
        <v/>
      </c>
      <c r="AR215" s="58"/>
      <c r="AS215" s="91"/>
      <c r="AT215" s="93"/>
      <c r="AU215" s="93"/>
      <c r="AV215" s="93"/>
      <c r="AW215" s="93"/>
    </row>
    <row r="216" spans="1:49" ht="15" customHeight="1" x14ac:dyDescent="0.25">
      <c r="A216" s="59"/>
      <c r="B216" s="12"/>
      <c r="C216" s="12"/>
      <c r="D216" s="60"/>
      <c r="E216" s="6"/>
      <c r="F216" s="6"/>
      <c r="G216" s="12"/>
      <c r="H216" s="12" t="str" cm="2">
        <f t="array" ref="H216">IFERROR(INDEX(BrandList!$A$2:$A$50,MATCH(TRUE,ISNUMBER(SEARCH(BrandList!$A$2:$A$50,G216)),0)),"")</f>
        <v/>
      </c>
      <c r="I216" s="12" t="str" cm="2">
        <f t="array" ref="I216">IFERROR(INDEX(BrandList!$B$2:$B$200,MATCH(TRUE,ISNUMBER(SEARCH(BrandList!$B$2:$B$200,G216)),0)),"")</f>
        <v/>
      </c>
      <c r="J216" s="12"/>
      <c r="K216" s="12"/>
      <c r="L216" s="60"/>
      <c r="M216" s="60"/>
      <c r="N216" s="60"/>
      <c r="O216" s="60"/>
      <c r="P216" s="7" t="str">
        <f t="shared" si="7"/>
        <v/>
      </c>
      <c r="Q216" s="8">
        <f>IFERROR(VLOOKUP(VALUE(A216),WEEKLY_DATA!$A:$H,2,0),0)</f>
        <v>0</v>
      </c>
      <c r="R216" s="8">
        <f>IFERROR(VLOOKUP(VALUE(A216),WEEKLY_DATA!$A:$H,3,0),0)</f>
        <v>0</v>
      </c>
      <c r="S216" s="8">
        <f>IFERROR(VLOOKUP(VALUE(A216),WEEKLY_DATA!$A:$H,4,0),0)</f>
        <v>0</v>
      </c>
      <c r="T216" s="51">
        <f>IFERROR(VLOOKUP(VALUE(A216),WEEKLY_DATA!$A:$H,5,0),0)</f>
        <v>0</v>
      </c>
      <c r="U216" s="51">
        <f>IFERROR(VLOOKUP(VALUE(A216),WEEKLY_DATA!$A:$H,6,0),0)</f>
        <v>0</v>
      </c>
      <c r="V216" s="51">
        <f>IFERROR(VLOOKUP(VALUE(A216),WEEKLY_DATA!$A:$H,7,0),0)</f>
        <v>0</v>
      </c>
      <c r="W216" s="9" t="str">
        <f>IFERROR(IF(OR(Q216="",Q216=0),"",IF(VLOOKUP(VALUE($A216),WEEKLY_DATA!$A:$H,6,0)=0,"No Sales",Q216/(VLOOKUP(VALUE($A216),WEEKLY_DATA!$A:$H,6,0)/13))),"")</f>
        <v/>
      </c>
      <c r="X216" s="10">
        <f>IFERROR(VLOOKUP(VALUE(A216),WEEKLY_DATA!$A:$H,8,0),0)</f>
        <v>0</v>
      </c>
      <c r="Y216" s="13" t="str">
        <f t="shared" si="6"/>
        <v>—</v>
      </c>
      <c r="Z216" s="11"/>
      <c r="AA216" s="11"/>
      <c r="AB216" s="11"/>
      <c r="AC216" s="11"/>
      <c r="AD216" s="11"/>
      <c r="AE216" s="11"/>
      <c r="AF216" s="61"/>
      <c r="AG216" s="61"/>
      <c r="AH216" s="62"/>
      <c r="AI216" s="62"/>
      <c r="AJ216" s="61"/>
      <c r="AK216" s="61"/>
      <c r="AL216" s="61"/>
      <c r="AM216" s="58" t="str" cm="2">
        <f t="array" ref="AM216">IFERROR(LOOKUP(2, 1/SEARCH({"Black","White","Grey","Blue","Silver","Brown","Green","Blue","Purple","Red","Pink","Yellow","Gold"}, G216), {"Black","White","Grey","Blue","Silver","Brown","Green","Blue","Purple","Red","Pink","Yellow","Gold"}), "")</f>
        <v/>
      </c>
      <c r="AN216" s="58" t="str">
        <f>IFERROR(LOOKUP(2, 1/SEARCH({"8GB","16GB","32GB","64GB"}, G216), {"8GB","16GB","32GB","64GB"}), "")</f>
        <v/>
      </c>
      <c r="AO216" s="58" t="str">
        <f>IFERROR(LOOKUP(2, 1/SEARCH({"1TB","2TB","128GB","512GB","256GB"}, G216), {"1TB","2TB","128GB","512GB","256GB"}), "")</f>
        <v/>
      </c>
      <c r="AP216" s="58"/>
      <c r="AQ216" s="58" t="str">
        <f>IFERROR(LOOKUP(2, 1/SEARCH({"16-Inch","15-Inch","15.6-Inch","18-Inch","15.3-Inch","13-Inch","13.4-Inch","13.8-Inch","14-Inch","17-Inch","45-Inch","27-Inch","34-Inch","32-Inch","21.5-Inch"}, G216), {"16-Inch","15-Inch","15.6-Inch","18-Inch","15.3-Inch","13-Inch","13.4-Inch","13.8-Inch","14-Inch","17-Inch","45-Inch","27-Inch","34-Inch","32-Inch","21.5-Inch"}), "")</f>
        <v/>
      </c>
      <c r="AR216" s="58"/>
      <c r="AS216" s="91"/>
      <c r="AT216" s="93"/>
      <c r="AU216" s="93"/>
      <c r="AV216" s="93"/>
      <c r="AW216" s="93"/>
    </row>
    <row r="217" spans="1:49" ht="15" customHeight="1" x14ac:dyDescent="0.25">
      <c r="A217" s="59"/>
      <c r="B217" s="12"/>
      <c r="C217" s="12"/>
      <c r="D217" s="60"/>
      <c r="E217" s="6"/>
      <c r="F217" s="6"/>
      <c r="G217" s="12"/>
      <c r="H217" s="12" t="str" cm="2">
        <f t="array" ref="H217">IFERROR(INDEX(BrandList!$A$2:$A$50,MATCH(TRUE,ISNUMBER(SEARCH(BrandList!$A$2:$A$50,G217)),0)),"")</f>
        <v/>
      </c>
      <c r="I217" s="12" t="str" cm="2">
        <f t="array" ref="I217">IFERROR(INDEX(BrandList!$B$2:$B$200,MATCH(TRUE,ISNUMBER(SEARCH(BrandList!$B$2:$B$200,G217)),0)),"")</f>
        <v/>
      </c>
      <c r="J217" s="12"/>
      <c r="K217" s="12"/>
      <c r="L217" s="60"/>
      <c r="M217" s="60"/>
      <c r="N217" s="60"/>
      <c r="O217" s="60"/>
      <c r="P217" s="7" t="str">
        <f t="shared" si="7"/>
        <v/>
      </c>
      <c r="Q217" s="8">
        <f>IFERROR(VLOOKUP(VALUE(A217),WEEKLY_DATA!$A:$H,2,0),0)</f>
        <v>0</v>
      </c>
      <c r="R217" s="8">
        <f>IFERROR(VLOOKUP(VALUE(A217),WEEKLY_DATA!$A:$H,3,0),0)</f>
        <v>0</v>
      </c>
      <c r="S217" s="8">
        <f>IFERROR(VLOOKUP(VALUE(A217),WEEKLY_DATA!$A:$H,4,0),0)</f>
        <v>0</v>
      </c>
      <c r="T217" s="51">
        <f>IFERROR(VLOOKUP(VALUE(A217),WEEKLY_DATA!$A:$H,5,0),0)</f>
        <v>0</v>
      </c>
      <c r="U217" s="51">
        <f>IFERROR(VLOOKUP(VALUE(A217),WEEKLY_DATA!$A:$H,6,0),0)</f>
        <v>0</v>
      </c>
      <c r="V217" s="51">
        <f>IFERROR(VLOOKUP(VALUE(A217),WEEKLY_DATA!$A:$H,7,0),0)</f>
        <v>0</v>
      </c>
      <c r="W217" s="9" t="str">
        <f>IFERROR(IF(OR(Q217="",Q217=0),"",IF(VLOOKUP(VALUE($A217),WEEKLY_DATA!$A:$H,6,0)=0,"No Sales",Q217/(VLOOKUP(VALUE($A217),WEEKLY_DATA!$A:$H,6,0)/13))),"")</f>
        <v/>
      </c>
      <c r="X217" s="10">
        <f>IFERROR(VLOOKUP(VALUE(A217),WEEKLY_DATA!$A:$H,8,0),0)</f>
        <v>0</v>
      </c>
      <c r="Y217" s="13" t="str">
        <f t="shared" si="6"/>
        <v>—</v>
      </c>
      <c r="Z217" s="11"/>
      <c r="AA217" s="11"/>
      <c r="AB217" s="11"/>
      <c r="AC217" s="11"/>
      <c r="AD217" s="11"/>
      <c r="AE217" s="11"/>
      <c r="AF217" s="61" t="s">
        <v>144</v>
      </c>
      <c r="AG217" s="61"/>
      <c r="AH217" s="62"/>
      <c r="AI217" s="62"/>
      <c r="AJ217" s="61" t="s">
        <v>144</v>
      </c>
      <c r="AK217" s="61" t="s">
        <v>144</v>
      </c>
      <c r="AL217" s="61"/>
      <c r="AM217" s="58" t="str" cm="2">
        <f t="array" ref="AM217">IFERROR(LOOKUP(2, 1/SEARCH({"Black","White","Grey","Blue","Silver","Brown","Green","Blue","Purple","Red","Pink","Yellow","Gold"}, G217), {"Black","White","Grey","Blue","Silver","Brown","Green","Blue","Purple","Red","Pink","Yellow","Gold"}), "")</f>
        <v/>
      </c>
      <c r="AN217" s="58" t="str">
        <f>IFERROR(LOOKUP(2, 1/SEARCH({"8GB","16GB","32GB","64GB"}, G217), {"8GB","16GB","32GB","64GB"}), "")</f>
        <v/>
      </c>
      <c r="AO217" s="58" t="str">
        <f>IFERROR(LOOKUP(2, 1/SEARCH({"1TB","2TB","128GB","512GB","256GB"}, G217), {"1TB","2TB","128GB","512GB","256GB"}), "")</f>
        <v/>
      </c>
      <c r="AP217" s="58"/>
      <c r="AQ217" s="58" t="str">
        <f>IFERROR(LOOKUP(2, 1/SEARCH({"16-Inch","15-Inch","15.6-Inch","18-Inch","15.3-Inch","13-Inch","13.4-Inch","13.8-Inch","14-Inch","17-Inch","45-Inch","27-Inch","34-Inch","32-Inch","21.5-Inch"}, G217), {"16-Inch","15-Inch","15.6-Inch","18-Inch","15.3-Inch","13-Inch","13.4-Inch","13.8-Inch","14-Inch","17-Inch","45-Inch","27-Inch","34-Inch","32-Inch","21.5-Inch"}), "")</f>
        <v/>
      </c>
      <c r="AR217" s="58"/>
      <c r="AS217" s="91"/>
      <c r="AT217" s="93"/>
      <c r="AU217" s="93"/>
      <c r="AV217" s="93"/>
      <c r="AW217" s="93"/>
    </row>
    <row r="218" spans="1:49" ht="15" customHeight="1" x14ac:dyDescent="0.25">
      <c r="A218" s="59"/>
      <c r="B218" s="12"/>
      <c r="C218" s="12"/>
      <c r="D218" s="60"/>
      <c r="E218" s="6"/>
      <c r="F218" s="6"/>
      <c r="G218" s="12"/>
      <c r="H218" s="12" t="str" cm="2">
        <f t="array" ref="H218">IFERROR(INDEX(BrandList!$A$2:$A$50,MATCH(TRUE,ISNUMBER(SEARCH(BrandList!$A$2:$A$50,G218)),0)),"")</f>
        <v/>
      </c>
      <c r="I218" s="12" t="str" cm="2">
        <f t="array" ref="I218">IFERROR(INDEX(BrandList!$B$2:$B$200,MATCH(TRUE,ISNUMBER(SEARCH(BrandList!$B$2:$B$200,G218)),0)),"")</f>
        <v/>
      </c>
      <c r="J218" s="12"/>
      <c r="K218" s="12"/>
      <c r="L218" s="60"/>
      <c r="M218" s="60"/>
      <c r="N218" s="60"/>
      <c r="O218" s="60"/>
      <c r="P218" s="7" t="str">
        <f t="shared" si="7"/>
        <v/>
      </c>
      <c r="Q218" s="8">
        <f>IFERROR(VLOOKUP(VALUE(A218),WEEKLY_DATA!$A:$H,2,0),0)</f>
        <v>0</v>
      </c>
      <c r="R218" s="8">
        <f>IFERROR(VLOOKUP(VALUE(A218),WEEKLY_DATA!$A:$H,3,0),0)</f>
        <v>0</v>
      </c>
      <c r="S218" s="8">
        <f>IFERROR(VLOOKUP(VALUE(A218),WEEKLY_DATA!$A:$H,4,0),0)</f>
        <v>0</v>
      </c>
      <c r="T218" s="51">
        <f>IFERROR(VLOOKUP(VALUE(A218),WEEKLY_DATA!$A:$H,5,0),0)</f>
        <v>0</v>
      </c>
      <c r="U218" s="51">
        <f>IFERROR(VLOOKUP(VALUE(A218),WEEKLY_DATA!$A:$H,6,0),0)</f>
        <v>0</v>
      </c>
      <c r="V218" s="51">
        <f>IFERROR(VLOOKUP(VALUE(A218),WEEKLY_DATA!$A:$H,7,0),0)</f>
        <v>0</v>
      </c>
      <c r="W218" s="9" t="str">
        <f>IFERROR(IF(OR(Q218="",Q218=0),"",IF(VLOOKUP(VALUE($A218),WEEKLY_DATA!$A:$H,6,0)=0,"No Sales",Q218/(VLOOKUP(VALUE($A218),WEEKLY_DATA!$A:$H,6,0)/13))),"")</f>
        <v/>
      </c>
      <c r="X218" s="10">
        <f>IFERROR(VLOOKUP(VALUE(A218),WEEKLY_DATA!$A:$H,8,0),0)</f>
        <v>0</v>
      </c>
      <c r="Y218" s="13" t="str">
        <f t="shared" si="6"/>
        <v>—</v>
      </c>
      <c r="Z218" s="11"/>
      <c r="AA218" s="11"/>
      <c r="AB218" s="11"/>
      <c r="AC218" s="11"/>
      <c r="AD218" s="11"/>
      <c r="AE218" s="11"/>
      <c r="AF218" s="61" t="s">
        <v>144</v>
      </c>
      <c r="AG218" s="61"/>
      <c r="AH218" s="62"/>
      <c r="AI218" s="62"/>
      <c r="AJ218" s="61" t="s">
        <v>144</v>
      </c>
      <c r="AK218" s="61" t="s">
        <v>144</v>
      </c>
      <c r="AL218" s="61"/>
      <c r="AM218" s="58" t="str" cm="2">
        <f t="array" ref="AM218">IFERROR(LOOKUP(2, 1/SEARCH({"Black","White","Grey","Blue","Silver","Brown","Green","Blue","Purple","Red","Pink","Yellow","Gold"}, G218), {"Black","White","Grey","Blue","Silver","Brown","Green","Blue","Purple","Red","Pink","Yellow","Gold"}), "")</f>
        <v/>
      </c>
      <c r="AN218" s="58" t="str">
        <f>IFERROR(LOOKUP(2, 1/SEARCH({"8GB","16GB","32GB","64GB"}, G218), {"8GB","16GB","32GB","64GB"}), "")</f>
        <v/>
      </c>
      <c r="AO218" s="58" t="str">
        <f>IFERROR(LOOKUP(2, 1/SEARCH({"1TB","2TB","128GB","512GB","256GB"}, G218), {"1TB","2TB","128GB","512GB","256GB"}), "")</f>
        <v/>
      </c>
      <c r="AP218" s="58"/>
      <c r="AQ218" s="58" t="str">
        <f>IFERROR(LOOKUP(2, 1/SEARCH({"16-Inch","15-Inch","15.6-Inch","18-Inch","15.3-Inch","13-Inch","13.4-Inch","13.8-Inch","14-Inch","17-Inch","45-Inch","27-Inch","34-Inch","32-Inch","21.5-Inch"}, G218), {"16-Inch","15-Inch","15.6-Inch","18-Inch","15.3-Inch","13-Inch","13.4-Inch","13.8-Inch","14-Inch","17-Inch","45-Inch","27-Inch","34-Inch","32-Inch","21.5-Inch"}), "")</f>
        <v/>
      </c>
      <c r="AR218" s="58"/>
      <c r="AS218" s="91"/>
      <c r="AT218" s="93"/>
      <c r="AU218" s="93"/>
      <c r="AV218" s="93"/>
      <c r="AW218" s="93"/>
    </row>
    <row r="219" spans="1:49" ht="15" customHeight="1" x14ac:dyDescent="0.25">
      <c r="A219" s="59"/>
      <c r="B219" s="12"/>
      <c r="C219" s="12"/>
      <c r="D219" s="60"/>
      <c r="E219" s="6"/>
      <c r="F219" s="6"/>
      <c r="G219" s="12"/>
      <c r="H219" s="12" t="str" cm="2">
        <f t="array" ref="H219">IFERROR(INDEX(BrandList!$A$2:$A$50,MATCH(TRUE,ISNUMBER(SEARCH(BrandList!$A$2:$A$50,G219)),0)),"")</f>
        <v/>
      </c>
      <c r="I219" s="12" t="str" cm="2">
        <f t="array" ref="I219">IFERROR(INDEX(BrandList!$B$2:$B$200,MATCH(TRUE,ISNUMBER(SEARCH(BrandList!$B$2:$B$200,G219)),0)),"")</f>
        <v/>
      </c>
      <c r="J219" s="12"/>
      <c r="K219" s="12"/>
      <c r="L219" s="60"/>
      <c r="M219" s="60"/>
      <c r="N219" s="60"/>
      <c r="O219" s="60"/>
      <c r="P219" s="7" t="str">
        <f t="shared" si="7"/>
        <v/>
      </c>
      <c r="Q219" s="8">
        <f>IFERROR(VLOOKUP(VALUE(A219),WEEKLY_DATA!$A:$H,2,0),0)</f>
        <v>0</v>
      </c>
      <c r="R219" s="8">
        <f>IFERROR(VLOOKUP(VALUE(A219),WEEKLY_DATA!$A:$H,3,0),0)</f>
        <v>0</v>
      </c>
      <c r="S219" s="8">
        <f>IFERROR(VLOOKUP(VALUE(A219),WEEKLY_DATA!$A:$H,4,0),0)</f>
        <v>0</v>
      </c>
      <c r="T219" s="51">
        <f>IFERROR(VLOOKUP(VALUE(A219),WEEKLY_DATA!$A:$H,5,0),0)</f>
        <v>0</v>
      </c>
      <c r="U219" s="51">
        <f>IFERROR(VLOOKUP(VALUE(A219),WEEKLY_DATA!$A:$H,6,0),0)</f>
        <v>0</v>
      </c>
      <c r="V219" s="51">
        <f>IFERROR(VLOOKUP(VALUE(A219),WEEKLY_DATA!$A:$H,7,0),0)</f>
        <v>0</v>
      </c>
      <c r="W219" s="9" t="str">
        <f>IFERROR(IF(OR(Q219="",Q219=0),"",IF(VLOOKUP(VALUE($A219),WEEKLY_DATA!$A:$H,6,0)=0,"No Sales",Q219/(VLOOKUP(VALUE($A219),WEEKLY_DATA!$A:$H,6,0)/13))),"")</f>
        <v/>
      </c>
      <c r="X219" s="10">
        <f>IFERROR(VLOOKUP(VALUE(A219),WEEKLY_DATA!$A:$H,8,0),0)</f>
        <v>0</v>
      </c>
      <c r="Y219" s="13" t="str">
        <f t="shared" si="6"/>
        <v>—</v>
      </c>
      <c r="Z219" s="11"/>
      <c r="AA219" s="11"/>
      <c r="AB219" s="11"/>
      <c r="AC219" s="11"/>
      <c r="AD219" s="11"/>
      <c r="AE219" s="11"/>
      <c r="AF219" s="61"/>
      <c r="AG219" s="61"/>
      <c r="AH219" s="62"/>
      <c r="AI219" s="62"/>
      <c r="AJ219" s="61"/>
      <c r="AK219" s="61"/>
      <c r="AL219" s="61"/>
      <c r="AM219" s="58" t="str" cm="2">
        <f t="array" ref="AM219">IFERROR(LOOKUP(2, 1/SEARCH({"Black","White","Grey","Blue","Silver","Brown","Green","Blue","Purple","Red","Pink","Yellow","Gold"}, G219), {"Black","White","Grey","Blue","Silver","Brown","Green","Blue","Purple","Red","Pink","Yellow","Gold"}), "")</f>
        <v/>
      </c>
      <c r="AN219" s="58" t="str">
        <f>IFERROR(LOOKUP(2, 1/SEARCH({"8GB","16GB","32GB","64GB"}, G219), {"8GB","16GB","32GB","64GB"}), "")</f>
        <v/>
      </c>
      <c r="AO219" s="58" t="str">
        <f>IFERROR(LOOKUP(2, 1/SEARCH({"1TB","2TB","128GB","512GB","256GB"}, G219), {"1TB","2TB","128GB","512GB","256GB"}), "")</f>
        <v/>
      </c>
      <c r="AP219" s="58"/>
      <c r="AQ219" s="58" t="str">
        <f>IFERROR(LOOKUP(2, 1/SEARCH({"16-Inch","15-Inch","15.6-Inch","18-Inch","15.3-Inch","13-Inch","13.4-Inch","13.8-Inch","14-Inch","17-Inch","45-Inch","27-Inch","34-Inch","32-Inch","21.5-Inch"}, G219), {"16-Inch","15-Inch","15.6-Inch","18-Inch","15.3-Inch","13-Inch","13.4-Inch","13.8-Inch","14-Inch","17-Inch","45-Inch","27-Inch","34-Inch","32-Inch","21.5-Inch"}), "")</f>
        <v/>
      </c>
      <c r="AR219" s="58"/>
      <c r="AS219" s="91"/>
      <c r="AT219" s="93"/>
      <c r="AU219" s="93"/>
      <c r="AV219" s="93"/>
      <c r="AW219" s="93"/>
    </row>
    <row r="220" spans="1:49" ht="15" customHeight="1" x14ac:dyDescent="0.25">
      <c r="A220" s="59"/>
      <c r="B220" s="12"/>
      <c r="C220" s="12"/>
      <c r="D220" s="60"/>
      <c r="E220" s="6"/>
      <c r="F220" s="6"/>
      <c r="G220" s="12"/>
      <c r="H220" s="12" t="str" cm="2">
        <f t="array" ref="H220">IFERROR(INDEX(BrandList!$A$2:$A$50,MATCH(TRUE,ISNUMBER(SEARCH(BrandList!$A$2:$A$50,G220)),0)),"")</f>
        <v/>
      </c>
      <c r="I220" s="12" t="str" cm="2">
        <f t="array" ref="I220">IFERROR(INDEX(BrandList!$B$2:$B$200,MATCH(TRUE,ISNUMBER(SEARCH(BrandList!$B$2:$B$200,G220)),0)),"")</f>
        <v/>
      </c>
      <c r="J220" s="12"/>
      <c r="K220" s="59"/>
      <c r="L220" s="86"/>
      <c r="M220" s="86"/>
      <c r="N220" s="86"/>
      <c r="O220" s="86"/>
      <c r="P220" s="7" t="str">
        <f t="shared" si="7"/>
        <v/>
      </c>
      <c r="Q220" s="8">
        <f>IFERROR(VLOOKUP(VALUE(A220),WEEKLY_DATA!$A:$H,2,0),0)</f>
        <v>0</v>
      </c>
      <c r="R220" s="8">
        <f>IFERROR(VLOOKUP(VALUE(A220),WEEKLY_DATA!$A:$H,3,0),0)</f>
        <v>0</v>
      </c>
      <c r="S220" s="8">
        <f>IFERROR(VLOOKUP(VALUE(A220),WEEKLY_DATA!$A:$H,4,0),0)</f>
        <v>0</v>
      </c>
      <c r="T220" s="51">
        <f>IFERROR(VLOOKUP(VALUE(A220),WEEKLY_DATA!$A:$H,5,0),0)</f>
        <v>0</v>
      </c>
      <c r="U220" s="51">
        <f>IFERROR(VLOOKUP(VALUE(A220),WEEKLY_DATA!$A:$H,6,0),0)</f>
        <v>0</v>
      </c>
      <c r="V220" s="51">
        <f>IFERROR(VLOOKUP(VALUE(A220),WEEKLY_DATA!$A:$H,7,0),0)</f>
        <v>0</v>
      </c>
      <c r="W220" s="9" t="str">
        <f>IFERROR(IF(OR(Q220="",Q220=0),"",IF(VLOOKUP(VALUE($A220),WEEKLY_DATA!$A:$H,6,0)=0,"No Sales",Q220/(VLOOKUP(VALUE($A220),WEEKLY_DATA!$A:$H,6,0)/13))),"")</f>
        <v/>
      </c>
      <c r="X220" s="10">
        <f>IFERROR(VLOOKUP(VALUE(A220),WEEKLY_DATA!$A:$H,8,0),0)</f>
        <v>0</v>
      </c>
      <c r="Y220" s="13" t="str">
        <f t="shared" si="6"/>
        <v>—</v>
      </c>
      <c r="Z220" s="11"/>
      <c r="AA220" s="11"/>
      <c r="AB220" s="11"/>
      <c r="AC220" s="11"/>
      <c r="AD220" s="11"/>
      <c r="AE220" s="11"/>
      <c r="AF220" s="61" t="s">
        <v>144</v>
      </c>
      <c r="AG220" s="61"/>
      <c r="AH220" s="62"/>
      <c r="AI220" s="62"/>
      <c r="AJ220" s="61" t="s">
        <v>144</v>
      </c>
      <c r="AK220" s="61" t="s">
        <v>144</v>
      </c>
      <c r="AL220" s="61"/>
      <c r="AM220" s="58" t="str" cm="2">
        <f t="array" ref="AM220">IFERROR(LOOKUP(2, 1/SEARCH({"Black","White","Grey","Blue","Silver","Brown","Green","Blue","Purple","Red","Pink","Yellow","Gold"}, G220), {"Black","White","Grey","Blue","Silver","Brown","Green","Blue","Purple","Red","Pink","Yellow","Gold"}), "")</f>
        <v/>
      </c>
      <c r="AN220" s="58" t="str">
        <f>IFERROR(LOOKUP(2, 1/SEARCH({"8GB","16GB","32GB","64GB"}, G220), {"8GB","16GB","32GB","64GB"}), "")</f>
        <v/>
      </c>
      <c r="AO220" s="58" t="str">
        <f>IFERROR(LOOKUP(2, 1/SEARCH({"1TB","2TB","128GB","512GB","256GB"}, G220), {"1TB","2TB","128GB","512GB","256GB"}), "")</f>
        <v/>
      </c>
      <c r="AP220" s="58"/>
      <c r="AQ220" s="58" t="str">
        <f>IFERROR(LOOKUP(2, 1/SEARCH({"16-Inch","15-Inch","15.6-Inch","18-Inch","15.3-Inch","13-Inch","13.4-Inch","13.8-Inch","14-Inch","17-Inch","45-Inch","27-Inch","34-Inch","32-Inch","21.5-Inch"}, G220), {"16-Inch","15-Inch","15.6-Inch","18-Inch","15.3-Inch","13-Inch","13.4-Inch","13.8-Inch","14-Inch","17-Inch","45-Inch","27-Inch","34-Inch","32-Inch","21.5-Inch"}), "")</f>
        <v/>
      </c>
      <c r="AR220" s="58"/>
      <c r="AS220" s="91"/>
      <c r="AT220" s="93"/>
      <c r="AU220" s="93"/>
      <c r="AV220" s="93"/>
      <c r="AW220" s="93"/>
    </row>
    <row r="221" spans="1:49" ht="15" customHeight="1" x14ac:dyDescent="0.25">
      <c r="A221" s="59"/>
      <c r="B221" s="12"/>
      <c r="C221" s="12"/>
      <c r="D221" s="60"/>
      <c r="E221" s="6"/>
      <c r="F221" s="6"/>
      <c r="G221" s="12"/>
      <c r="H221" s="12" t="str" cm="2">
        <f t="array" ref="H221">IFERROR(INDEX(BrandList!$A$2:$A$50,MATCH(TRUE,ISNUMBER(SEARCH(BrandList!$A$2:$A$50,G221)),0)),"")</f>
        <v/>
      </c>
      <c r="I221" s="12" t="str" cm="2">
        <f t="array" ref="I221">IFERROR(INDEX(BrandList!$B$2:$B$200,MATCH(TRUE,ISNUMBER(SEARCH(BrandList!$B$2:$B$200,G221)),0)),"")</f>
        <v/>
      </c>
      <c r="J221" s="12"/>
      <c r="K221" s="12"/>
      <c r="L221" s="60"/>
      <c r="M221" s="60"/>
      <c r="N221" s="60"/>
      <c r="O221" s="60"/>
      <c r="P221" s="7" t="str">
        <f t="shared" si="7"/>
        <v/>
      </c>
      <c r="Q221" s="8">
        <f>IFERROR(VLOOKUP(VALUE(A221),WEEKLY_DATA!$A:$H,2,0),0)</f>
        <v>0</v>
      </c>
      <c r="R221" s="8">
        <f>IFERROR(VLOOKUP(VALUE(A221),WEEKLY_DATA!$A:$H,3,0),0)</f>
        <v>0</v>
      </c>
      <c r="S221" s="8">
        <f>IFERROR(VLOOKUP(VALUE(A221),WEEKLY_DATA!$A:$H,4,0),0)</f>
        <v>0</v>
      </c>
      <c r="T221" s="51">
        <f>IFERROR(VLOOKUP(VALUE(A221),WEEKLY_DATA!$A:$H,5,0),0)</f>
        <v>0</v>
      </c>
      <c r="U221" s="51">
        <f>IFERROR(VLOOKUP(VALUE(A221),WEEKLY_DATA!$A:$H,6,0),0)</f>
        <v>0</v>
      </c>
      <c r="V221" s="51">
        <f>IFERROR(VLOOKUP(VALUE(A221),WEEKLY_DATA!$A:$H,7,0),0)</f>
        <v>0</v>
      </c>
      <c r="W221" s="9" t="str">
        <f>IFERROR(IF(OR(Q221="",Q221=0),"",IF(VLOOKUP(VALUE($A221),WEEKLY_DATA!$A:$H,6,0)=0,"No Sales",Q221/(VLOOKUP(VALUE($A221),WEEKLY_DATA!$A:$H,6,0)/13))),"")</f>
        <v/>
      </c>
      <c r="X221" s="10">
        <f>IFERROR(VLOOKUP(VALUE(A221),WEEKLY_DATA!$A:$H,8,0),0)</f>
        <v>0</v>
      </c>
      <c r="Y221" s="13" t="str">
        <f t="shared" si="6"/>
        <v>—</v>
      </c>
      <c r="Z221" s="11"/>
      <c r="AA221" s="11"/>
      <c r="AB221" s="11"/>
      <c r="AC221" s="11"/>
      <c r="AD221" s="11"/>
      <c r="AE221" s="11"/>
      <c r="AF221" s="61" t="s">
        <v>144</v>
      </c>
      <c r="AG221" s="61"/>
      <c r="AH221" s="62"/>
      <c r="AI221" s="62"/>
      <c r="AJ221" s="61" t="s">
        <v>144</v>
      </c>
      <c r="AK221" s="61" t="s">
        <v>144</v>
      </c>
      <c r="AL221" s="61"/>
      <c r="AM221" s="58" t="str" cm="2">
        <f t="array" ref="AM221">IFERROR(LOOKUP(2, 1/SEARCH({"Black","White","Grey","Blue","Silver","Brown","Green","Blue","Purple","Red","Pink","Yellow","Gold"}, G221), {"Black","White","Grey","Blue","Silver","Brown","Green","Blue","Purple","Red","Pink","Yellow","Gold"}), "")</f>
        <v/>
      </c>
      <c r="AN221" s="58" t="str">
        <f>IFERROR(LOOKUP(2, 1/SEARCH({"8GB","16GB","32GB","64GB"}, G221), {"8GB","16GB","32GB","64GB"}), "")</f>
        <v/>
      </c>
      <c r="AO221" s="58" t="str">
        <f>IFERROR(LOOKUP(2, 1/SEARCH({"1TB","2TB","128GB","512GB","256GB"}, G221), {"1TB","2TB","128GB","512GB","256GB"}), "")</f>
        <v/>
      </c>
      <c r="AP221" s="58"/>
      <c r="AQ221" s="58" t="str">
        <f>IFERROR(LOOKUP(2, 1/SEARCH({"16-Inch","15-Inch","15.6-Inch","18-Inch","15.3-Inch","13-Inch","13.4-Inch","13.8-Inch","14-Inch","17-Inch","45-Inch","27-Inch","34-Inch","32-Inch","21.5-Inch"}, G221), {"16-Inch","15-Inch","15.6-Inch","18-Inch","15.3-Inch","13-Inch","13.4-Inch","13.8-Inch","14-Inch","17-Inch","45-Inch","27-Inch","34-Inch","32-Inch","21.5-Inch"}), "")</f>
        <v/>
      </c>
      <c r="AR221" s="58"/>
      <c r="AS221" s="91"/>
      <c r="AT221" s="93"/>
      <c r="AU221" s="93"/>
      <c r="AV221" s="93"/>
      <c r="AW221" s="93"/>
    </row>
    <row r="222" spans="1:49" ht="15" customHeight="1" x14ac:dyDescent="0.25">
      <c r="A222" s="59"/>
      <c r="B222" s="12"/>
      <c r="C222" s="12"/>
      <c r="D222" s="60"/>
      <c r="E222" s="6"/>
      <c r="F222" s="6"/>
      <c r="G222" s="12"/>
      <c r="H222" s="12" t="str" cm="2">
        <f t="array" ref="H222">IFERROR(INDEX(BrandList!$A$2:$A$50,MATCH(TRUE,ISNUMBER(SEARCH(BrandList!$A$2:$A$50,G222)),0)),"")</f>
        <v/>
      </c>
      <c r="I222" s="12" t="str" cm="2">
        <f t="array" ref="I222">IFERROR(INDEX(BrandList!$B$2:$B$200,MATCH(TRUE,ISNUMBER(SEARCH(BrandList!$B$2:$B$200,G222)),0)),"")</f>
        <v/>
      </c>
      <c r="J222" s="12"/>
      <c r="K222" s="12"/>
      <c r="L222" s="60"/>
      <c r="M222" s="60"/>
      <c r="N222" s="60"/>
      <c r="O222" s="60"/>
      <c r="P222" s="7" t="str">
        <f t="shared" si="7"/>
        <v/>
      </c>
      <c r="Q222" s="8">
        <f>IFERROR(VLOOKUP(VALUE(A222),WEEKLY_DATA!$A:$H,2,0),0)</f>
        <v>0</v>
      </c>
      <c r="R222" s="8">
        <f>IFERROR(VLOOKUP(VALUE(A222),WEEKLY_DATA!$A:$H,3,0),0)</f>
        <v>0</v>
      </c>
      <c r="S222" s="8">
        <f>IFERROR(VLOOKUP(VALUE(A222),WEEKLY_DATA!$A:$H,4,0),0)</f>
        <v>0</v>
      </c>
      <c r="T222" s="51">
        <f>IFERROR(VLOOKUP(VALUE(A222),WEEKLY_DATA!$A:$H,5,0),0)</f>
        <v>0</v>
      </c>
      <c r="U222" s="51">
        <f>IFERROR(VLOOKUP(VALUE(A222),WEEKLY_DATA!$A:$H,6,0),0)</f>
        <v>0</v>
      </c>
      <c r="V222" s="51">
        <f>IFERROR(VLOOKUP(VALUE(A222),WEEKLY_DATA!$A:$H,7,0),0)</f>
        <v>0</v>
      </c>
      <c r="W222" s="9" t="str">
        <f>IFERROR(IF(OR(Q222="",Q222=0),"",IF(VLOOKUP(VALUE($A222),WEEKLY_DATA!$A:$H,6,0)=0,"No Sales",Q222/(VLOOKUP(VALUE($A222),WEEKLY_DATA!$A:$H,6,0)/13))),"")</f>
        <v/>
      </c>
      <c r="X222" s="10">
        <f>IFERROR(VLOOKUP(VALUE(A222),WEEKLY_DATA!$A:$H,8,0),0)</f>
        <v>0</v>
      </c>
      <c r="Y222" s="13" t="str">
        <f t="shared" si="6"/>
        <v>—</v>
      </c>
      <c r="Z222" s="11"/>
      <c r="AA222" s="11"/>
      <c r="AB222" s="11"/>
      <c r="AC222" s="11"/>
      <c r="AD222" s="11"/>
      <c r="AE222" s="11"/>
      <c r="AF222" s="61" t="s">
        <v>144</v>
      </c>
      <c r="AG222" s="61"/>
      <c r="AH222" s="62"/>
      <c r="AI222" s="62"/>
      <c r="AJ222" s="61" t="s">
        <v>144</v>
      </c>
      <c r="AK222" s="61" t="s">
        <v>144</v>
      </c>
      <c r="AL222" s="61"/>
      <c r="AM222" s="58" t="str" cm="2">
        <f t="array" ref="AM222">IFERROR(LOOKUP(2, 1/SEARCH({"Black","White","Grey","Blue","Silver","Brown","Green","Blue","Purple","Red","Pink","Yellow","Gold"}, G222), {"Black","White","Grey","Blue","Silver","Brown","Green","Blue","Purple","Red","Pink","Yellow","Gold"}), "")</f>
        <v/>
      </c>
      <c r="AN222" s="58" t="str">
        <f>IFERROR(LOOKUP(2, 1/SEARCH({"8GB","16GB","32GB","64GB"}, G222), {"8GB","16GB","32GB","64GB"}), "")</f>
        <v/>
      </c>
      <c r="AO222" s="58" t="str">
        <f>IFERROR(LOOKUP(2, 1/SEARCH({"1TB","2TB","128GB","512GB","256GB"}, G222), {"1TB","2TB","128GB","512GB","256GB"}), "")</f>
        <v/>
      </c>
      <c r="AP222" s="58"/>
      <c r="AQ222" s="58" t="str">
        <f>IFERROR(LOOKUP(2, 1/SEARCH({"16-Inch","15-Inch","15.6-Inch","18-Inch","15.3-Inch","13-Inch","13.4-Inch","13.8-Inch","14-Inch","17-Inch","45-Inch","27-Inch","34-Inch","32-Inch","21.5-Inch"}, G222), {"16-Inch","15-Inch","15.6-Inch","18-Inch","15.3-Inch","13-Inch","13.4-Inch","13.8-Inch","14-Inch","17-Inch","45-Inch","27-Inch","34-Inch","32-Inch","21.5-Inch"}), "")</f>
        <v/>
      </c>
      <c r="AR222" s="58"/>
      <c r="AS222" s="91"/>
      <c r="AT222" s="93"/>
      <c r="AU222" s="93"/>
      <c r="AV222" s="93"/>
      <c r="AW222" s="93"/>
    </row>
    <row r="223" spans="1:49" ht="15" customHeight="1" x14ac:dyDescent="0.25">
      <c r="A223" s="59"/>
      <c r="B223" s="12"/>
      <c r="C223" s="12"/>
      <c r="D223" s="60"/>
      <c r="E223" s="6"/>
      <c r="F223" s="6"/>
      <c r="G223" s="12"/>
      <c r="H223" s="12" t="str" cm="2">
        <f t="array" ref="H223">IFERROR(INDEX(BrandList!$A$2:$A$50,MATCH(TRUE,ISNUMBER(SEARCH(BrandList!$A$2:$A$50,G223)),0)),"")</f>
        <v/>
      </c>
      <c r="I223" s="12" t="str" cm="2">
        <f t="array" ref="I223">IFERROR(INDEX(BrandList!$B$2:$B$200,MATCH(TRUE,ISNUMBER(SEARCH(BrandList!$B$2:$B$200,G223)),0)),"")</f>
        <v/>
      </c>
      <c r="J223" s="12"/>
      <c r="K223" s="59"/>
      <c r="L223" s="86"/>
      <c r="M223" s="86"/>
      <c r="N223" s="86"/>
      <c r="O223" s="86"/>
      <c r="P223" s="7" t="str">
        <f t="shared" si="7"/>
        <v/>
      </c>
      <c r="Q223" s="8">
        <f>IFERROR(VLOOKUP(VALUE(A223),WEEKLY_DATA!$A:$H,2,0),0)</f>
        <v>0</v>
      </c>
      <c r="R223" s="8">
        <f>IFERROR(VLOOKUP(VALUE(A223),WEEKLY_DATA!$A:$H,3,0),0)</f>
        <v>0</v>
      </c>
      <c r="S223" s="8">
        <f>IFERROR(VLOOKUP(VALUE(A223),WEEKLY_DATA!$A:$H,4,0),0)</f>
        <v>0</v>
      </c>
      <c r="T223" s="51">
        <f>IFERROR(VLOOKUP(VALUE(A223),WEEKLY_DATA!$A:$H,5,0),0)</f>
        <v>0</v>
      </c>
      <c r="U223" s="51">
        <f>IFERROR(VLOOKUP(VALUE(A223),WEEKLY_DATA!$A:$H,6,0),0)</f>
        <v>0</v>
      </c>
      <c r="V223" s="51">
        <f>IFERROR(VLOOKUP(VALUE(A223),WEEKLY_DATA!$A:$H,7,0),0)</f>
        <v>0</v>
      </c>
      <c r="W223" s="9" t="str">
        <f>IFERROR(IF(OR(Q223="",Q223=0),"",IF(VLOOKUP(VALUE($A223),WEEKLY_DATA!$A:$H,6,0)=0,"No Sales",Q223/(VLOOKUP(VALUE($A223),WEEKLY_DATA!$A:$H,6,0)/13))),"")</f>
        <v/>
      </c>
      <c r="X223" s="10">
        <f>IFERROR(VLOOKUP(VALUE(A223),WEEKLY_DATA!$A:$H,8,0),0)</f>
        <v>0</v>
      </c>
      <c r="Y223" s="13" t="str">
        <f t="shared" si="6"/>
        <v>—</v>
      </c>
      <c r="Z223" s="11"/>
      <c r="AA223" s="11"/>
      <c r="AB223" s="11"/>
      <c r="AC223" s="11"/>
      <c r="AD223" s="11"/>
      <c r="AE223" s="11"/>
      <c r="AF223" s="61" t="s">
        <v>144</v>
      </c>
      <c r="AG223" s="61"/>
      <c r="AH223" s="62"/>
      <c r="AI223" s="62"/>
      <c r="AJ223" s="61" t="s">
        <v>144</v>
      </c>
      <c r="AK223" s="61" t="s">
        <v>144</v>
      </c>
      <c r="AL223" s="61"/>
      <c r="AM223" s="58" t="str" cm="2">
        <f t="array" ref="AM223">IFERROR(LOOKUP(2, 1/SEARCH({"Black","White","Grey","Blue","Silver","Brown","Green","Blue","Purple","Red","Pink","Yellow","Gold"}, G223), {"Black","White","Grey","Blue","Silver","Brown","Green","Blue","Purple","Red","Pink","Yellow","Gold"}), "")</f>
        <v/>
      </c>
      <c r="AN223" s="58" t="str">
        <f>IFERROR(LOOKUP(2, 1/SEARCH({"8GB","16GB","32GB","64GB"}, G223), {"8GB","16GB","32GB","64GB"}), "")</f>
        <v/>
      </c>
      <c r="AO223" s="58" t="str">
        <f>IFERROR(LOOKUP(2, 1/SEARCH({"1TB","2TB","128GB","512GB","256GB"}, G223), {"1TB","2TB","128GB","512GB","256GB"}), "")</f>
        <v/>
      </c>
      <c r="AP223" s="58"/>
      <c r="AQ223" s="58" t="str">
        <f>IFERROR(LOOKUP(2, 1/SEARCH({"16-Inch","15-Inch","15.6-Inch","18-Inch","15.3-Inch","13-Inch","13.4-Inch","13.8-Inch","14-Inch","17-Inch","45-Inch","27-Inch","34-Inch","32-Inch","21.5-Inch"}, G223), {"16-Inch","15-Inch","15.6-Inch","18-Inch","15.3-Inch","13-Inch","13.4-Inch","13.8-Inch","14-Inch","17-Inch","45-Inch","27-Inch","34-Inch","32-Inch","21.5-Inch"}), "")</f>
        <v/>
      </c>
      <c r="AR223" s="58"/>
      <c r="AS223" s="91"/>
      <c r="AT223" s="93"/>
      <c r="AU223" s="93"/>
      <c r="AV223" s="93"/>
      <c r="AW223" s="93"/>
    </row>
    <row r="224" spans="1:49" ht="15" customHeight="1" x14ac:dyDescent="0.25">
      <c r="A224" s="59"/>
      <c r="B224" s="12"/>
      <c r="C224" s="12"/>
      <c r="D224" s="60"/>
      <c r="E224" s="6"/>
      <c r="F224" s="6"/>
      <c r="G224" s="12"/>
      <c r="H224" s="12" t="str" cm="2">
        <f t="array" ref="H224">IFERROR(INDEX(BrandList!$A$2:$A$50,MATCH(TRUE,ISNUMBER(SEARCH(BrandList!$A$2:$A$50,G224)),0)),"")</f>
        <v/>
      </c>
      <c r="I224" s="12" t="str" cm="2">
        <f t="array" ref="I224">IFERROR(INDEX(BrandList!$B$2:$B$200,MATCH(TRUE,ISNUMBER(SEARCH(BrandList!$B$2:$B$200,G224)),0)),"")</f>
        <v/>
      </c>
      <c r="J224" s="12"/>
      <c r="K224" s="59"/>
      <c r="L224" s="86"/>
      <c r="M224" s="86"/>
      <c r="N224" s="86"/>
      <c r="O224" s="86"/>
      <c r="P224" s="7" t="str">
        <f t="shared" si="7"/>
        <v/>
      </c>
      <c r="Q224" s="8">
        <f>IFERROR(VLOOKUP(VALUE(A224),WEEKLY_DATA!$A:$H,2,0),0)</f>
        <v>0</v>
      </c>
      <c r="R224" s="8">
        <f>IFERROR(VLOOKUP(VALUE(A224),WEEKLY_DATA!$A:$H,3,0),0)</f>
        <v>0</v>
      </c>
      <c r="S224" s="8">
        <f>IFERROR(VLOOKUP(VALUE(A224),WEEKLY_DATA!$A:$H,4,0),0)</f>
        <v>0</v>
      </c>
      <c r="T224" s="51">
        <f>IFERROR(VLOOKUP(VALUE(A224),WEEKLY_DATA!$A:$H,5,0),0)</f>
        <v>0</v>
      </c>
      <c r="U224" s="51">
        <f>IFERROR(VLOOKUP(VALUE(A224),WEEKLY_DATA!$A:$H,6,0),0)</f>
        <v>0</v>
      </c>
      <c r="V224" s="51">
        <f>IFERROR(VLOOKUP(VALUE(A224),WEEKLY_DATA!$A:$H,7,0),0)</f>
        <v>0</v>
      </c>
      <c r="W224" s="9" t="str">
        <f>IFERROR(IF(OR(Q224="",Q224=0),"",IF(VLOOKUP(VALUE($A224),WEEKLY_DATA!$A:$H,6,0)=0,"No Sales",Q224/(VLOOKUP(VALUE($A224),WEEKLY_DATA!$A:$H,6,0)/13))),"")</f>
        <v/>
      </c>
      <c r="X224" s="10">
        <f>IFERROR(VLOOKUP(VALUE(A224),WEEKLY_DATA!$A:$H,8,0),0)</f>
        <v>0</v>
      </c>
      <c r="Y224" s="13" t="str">
        <f t="shared" si="6"/>
        <v>—</v>
      </c>
      <c r="Z224" s="11"/>
      <c r="AA224" s="11"/>
      <c r="AB224" s="11"/>
      <c r="AC224" s="11"/>
      <c r="AD224" s="11"/>
      <c r="AE224" s="11"/>
      <c r="AF224" s="61" t="s">
        <v>144</v>
      </c>
      <c r="AG224" s="61"/>
      <c r="AH224" s="62"/>
      <c r="AI224" s="62"/>
      <c r="AJ224" s="61" t="s">
        <v>144</v>
      </c>
      <c r="AK224" s="61" t="s">
        <v>144</v>
      </c>
      <c r="AL224" s="61"/>
      <c r="AM224" s="58" t="str" cm="2">
        <f t="array" ref="AM224">IFERROR(LOOKUP(2, 1/SEARCH({"Black","White","Grey","Blue","Silver","Brown","Green","Blue","Purple","Red","Pink","Yellow","Gold"}, G224), {"Black","White","Grey","Blue","Silver","Brown","Green","Blue","Purple","Red","Pink","Yellow","Gold"}), "")</f>
        <v/>
      </c>
      <c r="AN224" s="58" t="str">
        <f>IFERROR(LOOKUP(2, 1/SEARCH({"8GB","16GB","32GB","64GB"}, G224), {"8GB","16GB","32GB","64GB"}), "")</f>
        <v/>
      </c>
      <c r="AO224" s="58" t="str">
        <f>IFERROR(LOOKUP(2, 1/SEARCH({"1TB","2TB","128GB","512GB","256GB"}, G224), {"1TB","2TB","128GB","512GB","256GB"}), "")</f>
        <v/>
      </c>
      <c r="AP224" s="58"/>
      <c r="AQ224" s="58" t="str">
        <f>IFERROR(LOOKUP(2, 1/SEARCH({"16-Inch","15-Inch","15.6-Inch","18-Inch","15.3-Inch","13-Inch","13.4-Inch","13.8-Inch","14-Inch","17-Inch","45-Inch","27-Inch","34-Inch","32-Inch","21.5-Inch"}, G224), {"16-Inch","15-Inch","15.6-Inch","18-Inch","15.3-Inch","13-Inch","13.4-Inch","13.8-Inch","14-Inch","17-Inch","45-Inch","27-Inch","34-Inch","32-Inch","21.5-Inch"}), "")</f>
        <v/>
      </c>
      <c r="AR224" s="58"/>
      <c r="AS224" s="91"/>
      <c r="AT224" s="93"/>
      <c r="AU224" s="93"/>
      <c r="AV224" s="93"/>
      <c r="AW224" s="93"/>
    </row>
    <row r="225" spans="1:49" x14ac:dyDescent="0.25">
      <c r="A225" s="59"/>
      <c r="B225" s="12"/>
      <c r="C225" s="12"/>
      <c r="D225" s="60"/>
      <c r="E225" s="6"/>
      <c r="F225" s="6"/>
      <c r="G225" s="12"/>
      <c r="H225" s="12" t="str" cm="2">
        <f t="array" ref="H225">IFERROR(INDEX(BrandList!$A$2:$A$50,MATCH(TRUE,ISNUMBER(SEARCH(BrandList!$A$2:$A$50,G225)),0)),"")</f>
        <v/>
      </c>
      <c r="I225" s="12" t="str" cm="2">
        <f t="array" ref="I225">IFERROR(INDEX(BrandList!$B$2:$B$200,MATCH(TRUE,ISNUMBER(SEARCH(BrandList!$B$2:$B$200,G225)),0)),"")</f>
        <v/>
      </c>
      <c r="J225" s="12"/>
      <c r="K225" s="12"/>
      <c r="L225" s="60"/>
      <c r="M225" s="60"/>
      <c r="N225" s="60"/>
      <c r="O225" s="60"/>
      <c r="P225" s="7" t="str">
        <f t="shared" si="7"/>
        <v/>
      </c>
      <c r="Q225" s="8">
        <f>IFERROR(VLOOKUP(VALUE(A225),WEEKLY_DATA!$A:$H,2,0),0)</f>
        <v>0</v>
      </c>
      <c r="R225" s="8">
        <f>IFERROR(VLOOKUP(VALUE(A225),WEEKLY_DATA!$A:$H,3,0),0)</f>
        <v>0</v>
      </c>
      <c r="S225" s="8">
        <f>IFERROR(VLOOKUP(VALUE(A225),WEEKLY_DATA!$A:$H,4,0),0)</f>
        <v>0</v>
      </c>
      <c r="T225" s="51">
        <f>IFERROR(VLOOKUP(VALUE(A225),WEEKLY_DATA!$A:$H,5,0),0)</f>
        <v>0</v>
      </c>
      <c r="U225" s="51">
        <f>IFERROR(VLOOKUP(VALUE(A225),WEEKLY_DATA!$A:$H,6,0),0)</f>
        <v>0</v>
      </c>
      <c r="V225" s="51">
        <f>IFERROR(VLOOKUP(VALUE(A225),WEEKLY_DATA!$A:$H,7,0),0)</f>
        <v>0</v>
      </c>
      <c r="W225" s="9" t="str">
        <f>IFERROR(IF(OR(Q225="",Q225=0),"",IF(VLOOKUP(VALUE($A225),WEEKLY_DATA!$A:$H,6,0)=0,"No Sales",Q225/(VLOOKUP(VALUE($A225),WEEKLY_DATA!$A:$H,6,0)/13))),"")</f>
        <v/>
      </c>
      <c r="X225" s="10">
        <f>IFERROR(VLOOKUP(VALUE(A225),WEEKLY_DATA!$A:$H,8,0),0)</f>
        <v>0</v>
      </c>
      <c r="Y225" s="13" t="str">
        <f t="shared" si="6"/>
        <v>—</v>
      </c>
      <c r="Z225" s="11"/>
      <c r="AA225" s="11"/>
      <c r="AB225" s="11"/>
      <c r="AC225" s="11"/>
      <c r="AD225" s="11"/>
      <c r="AE225" s="11"/>
      <c r="AF225" s="61" t="s">
        <v>144</v>
      </c>
      <c r="AG225" s="61"/>
      <c r="AH225" s="62"/>
      <c r="AI225" s="62"/>
      <c r="AJ225" s="61" t="s">
        <v>144</v>
      </c>
      <c r="AK225" s="61" t="s">
        <v>144</v>
      </c>
      <c r="AL225" s="61"/>
      <c r="AM225" s="58" t="str" cm="2">
        <f t="array" ref="AM225">IFERROR(LOOKUP(2, 1/SEARCH({"Black","White","Grey","Blue","Silver","Brown","Green","Blue","Purple","Red","Pink","Yellow","Gold"}, G225), {"Black","White","Grey","Blue","Silver","Brown","Green","Blue","Purple","Red","Pink","Yellow","Gold"}), "")</f>
        <v/>
      </c>
      <c r="AN225" s="58" t="str">
        <f>IFERROR(LOOKUP(2, 1/SEARCH({"8GB","16GB","32GB","64GB"}, G225), {"8GB","16GB","32GB","64GB"}), "")</f>
        <v/>
      </c>
      <c r="AO225" s="58" t="str">
        <f>IFERROR(LOOKUP(2, 1/SEARCH({"1TB","2TB","128GB","512GB","256GB"}, G225), {"1TB","2TB","128GB","512GB","256GB"}), "")</f>
        <v/>
      </c>
      <c r="AP225" s="58"/>
      <c r="AQ225" s="58" t="str">
        <f>IFERROR(LOOKUP(2, 1/SEARCH({"16-Inch","15-Inch","15.6-Inch","18-Inch","15.3-Inch","13-Inch","13.4-Inch","13.8-Inch","14-Inch","17-Inch","45-Inch","27-Inch","34-Inch","32-Inch","21.5-Inch"}, G225), {"16-Inch","15-Inch","15.6-Inch","18-Inch","15.3-Inch","13-Inch","13.4-Inch","13.8-Inch","14-Inch","17-Inch","45-Inch","27-Inch","34-Inch","32-Inch","21.5-Inch"}), "")</f>
        <v/>
      </c>
      <c r="AR225" s="58"/>
      <c r="AS225" s="91"/>
      <c r="AT225" s="93"/>
      <c r="AU225" s="93"/>
      <c r="AV225" s="93"/>
      <c r="AW225" s="93"/>
    </row>
    <row r="226" spans="1:49" x14ac:dyDescent="0.25">
      <c r="A226" s="59"/>
      <c r="B226" s="12"/>
      <c r="C226" s="12"/>
      <c r="D226" s="60"/>
      <c r="E226" s="6"/>
      <c r="F226" s="6"/>
      <c r="G226" s="12"/>
      <c r="H226" s="12"/>
      <c r="I226" s="12" t="str" cm="2">
        <f t="array" ref="I226">IFERROR(INDEX(BrandList!$B$2:$B$200,MATCH(TRUE,ISNUMBER(SEARCH(BrandList!$B$2:$B$200,G226)),0)),"")</f>
        <v/>
      </c>
      <c r="J226" s="12"/>
      <c r="K226" s="12"/>
      <c r="L226" s="60"/>
      <c r="M226" s="60"/>
      <c r="N226" s="60"/>
      <c r="O226" s="60"/>
      <c r="P226" s="7" t="str">
        <f t="shared" si="7"/>
        <v/>
      </c>
      <c r="Q226" s="8">
        <f>IFERROR(VLOOKUP(VALUE(A226),WEEKLY_DATA!$A:$H,2,0),0)</f>
        <v>0</v>
      </c>
      <c r="R226" s="8">
        <f>IFERROR(VLOOKUP(VALUE(A226),WEEKLY_DATA!$A:$H,3,0),0)</f>
        <v>0</v>
      </c>
      <c r="S226" s="8">
        <f>IFERROR(VLOOKUP(VALUE(A226),WEEKLY_DATA!$A:$H,4,0),0)</f>
        <v>0</v>
      </c>
      <c r="T226" s="51">
        <f>IFERROR(VLOOKUP(VALUE(A226),WEEKLY_DATA!$A:$H,5,0),0)</f>
        <v>0</v>
      </c>
      <c r="U226" s="51">
        <f>IFERROR(VLOOKUP(VALUE(A226),WEEKLY_DATA!$A:$H,6,0),0)</f>
        <v>0</v>
      </c>
      <c r="V226" s="51">
        <f>IFERROR(VLOOKUP(VALUE(A226),WEEKLY_DATA!$A:$H,7,0),0)</f>
        <v>0</v>
      </c>
      <c r="W226" s="9" t="str">
        <f>IFERROR(IF(OR(Q226="",Q226=0),"",IF(VLOOKUP(VALUE($A226),WEEKLY_DATA!$A:$H,6,0)=0,"No Sales",Q226/(VLOOKUP(VALUE($A226),WEEKLY_DATA!$A:$H,6,0)/13))),"")</f>
        <v/>
      </c>
      <c r="X226" s="10">
        <f>IFERROR(VLOOKUP(VALUE(A226),WEEKLY_DATA!$A:$H,8,0),0)</f>
        <v>0</v>
      </c>
      <c r="Y226" s="13" t="str">
        <f t="shared" si="6"/>
        <v>—</v>
      </c>
      <c r="Z226" s="11"/>
      <c r="AA226" s="11"/>
      <c r="AB226" s="11"/>
      <c r="AC226" s="11"/>
      <c r="AD226" s="11"/>
      <c r="AE226" s="11"/>
      <c r="AF226" s="61"/>
      <c r="AG226" s="61"/>
      <c r="AH226" s="62"/>
      <c r="AI226" s="62"/>
      <c r="AJ226" s="61"/>
      <c r="AK226" s="61"/>
      <c r="AL226" s="61"/>
      <c r="AM226" s="58"/>
      <c r="AN226" s="58"/>
      <c r="AO226" s="58"/>
      <c r="AP226" s="58"/>
      <c r="AQ226" s="58"/>
      <c r="AR226" s="58"/>
      <c r="AS226" s="91"/>
      <c r="AT226" s="93"/>
      <c r="AU226" s="93"/>
      <c r="AV226" s="93"/>
      <c r="AW226" s="93"/>
    </row>
    <row r="227" spans="1:49" x14ac:dyDescent="0.25">
      <c r="A227" s="59"/>
      <c r="B227" s="12"/>
      <c r="C227" s="12"/>
      <c r="D227" s="60"/>
      <c r="E227" s="6"/>
      <c r="F227" s="6"/>
      <c r="G227" s="12"/>
      <c r="H227" s="12" t="str" cm="1">
        <f t="array" ref="H227">IFERROR(INDEX(BrandList!$A$2:$A$250,MATCH(TRUE,ISNUMBER(SEARCH(BrandList!$A$2:$A$250,G227)),0)),"")</f>
        <v/>
      </c>
      <c r="I227" s="12" t="str" cm="2">
        <f t="array" ref="I227">IFERROR(INDEX(BrandList!$B$2:$B$200,MATCH(TRUE,ISNUMBER(SEARCH(BrandList!$B$2:$B$200,G227)),0)),"")</f>
        <v/>
      </c>
      <c r="J227" s="12"/>
      <c r="K227" s="12"/>
      <c r="L227" s="60"/>
      <c r="M227" s="60"/>
      <c r="N227" s="60"/>
      <c r="O227" s="60"/>
      <c r="P227" s="7" t="str">
        <f t="shared" si="7"/>
        <v/>
      </c>
      <c r="Q227" s="8">
        <f>IFERROR(VLOOKUP(VALUE(A227),WEEKLY_DATA!$A:$H,2,0),0)</f>
        <v>0</v>
      </c>
      <c r="R227" s="8">
        <f>IFERROR(VLOOKUP(VALUE(A227),WEEKLY_DATA!$A:$H,3,0),0)</f>
        <v>0</v>
      </c>
      <c r="S227" s="8">
        <f>IFERROR(VLOOKUP(VALUE(A227),WEEKLY_DATA!$A:$H,4,0),0)</f>
        <v>0</v>
      </c>
      <c r="T227" s="51">
        <f>IFERROR(VLOOKUP(VALUE(A227),WEEKLY_DATA!$A:$H,5,0),0)</f>
        <v>0</v>
      </c>
      <c r="U227" s="51">
        <f>IFERROR(VLOOKUP(VALUE(A227),WEEKLY_DATA!$A:$H,6,0),0)</f>
        <v>0</v>
      </c>
      <c r="V227" s="51">
        <f>IFERROR(VLOOKUP(VALUE(A227),WEEKLY_DATA!$A:$H,7,0),0)</f>
        <v>0</v>
      </c>
      <c r="W227" s="9" t="str">
        <f>IFERROR(IF(OR(Q227="",Q227=0),"",IF(VLOOKUP(VALUE($A227),WEEKLY_DATA!$A:$H,6,0)=0,"No Sales",Q227/(VLOOKUP(VALUE($A227),WEEKLY_DATA!$A:$H,6,0)/13))),"")</f>
        <v/>
      </c>
      <c r="X227" s="10">
        <f>IFERROR(VLOOKUP(VALUE(A227),WEEKLY_DATA!$A:$H,8,0),0)</f>
        <v>0</v>
      </c>
      <c r="Y227" s="13" t="str">
        <f t="shared" si="6"/>
        <v>—</v>
      </c>
      <c r="Z227" s="11"/>
      <c r="AA227" s="11"/>
      <c r="AB227" s="11"/>
      <c r="AC227" s="11"/>
      <c r="AD227" s="11"/>
      <c r="AE227" s="11"/>
      <c r="AF227" s="61"/>
      <c r="AG227" s="61"/>
      <c r="AH227" s="62"/>
      <c r="AI227" s="62"/>
      <c r="AJ227" s="61"/>
      <c r="AK227" s="61"/>
      <c r="AL227" s="61"/>
      <c r="AM227" s="58"/>
      <c r="AN227" s="58"/>
      <c r="AO227" s="58"/>
      <c r="AP227" s="58"/>
      <c r="AQ227" s="58"/>
      <c r="AR227" s="58"/>
      <c r="AS227" s="91"/>
      <c r="AT227" s="93"/>
      <c r="AU227" s="93"/>
      <c r="AV227" s="93"/>
      <c r="AW227" s="93"/>
    </row>
    <row r="228" spans="1:49" x14ac:dyDescent="0.25">
      <c r="A228" s="59"/>
      <c r="B228" s="12"/>
      <c r="C228" s="12"/>
      <c r="D228" s="60"/>
      <c r="E228" s="6"/>
      <c r="F228" s="6"/>
      <c r="G228" s="12"/>
      <c r="H228" s="12" t="str" cm="1">
        <f t="array" ref="H228">IFERROR(INDEX(BrandList!$A$2:$A$250,MATCH(TRUE,ISNUMBER(SEARCH(BrandList!$A$2:$A$250,G228)),0)),"")</f>
        <v/>
      </c>
      <c r="I228" s="12" t="str" cm="2">
        <f t="array" ref="I228">IFERROR(INDEX(BrandList!$B$2:$B$200,MATCH(TRUE,ISNUMBER(SEARCH(BrandList!$B$2:$B$200,G228)),0)),"")</f>
        <v/>
      </c>
      <c r="J228" s="12"/>
      <c r="K228" s="12"/>
      <c r="L228" s="60"/>
      <c r="M228" s="60"/>
      <c r="N228" s="60"/>
      <c r="O228" s="60"/>
      <c r="P228" s="7" t="str">
        <f t="shared" si="7"/>
        <v/>
      </c>
      <c r="Q228" s="8">
        <f>IFERROR(VLOOKUP(VALUE(A228),WEEKLY_DATA!$A:$H,2,0),0)</f>
        <v>0</v>
      </c>
      <c r="R228" s="8">
        <f>IFERROR(VLOOKUP(VALUE(A228),WEEKLY_DATA!$A:$H,3,0),0)</f>
        <v>0</v>
      </c>
      <c r="S228" s="8">
        <f>IFERROR(VLOOKUP(VALUE(A228),WEEKLY_DATA!$A:$H,4,0),0)</f>
        <v>0</v>
      </c>
      <c r="T228" s="51">
        <f>IFERROR(VLOOKUP(VALUE(A228),WEEKLY_DATA!$A:$H,5,0),0)</f>
        <v>0</v>
      </c>
      <c r="U228" s="51">
        <f>IFERROR(VLOOKUP(VALUE(A228),WEEKLY_DATA!$A:$H,6,0),0)</f>
        <v>0</v>
      </c>
      <c r="V228" s="51">
        <f>IFERROR(VLOOKUP(VALUE(A228),WEEKLY_DATA!$A:$H,7,0),0)</f>
        <v>0</v>
      </c>
      <c r="W228" s="9" t="str">
        <f>IFERROR(IF(OR(Q228="",Q228=0),"",IF(VLOOKUP(VALUE($A228),WEEKLY_DATA!$A:$H,6,0)=0,"No Sales",Q228/(VLOOKUP(VALUE($A228),WEEKLY_DATA!$A:$H,6,0)/13))),"")</f>
        <v/>
      </c>
      <c r="X228" s="10">
        <f>IFERROR(VLOOKUP(VALUE(A228),WEEKLY_DATA!$A:$H,8,0),0)</f>
        <v>0</v>
      </c>
      <c r="Y228" s="13" t="str">
        <f t="shared" si="6"/>
        <v>—</v>
      </c>
      <c r="Z228" s="11"/>
      <c r="AA228" s="11"/>
      <c r="AB228" s="11"/>
      <c r="AC228" s="11"/>
      <c r="AD228" s="11"/>
      <c r="AE228" s="11"/>
      <c r="AF228" s="61"/>
      <c r="AG228" s="61"/>
      <c r="AH228" s="62"/>
      <c r="AI228" s="62"/>
      <c r="AJ228" s="61"/>
      <c r="AK228" s="61"/>
      <c r="AL228" s="61"/>
      <c r="AM228" s="58"/>
      <c r="AN228" s="58"/>
      <c r="AO228" s="58"/>
      <c r="AP228" s="58"/>
      <c r="AQ228" s="58"/>
      <c r="AR228" s="58"/>
      <c r="AS228" s="91"/>
      <c r="AT228" s="93"/>
      <c r="AU228" s="93"/>
      <c r="AV228" s="93"/>
      <c r="AW228" s="93"/>
    </row>
    <row r="229" spans="1:49" x14ac:dyDescent="0.25">
      <c r="A229" s="59"/>
      <c r="B229" s="12"/>
      <c r="C229" s="12"/>
      <c r="D229" s="60"/>
      <c r="E229" s="6"/>
      <c r="F229" s="6"/>
      <c r="G229" s="12"/>
      <c r="H229" s="12" t="str" cm="1">
        <f t="array" ref="H229">IFERROR(INDEX(BrandList!$A$2:$A$250,MATCH(TRUE,ISNUMBER(SEARCH(BrandList!$A$2:$A$250,G229)),0)),"")</f>
        <v/>
      </c>
      <c r="I229" s="12" t="str" cm="2">
        <f t="array" ref="I229">IFERROR(INDEX(BrandList!$B$2:$B$200,MATCH(TRUE,ISNUMBER(SEARCH(BrandList!$B$2:$B$200,G229)),0)),"")</f>
        <v/>
      </c>
      <c r="J229" s="12"/>
      <c r="K229" s="12"/>
      <c r="L229" s="60"/>
      <c r="M229" s="60"/>
      <c r="N229" s="60"/>
      <c r="O229" s="60"/>
      <c r="P229" s="7" t="str">
        <f t="shared" si="7"/>
        <v/>
      </c>
      <c r="Q229" s="8">
        <f>IFERROR(VLOOKUP(VALUE(A229),WEEKLY_DATA!$A:$H,2,0),0)</f>
        <v>0</v>
      </c>
      <c r="R229" s="8">
        <f>IFERROR(VLOOKUP(VALUE(A229),WEEKLY_DATA!$A:$H,3,0),0)</f>
        <v>0</v>
      </c>
      <c r="S229" s="8">
        <f>IFERROR(VLOOKUP(VALUE(A229),WEEKLY_DATA!$A:$H,4,0),0)</f>
        <v>0</v>
      </c>
      <c r="T229" s="51">
        <f>IFERROR(VLOOKUP(VALUE(A229),WEEKLY_DATA!$A:$H,5,0),0)</f>
        <v>0</v>
      </c>
      <c r="U229" s="51">
        <f>IFERROR(VLOOKUP(VALUE(A229),WEEKLY_DATA!$A:$H,6,0),0)</f>
        <v>0</v>
      </c>
      <c r="V229" s="51">
        <f>IFERROR(VLOOKUP(VALUE(A229),WEEKLY_DATA!$A:$H,7,0),0)</f>
        <v>0</v>
      </c>
      <c r="W229" s="9" t="str">
        <f>IFERROR(IF(OR(Q229="",Q229=0),"",IF(VLOOKUP(VALUE($A229),WEEKLY_DATA!$A:$H,6,0)=0,"No Sales",Q229/(VLOOKUP(VALUE($A229),WEEKLY_DATA!$A:$H,6,0)/13))),"")</f>
        <v/>
      </c>
      <c r="X229" s="10">
        <f>IFERROR(VLOOKUP(VALUE(A229),WEEKLY_DATA!$A:$H,8,0),0)</f>
        <v>0</v>
      </c>
      <c r="Y229" s="13" t="str">
        <f t="shared" si="6"/>
        <v>—</v>
      </c>
      <c r="Z229" s="11"/>
      <c r="AA229" s="11"/>
      <c r="AB229" s="11"/>
      <c r="AC229" s="11"/>
      <c r="AD229" s="11"/>
      <c r="AE229" s="11"/>
      <c r="AF229" s="61"/>
      <c r="AG229" s="61"/>
      <c r="AH229" s="62"/>
      <c r="AI229" s="62"/>
      <c r="AJ229" s="61"/>
      <c r="AK229" s="61"/>
      <c r="AL229" s="61"/>
      <c r="AM229" s="58"/>
      <c r="AN229" s="58"/>
      <c r="AO229" s="58"/>
      <c r="AP229" s="58"/>
      <c r="AQ229" s="58"/>
      <c r="AR229" s="58"/>
      <c r="AS229" s="91"/>
      <c r="AT229" s="93"/>
      <c r="AU229" s="93"/>
      <c r="AV229" s="93"/>
      <c r="AW229" s="93"/>
    </row>
    <row r="230" spans="1:49" x14ac:dyDescent="0.25">
      <c r="A230" s="59"/>
      <c r="B230" s="12"/>
      <c r="C230" s="12"/>
      <c r="D230" s="60"/>
      <c r="E230" s="6"/>
      <c r="F230" s="6"/>
      <c r="G230" s="12"/>
      <c r="H230" s="12" t="str" cm="1">
        <f t="array" ref="H230">IFERROR(INDEX(BrandList!$A$2:$A$250,MATCH(TRUE,ISNUMBER(SEARCH(BrandList!$A$2:$A$250,G230)),0)),"")</f>
        <v/>
      </c>
      <c r="I230" s="12" t="str" cm="2">
        <f t="array" ref="I230">IFERROR(INDEX(BrandList!$B$2:$B$200,MATCH(TRUE,ISNUMBER(SEARCH(BrandList!$B$2:$B$200,G230)),0)),"")</f>
        <v/>
      </c>
      <c r="J230" s="12"/>
      <c r="K230" s="12"/>
      <c r="L230" s="60"/>
      <c r="M230" s="60"/>
      <c r="N230" s="60"/>
      <c r="O230" s="60"/>
      <c r="P230" s="7" t="str">
        <f t="shared" si="7"/>
        <v/>
      </c>
      <c r="Q230" s="8">
        <f>IFERROR(VLOOKUP(VALUE(A230),WEEKLY_DATA!$A:$H,2,0),0)</f>
        <v>0</v>
      </c>
      <c r="R230" s="8">
        <f>IFERROR(VLOOKUP(VALUE(A230),WEEKLY_DATA!$A:$H,3,0),0)</f>
        <v>0</v>
      </c>
      <c r="S230" s="8">
        <f>IFERROR(VLOOKUP(VALUE(A230),WEEKLY_DATA!$A:$H,4,0),0)</f>
        <v>0</v>
      </c>
      <c r="T230" s="51">
        <f>IFERROR(VLOOKUP(VALUE(A230),WEEKLY_DATA!$A:$H,5,0),0)</f>
        <v>0</v>
      </c>
      <c r="U230" s="51">
        <f>IFERROR(VLOOKUP(VALUE(A230),WEEKLY_DATA!$A:$H,6,0),0)</f>
        <v>0</v>
      </c>
      <c r="V230" s="51">
        <f>IFERROR(VLOOKUP(VALUE(A230),WEEKLY_DATA!$A:$H,7,0),0)</f>
        <v>0</v>
      </c>
      <c r="W230" s="9" t="str">
        <f>IFERROR(IF(OR(Q230="",Q230=0),"",IF(VLOOKUP(VALUE($A230),WEEKLY_DATA!$A:$H,6,0)=0,"No Sales",Q230/(VLOOKUP(VALUE($A230),WEEKLY_DATA!$A:$H,6,0)/13))),"")</f>
        <v/>
      </c>
      <c r="X230" s="10">
        <f>IFERROR(VLOOKUP(VALUE(A230),WEEKLY_DATA!$A:$H,8,0),0)</f>
        <v>0</v>
      </c>
      <c r="Y230" s="13" t="str">
        <f t="shared" si="6"/>
        <v>—</v>
      </c>
      <c r="Z230" s="11"/>
      <c r="AA230" s="11"/>
      <c r="AB230" s="11"/>
      <c r="AC230" s="11"/>
      <c r="AD230" s="11"/>
      <c r="AE230" s="11"/>
      <c r="AF230" s="61"/>
      <c r="AG230" s="61"/>
      <c r="AH230" s="62"/>
      <c r="AI230" s="62"/>
      <c r="AJ230" s="61"/>
      <c r="AK230" s="61"/>
      <c r="AL230" s="61"/>
      <c r="AM230" s="58"/>
      <c r="AN230" s="58"/>
      <c r="AO230" s="58"/>
      <c r="AP230" s="58"/>
      <c r="AQ230" s="58"/>
      <c r="AR230" s="58"/>
      <c r="AS230" s="91"/>
      <c r="AT230" s="93"/>
      <c r="AU230" s="93"/>
      <c r="AV230" s="93"/>
      <c r="AW230" s="93"/>
    </row>
    <row r="231" spans="1:49" x14ac:dyDescent="0.25">
      <c r="A231" s="59"/>
      <c r="B231" s="12"/>
      <c r="C231" s="12"/>
      <c r="D231" s="60"/>
      <c r="E231" s="6"/>
      <c r="F231" s="6"/>
      <c r="G231" s="12"/>
      <c r="H231" s="12" t="str" cm="1">
        <f t="array" ref="H231">IFERROR(INDEX(BrandList!$A$2:$A$250,MATCH(TRUE,ISNUMBER(SEARCH(BrandList!$A$2:$A$250,G231)),0)),"")</f>
        <v/>
      </c>
      <c r="I231" s="12" t="str" cm="2">
        <f t="array" ref="I231">IFERROR(INDEX(BrandList!$B$2:$B$200,MATCH(TRUE,ISNUMBER(SEARCH(BrandList!$B$2:$B$200,G231)),0)),"")</f>
        <v/>
      </c>
      <c r="J231" s="12"/>
      <c r="K231" s="12"/>
      <c r="L231" s="60"/>
      <c r="M231" s="60"/>
      <c r="N231" s="60"/>
      <c r="O231" s="60"/>
      <c r="P231" s="7" t="str">
        <f t="shared" si="7"/>
        <v/>
      </c>
      <c r="Q231" s="8">
        <f>IFERROR(VLOOKUP(VALUE(A231),WEEKLY_DATA!$A:$H,2,0),0)</f>
        <v>0</v>
      </c>
      <c r="R231" s="8">
        <f>IFERROR(VLOOKUP(VALUE(A231),WEEKLY_DATA!$A:$H,3,0),0)</f>
        <v>0</v>
      </c>
      <c r="S231" s="8">
        <f>IFERROR(VLOOKUP(VALUE(A231),WEEKLY_DATA!$A:$H,4,0),0)</f>
        <v>0</v>
      </c>
      <c r="T231" s="51">
        <f>IFERROR(VLOOKUP(VALUE(A231),WEEKLY_DATA!$A:$H,5,0),0)</f>
        <v>0</v>
      </c>
      <c r="U231" s="51">
        <f>IFERROR(VLOOKUP(VALUE(A231),WEEKLY_DATA!$A:$H,6,0),0)</f>
        <v>0</v>
      </c>
      <c r="V231" s="51">
        <f>IFERROR(VLOOKUP(VALUE(A231),WEEKLY_DATA!$A:$H,7,0),0)</f>
        <v>0</v>
      </c>
      <c r="W231" s="9" t="str">
        <f>IFERROR(IF(OR(Q231="",Q231=0),"",IF(VLOOKUP(VALUE($A231),WEEKLY_DATA!$A:$H,6,0)=0,"No Sales",Q231/(VLOOKUP(VALUE($A231),WEEKLY_DATA!$A:$H,6,0)/13))),"")</f>
        <v/>
      </c>
      <c r="X231" s="10">
        <f>IFERROR(VLOOKUP(VALUE(A231),WEEKLY_DATA!$A:$H,8,0),0)</f>
        <v>0</v>
      </c>
      <c r="Y231" s="13" t="str">
        <f t="shared" si="6"/>
        <v>—</v>
      </c>
      <c r="Z231" s="11"/>
      <c r="AA231" s="11"/>
      <c r="AB231" s="11"/>
      <c r="AC231" s="11"/>
      <c r="AD231" s="11"/>
      <c r="AE231" s="11"/>
      <c r="AF231" s="61"/>
      <c r="AG231" s="61"/>
      <c r="AH231" s="62"/>
      <c r="AI231" s="62"/>
      <c r="AJ231" s="61"/>
      <c r="AK231" s="61"/>
      <c r="AL231" s="61"/>
      <c r="AM231" s="58"/>
      <c r="AN231" s="58"/>
      <c r="AO231" s="58"/>
      <c r="AP231" s="58"/>
      <c r="AQ231" s="58"/>
      <c r="AR231" s="58"/>
      <c r="AS231" s="91"/>
      <c r="AT231" s="93"/>
      <c r="AU231" s="93"/>
      <c r="AV231" s="93"/>
      <c r="AW231" s="93"/>
    </row>
    <row r="232" spans="1:49" x14ac:dyDescent="0.25">
      <c r="A232" s="59"/>
      <c r="B232" s="12"/>
      <c r="C232" s="12"/>
      <c r="D232" s="60"/>
      <c r="E232" s="6"/>
      <c r="F232" s="6"/>
      <c r="G232" s="12"/>
      <c r="H232" s="12" t="str" cm="1">
        <f t="array" ref="H232">IFERROR(INDEX(BrandList!$A$2:$A$250,MATCH(TRUE,ISNUMBER(SEARCH(BrandList!$A$2:$A$250,G232)),0)),"")</f>
        <v/>
      </c>
      <c r="I232" s="12" t="str" cm="2">
        <f t="array" ref="I232">IFERROR(INDEX(BrandList!$B$2:$B$200,MATCH(TRUE,ISNUMBER(SEARCH(BrandList!$B$2:$B$200,G232)),0)),"")</f>
        <v/>
      </c>
      <c r="J232" s="12"/>
      <c r="K232" s="12"/>
      <c r="L232" s="60"/>
      <c r="M232" s="60"/>
      <c r="N232" s="60"/>
      <c r="O232" s="60"/>
      <c r="P232" s="7" t="str">
        <f t="shared" si="7"/>
        <v/>
      </c>
      <c r="Q232" s="8">
        <f>IFERROR(VLOOKUP(VALUE(A232),WEEKLY_DATA!$A:$H,2,0),0)</f>
        <v>0</v>
      </c>
      <c r="R232" s="8">
        <f>IFERROR(VLOOKUP(VALUE(A232),WEEKLY_DATA!$A:$H,3,0),0)</f>
        <v>0</v>
      </c>
      <c r="S232" s="8">
        <f>IFERROR(VLOOKUP(VALUE(A232),WEEKLY_DATA!$A:$H,4,0),0)</f>
        <v>0</v>
      </c>
      <c r="T232" s="51">
        <f>IFERROR(VLOOKUP(VALUE(A232),WEEKLY_DATA!$A:$H,5,0),0)</f>
        <v>0</v>
      </c>
      <c r="U232" s="51">
        <f>IFERROR(VLOOKUP(VALUE(A232),WEEKLY_DATA!$A:$H,6,0),0)</f>
        <v>0</v>
      </c>
      <c r="V232" s="51">
        <f>IFERROR(VLOOKUP(VALUE(A232),WEEKLY_DATA!$A:$H,7,0),0)</f>
        <v>0</v>
      </c>
      <c r="W232" s="9" t="str">
        <f>IFERROR(IF(OR(Q232="",Q232=0),"",IF(VLOOKUP(VALUE($A232),WEEKLY_DATA!$A:$H,6,0)=0,"No Sales",Q232/(VLOOKUP(VALUE($A232),WEEKLY_DATA!$A:$H,6,0)/13))),"")</f>
        <v/>
      </c>
      <c r="X232" s="10">
        <f>IFERROR(VLOOKUP(VALUE(A232),WEEKLY_DATA!$A:$H,8,0),0)</f>
        <v>0</v>
      </c>
      <c r="Y232" s="13" t="str">
        <f t="shared" si="6"/>
        <v>—</v>
      </c>
      <c r="Z232" s="11"/>
      <c r="AA232" s="11"/>
      <c r="AB232" s="11"/>
      <c r="AC232" s="11"/>
      <c r="AD232" s="11"/>
      <c r="AE232" s="11"/>
      <c r="AF232" s="61"/>
      <c r="AG232" s="61"/>
      <c r="AH232" s="62"/>
      <c r="AI232" s="62"/>
      <c r="AJ232" s="61"/>
      <c r="AK232" s="61"/>
      <c r="AL232" s="61"/>
      <c r="AM232" s="58"/>
      <c r="AN232" s="58"/>
      <c r="AO232" s="58"/>
      <c r="AP232" s="58"/>
      <c r="AQ232" s="58"/>
      <c r="AR232" s="58"/>
      <c r="AS232" s="91"/>
      <c r="AT232" s="93"/>
      <c r="AU232" s="93"/>
      <c r="AV232" s="93"/>
      <c r="AW232" s="93"/>
    </row>
    <row r="233" spans="1:49" x14ac:dyDescent="0.25">
      <c r="A233" s="59"/>
      <c r="B233" s="12"/>
      <c r="C233" s="12"/>
      <c r="D233" s="60"/>
      <c r="E233" s="6"/>
      <c r="F233" s="6"/>
      <c r="G233" s="12"/>
      <c r="H233" s="12" t="str">
        <f>IFERROR(INDEX(BrandList!$A$2:$A$250,MATCH(TRUE,ISNUMBER(SEARCH(BrandList!$A$2:$A$250,G233)),0)),"")</f>
        <v/>
      </c>
      <c r="I233" s="12" t="str" cm="2">
        <f t="array" ref="I233">IFERROR(INDEX(BrandList!$B$2:$B$200,MATCH(TRUE,ISNUMBER(SEARCH(BrandList!$B$2:$B$200,G233)),0)),"")</f>
        <v/>
      </c>
      <c r="J233" s="12"/>
      <c r="K233" s="12"/>
      <c r="L233" s="60"/>
      <c r="M233" s="60"/>
      <c r="N233" s="60"/>
      <c r="O233" s="60"/>
      <c r="P233" s="7" t="str">
        <f t="shared" si="7"/>
        <v/>
      </c>
      <c r="Q233" s="8">
        <f>IFERROR(VLOOKUP(VALUE(A233),WEEKLY_DATA!$A:$H,2,0),0)</f>
        <v>0</v>
      </c>
      <c r="R233" s="8">
        <f>IFERROR(VLOOKUP(VALUE(A233),WEEKLY_DATA!$A:$H,3,0),0)</f>
        <v>0</v>
      </c>
      <c r="S233" s="8">
        <f>IFERROR(VLOOKUP(VALUE(A233),WEEKLY_DATA!$A:$H,4,0),0)</f>
        <v>0</v>
      </c>
      <c r="T233" s="51">
        <f>IFERROR(VLOOKUP(VALUE(A233),WEEKLY_DATA!$A:$H,5,0),0)</f>
        <v>0</v>
      </c>
      <c r="U233" s="51">
        <f>IFERROR(VLOOKUP(VALUE(A233),WEEKLY_DATA!$A:$H,6,0),0)</f>
        <v>0</v>
      </c>
      <c r="V233" s="51">
        <f>IFERROR(VLOOKUP(VALUE(A233),WEEKLY_DATA!$A:$H,7,0),0)</f>
        <v>0</v>
      </c>
      <c r="W233" s="9" t="str">
        <f>IFERROR(IF(OR(Q233="",Q233=0),"",IF(VLOOKUP(VALUE($A233),WEEKLY_DATA!$A:$H,6,0)=0,"No Sales",Q233/(VLOOKUP(VALUE($A233),WEEKLY_DATA!$A:$H,6,0)/13))),"")</f>
        <v/>
      </c>
      <c r="X233" s="10">
        <f>IFERROR(VLOOKUP(VALUE(A233),WEEKLY_DATA!$A:$H,8,0),0)</f>
        <v>0</v>
      </c>
      <c r="Y233" s="13" t="str">
        <f t="shared" si="6"/>
        <v>—</v>
      </c>
      <c r="Z233" s="11"/>
      <c r="AA233" s="11"/>
      <c r="AB233" s="11"/>
      <c r="AC233" s="11"/>
      <c r="AD233" s="11"/>
      <c r="AE233" s="11"/>
      <c r="AF233" s="61"/>
      <c r="AG233" s="61"/>
      <c r="AH233" s="62"/>
      <c r="AI233" s="62"/>
      <c r="AJ233" s="61"/>
      <c r="AK233" s="61"/>
      <c r="AL233" s="61"/>
      <c r="AM233" s="58"/>
      <c r="AN233" s="58"/>
      <c r="AO233" s="58"/>
      <c r="AP233" s="58"/>
      <c r="AQ233" s="58"/>
      <c r="AR233" s="58"/>
      <c r="AS233" s="91"/>
      <c r="AT233" s="93"/>
      <c r="AU233" s="93"/>
      <c r="AV233" s="93"/>
      <c r="AW233" s="93"/>
    </row>
    <row r="234" spans="1:49" x14ac:dyDescent="0.25">
      <c r="A234" s="59"/>
      <c r="B234" s="12"/>
      <c r="C234" s="12"/>
      <c r="D234" s="60"/>
      <c r="E234" s="6"/>
      <c r="F234" s="6"/>
      <c r="G234" s="12"/>
      <c r="H234" s="12" t="str">
        <f>IFERROR(INDEX(BrandList!$A$2:$A$250,MATCH(TRUE,ISNUMBER(SEARCH(BrandList!$A$2:$A$250,G234)),0)),"")</f>
        <v/>
      </c>
      <c r="I234" s="12" t="str" cm="2">
        <f t="array" ref="I234">IFERROR(INDEX(BrandList!$B$2:$B$200,MATCH(TRUE,ISNUMBER(SEARCH(BrandList!$B$2:$B$200,G234)),0)),"")</f>
        <v/>
      </c>
      <c r="J234" s="12"/>
      <c r="K234" s="12"/>
      <c r="L234" s="60"/>
      <c r="M234" s="60"/>
      <c r="N234" s="60"/>
      <c r="O234" s="60"/>
      <c r="P234" s="7" t="str">
        <f t="shared" si="7"/>
        <v/>
      </c>
      <c r="Q234" s="8">
        <f>IFERROR(VLOOKUP(VALUE(A234),WEEKLY_DATA!$A:$H,2,0),0)</f>
        <v>0</v>
      </c>
      <c r="R234" s="8">
        <f>IFERROR(VLOOKUP(VALUE(A234),WEEKLY_DATA!$A:$H,3,0),0)</f>
        <v>0</v>
      </c>
      <c r="S234" s="8">
        <f>IFERROR(VLOOKUP(VALUE(A234),WEEKLY_DATA!$A:$H,4,0),0)</f>
        <v>0</v>
      </c>
      <c r="T234" s="51">
        <f>IFERROR(VLOOKUP(VALUE(A234),WEEKLY_DATA!$A:$H,5,0),0)</f>
        <v>0</v>
      </c>
      <c r="U234" s="51">
        <f>IFERROR(VLOOKUP(VALUE(A234),WEEKLY_DATA!$A:$H,6,0),0)</f>
        <v>0</v>
      </c>
      <c r="V234" s="51">
        <f>IFERROR(VLOOKUP(VALUE(A234),WEEKLY_DATA!$A:$H,7,0),0)</f>
        <v>0</v>
      </c>
      <c r="W234" s="9" t="str">
        <f>IFERROR(IF(OR(Q234="",Q234=0),"",IF(VLOOKUP(VALUE($A234),WEEKLY_DATA!$A:$H,6,0)=0,"No Sales",Q234/(VLOOKUP(VALUE($A234),WEEKLY_DATA!$A:$H,6,0)/13))),"")</f>
        <v/>
      </c>
      <c r="X234" s="10">
        <f>IFERROR(VLOOKUP(VALUE(A234),WEEKLY_DATA!$A:$H,8,0),0)</f>
        <v>0</v>
      </c>
      <c r="Y234" s="13" t="str">
        <f t="shared" si="6"/>
        <v>—</v>
      </c>
      <c r="Z234" s="11"/>
      <c r="AA234" s="11"/>
      <c r="AB234" s="11"/>
      <c r="AC234" s="11"/>
      <c r="AD234" s="11"/>
      <c r="AE234" s="11"/>
      <c r="AF234" s="61"/>
      <c r="AG234" s="61"/>
      <c r="AH234" s="62"/>
      <c r="AI234" s="62"/>
      <c r="AJ234" s="61"/>
      <c r="AK234" s="61"/>
      <c r="AL234" s="61"/>
      <c r="AM234" s="58"/>
      <c r="AN234" s="58"/>
      <c r="AO234" s="58"/>
      <c r="AP234" s="58"/>
      <c r="AQ234" s="58"/>
      <c r="AR234" s="58"/>
      <c r="AS234" s="91"/>
      <c r="AT234" s="93"/>
      <c r="AU234" s="93"/>
      <c r="AV234" s="93"/>
      <c r="AW234" s="93"/>
    </row>
    <row r="235" spans="1:49" x14ac:dyDescent="0.25">
      <c r="A235" s="59"/>
      <c r="B235" s="12"/>
      <c r="C235" s="12"/>
      <c r="D235" s="60"/>
      <c r="E235" s="6"/>
      <c r="F235" s="6"/>
      <c r="G235" s="12"/>
      <c r="H235" s="12"/>
      <c r="I235" s="12" t="str" cm="2">
        <f t="array" ref="I235">IFERROR(INDEX(BrandList!$B$2:$B$200,MATCH(TRUE,ISNUMBER(SEARCH(BrandList!$B$2:$B$200,G235)),0)),"")</f>
        <v/>
      </c>
      <c r="J235" s="12"/>
      <c r="K235" s="12"/>
      <c r="L235" s="60"/>
      <c r="M235" s="60"/>
      <c r="N235" s="60"/>
      <c r="O235" s="60"/>
      <c r="P235" s="7" t="str">
        <f t="shared" si="7"/>
        <v/>
      </c>
      <c r="Q235" s="8">
        <f>IFERROR(VLOOKUP(VALUE(A235),WEEKLY_DATA!$A:$H,2,0),0)</f>
        <v>0</v>
      </c>
      <c r="R235" s="8">
        <f>IFERROR(VLOOKUP(VALUE(A235),WEEKLY_DATA!$A:$H,3,0),0)</f>
        <v>0</v>
      </c>
      <c r="S235" s="8">
        <f>IFERROR(VLOOKUP(VALUE(A235),WEEKLY_DATA!$A:$H,4,0),0)</f>
        <v>0</v>
      </c>
      <c r="T235" s="51">
        <f>IFERROR(VLOOKUP(VALUE(A235),WEEKLY_DATA!$A:$H,5,0),0)</f>
        <v>0</v>
      </c>
      <c r="U235" s="51">
        <f>IFERROR(VLOOKUP(VALUE(A235),WEEKLY_DATA!$A:$H,6,0),0)</f>
        <v>0</v>
      </c>
      <c r="V235" s="51">
        <f>IFERROR(VLOOKUP(VALUE(A235),WEEKLY_DATA!$A:$H,7,0),0)</f>
        <v>0</v>
      </c>
      <c r="W235" s="9" t="str">
        <f>IFERROR(IF(OR(Q235="",Q235=0),"",IF(VLOOKUP(VALUE($A235),WEEKLY_DATA!$A:$H,6,0)=0,"No Sales",Q235/(VLOOKUP(VALUE($A235),WEEKLY_DATA!$A:$H,6,0)/13))),"")</f>
        <v/>
      </c>
      <c r="X235" s="10">
        <f>IFERROR(VLOOKUP(VALUE(A235),WEEKLY_DATA!$A:$H,8,0),0)</f>
        <v>0</v>
      </c>
      <c r="Y235" s="13" t="str">
        <f t="shared" si="6"/>
        <v>—</v>
      </c>
      <c r="Z235" s="11"/>
      <c r="AA235" s="11"/>
      <c r="AB235" s="11"/>
      <c r="AC235" s="11"/>
      <c r="AD235" s="11"/>
      <c r="AE235" s="11"/>
      <c r="AF235" s="61"/>
      <c r="AG235" s="61"/>
      <c r="AH235" s="62"/>
      <c r="AI235" s="62"/>
      <c r="AJ235" s="61"/>
      <c r="AK235" s="61"/>
      <c r="AL235" s="61"/>
      <c r="AM235" s="58"/>
      <c r="AN235" s="58"/>
      <c r="AO235" s="58"/>
      <c r="AP235" s="58"/>
      <c r="AQ235" s="58"/>
      <c r="AR235" s="58"/>
      <c r="AS235" s="91"/>
      <c r="AT235" s="93"/>
      <c r="AU235" s="93"/>
      <c r="AV235" s="93"/>
      <c r="AW235" s="93"/>
    </row>
    <row r="236" spans="1:49" x14ac:dyDescent="0.25">
      <c r="A236" s="59"/>
      <c r="B236" s="12"/>
      <c r="C236" s="12"/>
      <c r="D236" s="60"/>
      <c r="E236" s="6"/>
      <c r="F236" s="6"/>
      <c r="G236" s="12"/>
      <c r="H236" s="12"/>
      <c r="I236" s="12" t="str" cm="2">
        <f t="array" ref="I236">IFERROR(INDEX(BrandList!$B$2:$B$200,MATCH(TRUE,ISNUMBER(SEARCH(BrandList!$B$2:$B$200,G236)),0)),"")</f>
        <v/>
      </c>
      <c r="J236" s="12"/>
      <c r="K236" s="12"/>
      <c r="L236" s="60"/>
      <c r="M236" s="60"/>
      <c r="N236" s="60"/>
      <c r="O236" s="60"/>
      <c r="P236" s="7" t="str">
        <f t="shared" si="7"/>
        <v/>
      </c>
      <c r="Q236" s="8">
        <f>IFERROR(VLOOKUP(VALUE(A236),WEEKLY_DATA!$A:$H,2,0),0)</f>
        <v>0</v>
      </c>
      <c r="R236" s="8">
        <f>IFERROR(VLOOKUP(VALUE(A236),WEEKLY_DATA!$A:$H,3,0),0)</f>
        <v>0</v>
      </c>
      <c r="S236" s="8">
        <f>IFERROR(VLOOKUP(VALUE(A236),WEEKLY_DATA!$A:$H,4,0),0)</f>
        <v>0</v>
      </c>
      <c r="T236" s="51">
        <f>IFERROR(VLOOKUP(VALUE(A236),WEEKLY_DATA!$A:$H,5,0),0)</f>
        <v>0</v>
      </c>
      <c r="U236" s="51">
        <f>IFERROR(VLOOKUP(VALUE(A236),WEEKLY_DATA!$A:$H,6,0),0)</f>
        <v>0</v>
      </c>
      <c r="V236" s="51">
        <f>IFERROR(VLOOKUP(VALUE(A236),WEEKLY_DATA!$A:$H,7,0),0)</f>
        <v>0</v>
      </c>
      <c r="W236" s="9" t="str">
        <f>IFERROR(IF(OR(Q236="",Q236=0),"",IF(VLOOKUP(VALUE($A236),WEEKLY_DATA!$A:$H,6,0)=0,"No Sales",Q236/(VLOOKUP(VALUE($A236),WEEKLY_DATA!$A:$H,6,0)/13))),"")</f>
        <v/>
      </c>
      <c r="X236" s="10">
        <f>IFERROR(VLOOKUP(VALUE(A236),WEEKLY_DATA!$A:$H,8,0),0)</f>
        <v>0</v>
      </c>
      <c r="Y236" s="13" t="str">
        <f t="shared" si="6"/>
        <v>—</v>
      </c>
      <c r="Z236" s="11"/>
      <c r="AA236" s="11"/>
      <c r="AB236" s="11"/>
      <c r="AC236" s="11"/>
      <c r="AD236" s="11"/>
      <c r="AE236" s="11"/>
      <c r="AF236" s="61"/>
      <c r="AG236" s="61"/>
      <c r="AH236" s="62"/>
      <c r="AI236" s="62"/>
      <c r="AJ236" s="61"/>
      <c r="AK236" s="61"/>
      <c r="AL236" s="61"/>
      <c r="AM236" s="58"/>
      <c r="AN236" s="58"/>
      <c r="AO236" s="58"/>
      <c r="AP236" s="58"/>
      <c r="AQ236" s="58"/>
      <c r="AR236" s="58"/>
      <c r="AS236" s="91"/>
      <c r="AT236" s="93"/>
      <c r="AU236" s="93"/>
      <c r="AV236" s="93"/>
      <c r="AW236" s="93"/>
    </row>
    <row r="237" spans="1:49" x14ac:dyDescent="0.25">
      <c r="A237" s="59"/>
      <c r="B237" s="12"/>
      <c r="C237" s="12"/>
      <c r="D237" s="60"/>
      <c r="E237" s="6"/>
      <c r="F237" s="6"/>
      <c r="G237" s="12"/>
      <c r="H237" s="12"/>
      <c r="I237" s="12" t="str" cm="2">
        <f t="array" ref="I237">IFERROR(INDEX(BrandList!$B$2:$B$200,MATCH(TRUE,ISNUMBER(SEARCH(BrandList!$B$2:$B$200,G237)),0)),"")</f>
        <v/>
      </c>
      <c r="J237" s="12"/>
      <c r="K237" s="12"/>
      <c r="L237" s="60"/>
      <c r="M237" s="60"/>
      <c r="N237" s="60"/>
      <c r="O237" s="60"/>
      <c r="P237" s="7" t="str">
        <f t="shared" si="7"/>
        <v/>
      </c>
      <c r="Q237" s="8">
        <f>IFERROR(VLOOKUP(VALUE(A237),WEEKLY_DATA!$A:$H,2,0),0)</f>
        <v>0</v>
      </c>
      <c r="R237" s="8">
        <f>IFERROR(VLOOKUP(VALUE(A237),WEEKLY_DATA!$A:$H,3,0),0)</f>
        <v>0</v>
      </c>
      <c r="S237" s="8">
        <f>IFERROR(VLOOKUP(VALUE(A237),WEEKLY_DATA!$A:$H,4,0),0)</f>
        <v>0</v>
      </c>
      <c r="T237" s="51">
        <f>IFERROR(VLOOKUP(VALUE(A237),WEEKLY_DATA!$A:$H,5,0),0)</f>
        <v>0</v>
      </c>
      <c r="U237" s="51">
        <f>IFERROR(VLOOKUP(VALUE(A237),WEEKLY_DATA!$A:$H,6,0),0)</f>
        <v>0</v>
      </c>
      <c r="V237" s="51">
        <f>IFERROR(VLOOKUP(VALUE(A237),WEEKLY_DATA!$A:$H,7,0),0)</f>
        <v>0</v>
      </c>
      <c r="W237" s="9" t="str">
        <f>IFERROR(IF(OR(Q237="",Q237=0),"",IF(VLOOKUP(VALUE($A237),WEEKLY_DATA!$A:$H,6,0)=0,"No Sales",Q237/(VLOOKUP(VALUE($A237),WEEKLY_DATA!$A:$H,6,0)/13))),"")</f>
        <v/>
      </c>
      <c r="X237" s="10">
        <f>IFERROR(VLOOKUP(VALUE(A237),WEEKLY_DATA!$A:$H,8,0),0)</f>
        <v>0</v>
      </c>
      <c r="Y237" s="13" t="str">
        <f t="shared" si="6"/>
        <v>—</v>
      </c>
      <c r="Z237" s="11"/>
      <c r="AA237" s="11"/>
      <c r="AB237" s="11"/>
      <c r="AC237" s="11"/>
      <c r="AD237" s="11"/>
      <c r="AE237" s="11"/>
      <c r="AF237" s="61"/>
      <c r="AG237" s="61"/>
      <c r="AH237" s="62"/>
      <c r="AI237" s="62"/>
      <c r="AJ237" s="61"/>
      <c r="AK237" s="61"/>
      <c r="AL237" s="61"/>
      <c r="AM237" s="58"/>
      <c r="AN237" s="58"/>
      <c r="AO237" s="58"/>
      <c r="AP237" s="58"/>
      <c r="AQ237" s="58"/>
      <c r="AR237" s="58"/>
      <c r="AS237" s="91"/>
      <c r="AT237" s="93"/>
      <c r="AU237" s="93"/>
      <c r="AV237" s="93"/>
      <c r="AW237" s="93"/>
    </row>
    <row r="238" spans="1:49" x14ac:dyDescent="0.25">
      <c r="A238" s="59"/>
      <c r="B238" s="12"/>
      <c r="C238" s="12"/>
      <c r="D238" s="60"/>
      <c r="E238" s="6"/>
      <c r="F238" s="6"/>
      <c r="G238" s="12"/>
      <c r="H238" s="12"/>
      <c r="I238" s="12" t="str" cm="2">
        <f t="array" ref="I238">IFERROR(INDEX(BrandList!$B$2:$B$200,MATCH(TRUE,ISNUMBER(SEARCH(BrandList!$B$2:$B$200,G238)),0)),"")</f>
        <v/>
      </c>
      <c r="J238" s="12"/>
      <c r="K238" s="12"/>
      <c r="L238" s="60"/>
      <c r="M238" s="60"/>
      <c r="N238" s="60"/>
      <c r="O238" s="60"/>
      <c r="P238" s="7" t="str">
        <f t="shared" si="7"/>
        <v/>
      </c>
      <c r="Q238" s="8">
        <f>IFERROR(VLOOKUP(VALUE(A238),WEEKLY_DATA!$A:$H,2,0),0)</f>
        <v>0</v>
      </c>
      <c r="R238" s="8">
        <f>IFERROR(VLOOKUP(VALUE(A238),WEEKLY_DATA!$A:$H,3,0),0)</f>
        <v>0</v>
      </c>
      <c r="S238" s="8">
        <f>IFERROR(VLOOKUP(VALUE(A238),WEEKLY_DATA!$A:$H,4,0),0)</f>
        <v>0</v>
      </c>
      <c r="T238" s="51">
        <f>IFERROR(VLOOKUP(VALUE(A238),WEEKLY_DATA!$A:$H,5,0),0)</f>
        <v>0</v>
      </c>
      <c r="U238" s="51">
        <f>IFERROR(VLOOKUP(VALUE(A238),WEEKLY_DATA!$A:$H,6,0),0)</f>
        <v>0</v>
      </c>
      <c r="V238" s="51">
        <f>IFERROR(VLOOKUP(VALUE(A238),WEEKLY_DATA!$A:$H,7,0),0)</f>
        <v>0</v>
      </c>
      <c r="W238" s="9" t="str">
        <f>IFERROR(IF(OR(Q238="",Q238=0),"",IF(VLOOKUP(VALUE($A238),WEEKLY_DATA!$A:$H,6,0)=0,"No Sales",Q238/(VLOOKUP(VALUE($A238),WEEKLY_DATA!$A:$H,6,0)/13))),"")</f>
        <v/>
      </c>
      <c r="X238" s="10">
        <f>IFERROR(VLOOKUP(VALUE(A238),WEEKLY_DATA!$A:$H,8,0),0)</f>
        <v>0</v>
      </c>
      <c r="Y238" s="13" t="str">
        <f t="shared" si="6"/>
        <v>—</v>
      </c>
      <c r="Z238" s="11"/>
      <c r="AA238" s="11"/>
      <c r="AB238" s="11"/>
      <c r="AC238" s="11"/>
      <c r="AD238" s="11"/>
      <c r="AE238" s="11"/>
      <c r="AF238" s="61"/>
      <c r="AG238" s="61"/>
      <c r="AH238" s="62"/>
      <c r="AI238" s="62"/>
      <c r="AJ238" s="61"/>
      <c r="AK238" s="61"/>
      <c r="AL238" s="61"/>
      <c r="AM238" s="58"/>
      <c r="AN238" s="58"/>
      <c r="AO238" s="58"/>
      <c r="AP238" s="58"/>
      <c r="AQ238" s="58"/>
      <c r="AR238" s="58"/>
      <c r="AS238" s="91"/>
      <c r="AT238" s="93"/>
      <c r="AU238" s="93"/>
      <c r="AV238" s="93"/>
      <c r="AW238" s="93"/>
    </row>
    <row r="239" spans="1:49" x14ac:dyDescent="0.25">
      <c r="A239" s="59"/>
      <c r="B239" s="12"/>
      <c r="C239" s="12"/>
      <c r="D239" s="60"/>
      <c r="E239" s="6"/>
      <c r="F239" s="6"/>
      <c r="G239" s="12"/>
      <c r="H239" s="12"/>
      <c r="I239" s="12" t="str" cm="2">
        <f t="array" ref="I239">IFERROR(INDEX(BrandList!$B$2:$B$200,MATCH(TRUE,ISNUMBER(SEARCH(BrandList!$B$2:$B$200,G239)),0)),"")</f>
        <v/>
      </c>
      <c r="J239" s="12"/>
      <c r="K239" s="12"/>
      <c r="L239" s="60"/>
      <c r="M239" s="60"/>
      <c r="N239" s="60"/>
      <c r="O239" s="60"/>
      <c r="P239" s="7" t="str">
        <f t="shared" si="7"/>
        <v/>
      </c>
      <c r="Q239" s="8">
        <f>IFERROR(VLOOKUP(VALUE(A239),WEEKLY_DATA!$A:$H,2,0),0)</f>
        <v>0</v>
      </c>
      <c r="R239" s="8">
        <f>IFERROR(VLOOKUP(VALUE(A239),WEEKLY_DATA!$A:$H,3,0),0)</f>
        <v>0</v>
      </c>
      <c r="S239" s="8">
        <f>IFERROR(VLOOKUP(VALUE(A239),WEEKLY_DATA!$A:$H,4,0),0)</f>
        <v>0</v>
      </c>
      <c r="T239" s="51">
        <f>IFERROR(VLOOKUP(VALUE(A239),WEEKLY_DATA!$A:$H,5,0),0)</f>
        <v>0</v>
      </c>
      <c r="U239" s="51">
        <f>IFERROR(VLOOKUP(VALUE(A239),WEEKLY_DATA!$A:$H,6,0),0)</f>
        <v>0</v>
      </c>
      <c r="V239" s="51">
        <f>IFERROR(VLOOKUP(VALUE(A239),WEEKLY_DATA!$A:$H,7,0),0)</f>
        <v>0</v>
      </c>
      <c r="W239" s="9" t="str">
        <f>IFERROR(IF(OR(Q239="",Q239=0),"",IF(VLOOKUP(VALUE($A239),WEEKLY_DATA!$A:$H,6,0)=0,"No Sales",Q239/(VLOOKUP(VALUE($A239),WEEKLY_DATA!$A:$H,6,0)/13))),"")</f>
        <v/>
      </c>
      <c r="X239" s="10">
        <f>IFERROR(VLOOKUP(VALUE(A239),WEEKLY_DATA!$A:$H,8,0),0)</f>
        <v>0</v>
      </c>
      <c r="Y239" s="13" t="str">
        <f t="shared" si="6"/>
        <v>—</v>
      </c>
      <c r="Z239" s="11"/>
      <c r="AA239" s="11"/>
      <c r="AB239" s="11"/>
      <c r="AC239" s="11"/>
      <c r="AD239" s="11"/>
      <c r="AE239" s="11"/>
      <c r="AF239" s="61"/>
      <c r="AG239" s="61"/>
      <c r="AH239" s="62"/>
      <c r="AI239" s="62"/>
      <c r="AJ239" s="61"/>
      <c r="AK239" s="61"/>
      <c r="AL239" s="61"/>
      <c r="AM239" s="58"/>
      <c r="AN239" s="58"/>
      <c r="AO239" s="58"/>
      <c r="AP239" s="58"/>
      <c r="AQ239" s="58"/>
      <c r="AR239" s="58"/>
      <c r="AS239" s="91"/>
      <c r="AT239" s="93"/>
      <c r="AU239" s="93"/>
      <c r="AV239" s="93"/>
      <c r="AW239" s="93"/>
    </row>
    <row r="240" spans="1:49" x14ac:dyDescent="0.25">
      <c r="A240" s="59"/>
      <c r="B240" s="12"/>
      <c r="C240" s="12"/>
      <c r="D240" s="60"/>
      <c r="E240" s="6"/>
      <c r="F240" s="6"/>
      <c r="G240" s="12"/>
      <c r="H240" s="12"/>
      <c r="I240" s="12" t="str" cm="2">
        <f t="array" ref="I240">IFERROR(INDEX(BrandList!$B$2:$B$200,MATCH(TRUE,ISNUMBER(SEARCH(BrandList!$B$2:$B$200,G240)),0)),"")</f>
        <v/>
      </c>
      <c r="J240" s="12"/>
      <c r="K240" s="12"/>
      <c r="L240" s="60"/>
      <c r="M240" s="60"/>
      <c r="N240" s="60"/>
      <c r="O240" s="60"/>
      <c r="P240" s="7" t="str">
        <f t="shared" si="7"/>
        <v/>
      </c>
      <c r="Q240" s="8">
        <f>IFERROR(VLOOKUP(VALUE(A240),WEEKLY_DATA!$A:$H,2,0),0)</f>
        <v>0</v>
      </c>
      <c r="R240" s="8">
        <f>IFERROR(VLOOKUP(VALUE(A240),WEEKLY_DATA!$A:$H,3,0),0)</f>
        <v>0</v>
      </c>
      <c r="S240" s="8">
        <f>IFERROR(VLOOKUP(VALUE(A240),WEEKLY_DATA!$A:$H,4,0),0)</f>
        <v>0</v>
      </c>
      <c r="T240" s="51">
        <f>IFERROR(VLOOKUP(VALUE(A240),WEEKLY_DATA!$A:$H,5,0),0)</f>
        <v>0</v>
      </c>
      <c r="U240" s="51">
        <f>IFERROR(VLOOKUP(VALUE(A240),WEEKLY_DATA!$A:$H,6,0),0)</f>
        <v>0</v>
      </c>
      <c r="V240" s="51">
        <f>IFERROR(VLOOKUP(VALUE(A240),WEEKLY_DATA!$A:$H,7,0),0)</f>
        <v>0</v>
      </c>
      <c r="W240" s="9" t="str">
        <f>IFERROR(IF(OR(Q240="",Q240=0),"",IF(VLOOKUP(VALUE($A240),WEEKLY_DATA!$A:$H,6,0)=0,"No Sales",Q240/(VLOOKUP(VALUE($A240),WEEKLY_DATA!$A:$H,6,0)/13))),"")</f>
        <v/>
      </c>
      <c r="X240" s="10">
        <f>IFERROR(VLOOKUP(VALUE(A240),WEEKLY_DATA!$A:$H,8,0),0)</f>
        <v>0</v>
      </c>
      <c r="Y240" s="13" t="str">
        <f t="shared" si="6"/>
        <v>—</v>
      </c>
      <c r="Z240" s="11"/>
      <c r="AA240" s="11"/>
      <c r="AB240" s="11"/>
      <c r="AC240" s="11"/>
      <c r="AD240" s="11"/>
      <c r="AE240" s="11"/>
      <c r="AF240" s="61"/>
      <c r="AG240" s="61"/>
      <c r="AH240" s="62"/>
      <c r="AI240" s="62"/>
      <c r="AJ240" s="61"/>
      <c r="AK240" s="61"/>
      <c r="AL240" s="61"/>
      <c r="AM240" s="58"/>
      <c r="AN240" s="58"/>
      <c r="AO240" s="58"/>
      <c r="AP240" s="58"/>
      <c r="AQ240" s="58"/>
      <c r="AR240" s="58"/>
      <c r="AS240" s="91"/>
      <c r="AT240" s="93"/>
      <c r="AU240" s="93"/>
      <c r="AV240" s="93"/>
      <c r="AW240" s="93"/>
    </row>
    <row r="241" spans="1:49" x14ac:dyDescent="0.25">
      <c r="A241" s="59"/>
      <c r="B241" s="12"/>
      <c r="C241" s="12"/>
      <c r="D241" s="60"/>
      <c r="E241" s="6"/>
      <c r="F241" s="6"/>
      <c r="G241" s="12"/>
      <c r="H241" s="12"/>
      <c r="I241" s="12" t="str" cm="2">
        <f t="array" ref="I241">IFERROR(INDEX(BrandList!$B$2:$B$200,MATCH(TRUE,ISNUMBER(SEARCH(BrandList!$B$2:$B$200,G241)),0)),"")</f>
        <v/>
      </c>
      <c r="J241" s="12"/>
      <c r="K241" s="12"/>
      <c r="L241" s="60"/>
      <c r="M241" s="60"/>
      <c r="N241" s="60"/>
      <c r="O241" s="60"/>
      <c r="P241" s="7" t="str">
        <f t="shared" si="7"/>
        <v/>
      </c>
      <c r="Q241" s="8">
        <f>IFERROR(VLOOKUP(VALUE(A241),WEEKLY_DATA!$A:$H,2,0),0)</f>
        <v>0</v>
      </c>
      <c r="R241" s="8">
        <f>IFERROR(VLOOKUP(VALUE(A241),WEEKLY_DATA!$A:$H,3,0),0)</f>
        <v>0</v>
      </c>
      <c r="S241" s="8">
        <f>IFERROR(VLOOKUP(VALUE(A241),WEEKLY_DATA!$A:$H,4,0),0)</f>
        <v>0</v>
      </c>
      <c r="T241" s="51">
        <f>IFERROR(VLOOKUP(VALUE(A241),WEEKLY_DATA!$A:$H,5,0),0)</f>
        <v>0</v>
      </c>
      <c r="U241" s="51">
        <f>IFERROR(VLOOKUP(VALUE(A241),WEEKLY_DATA!$A:$H,6,0),0)</f>
        <v>0</v>
      </c>
      <c r="V241" s="51">
        <f>IFERROR(VLOOKUP(VALUE(A241),WEEKLY_DATA!$A:$H,7,0),0)</f>
        <v>0</v>
      </c>
      <c r="W241" s="9" t="str">
        <f>IFERROR(IF(OR(Q241="",Q241=0),"",IF(VLOOKUP(VALUE($A241),WEEKLY_DATA!$A:$H,6,0)=0,"No Sales",Q241/(VLOOKUP(VALUE($A241),WEEKLY_DATA!$A:$H,6,0)/13))),"")</f>
        <v/>
      </c>
      <c r="X241" s="10">
        <f>IFERROR(VLOOKUP(VALUE(A241),WEEKLY_DATA!$A:$H,8,0),0)</f>
        <v>0</v>
      </c>
      <c r="Y241" s="13" t="str">
        <f t="shared" si="6"/>
        <v>—</v>
      </c>
      <c r="Z241" s="11"/>
      <c r="AA241" s="11"/>
      <c r="AB241" s="11"/>
      <c r="AC241" s="11"/>
      <c r="AD241" s="11"/>
      <c r="AE241" s="11"/>
      <c r="AF241" s="61"/>
      <c r="AG241" s="61"/>
      <c r="AH241" s="62"/>
      <c r="AI241" s="62"/>
      <c r="AJ241" s="61"/>
      <c r="AK241" s="61"/>
      <c r="AL241" s="61"/>
      <c r="AM241" s="58"/>
      <c r="AN241" s="58"/>
      <c r="AO241" s="58"/>
      <c r="AP241" s="58"/>
      <c r="AQ241" s="58"/>
      <c r="AR241" s="58"/>
      <c r="AS241" s="91"/>
      <c r="AT241" s="93"/>
      <c r="AU241" s="93"/>
      <c r="AV241" s="93"/>
      <c r="AW241" s="93"/>
    </row>
    <row r="242" spans="1:49" x14ac:dyDescent="0.25">
      <c r="A242" s="59"/>
      <c r="B242" s="12"/>
      <c r="C242" s="12"/>
      <c r="D242" s="60"/>
      <c r="E242" s="6"/>
      <c r="F242" s="6"/>
      <c r="G242" s="12"/>
      <c r="H242" s="12"/>
      <c r="I242" s="12" t="str" cm="2">
        <f t="array" ref="I242">IFERROR(INDEX(BrandList!$B$2:$B$200,MATCH(TRUE,ISNUMBER(SEARCH(BrandList!$B$2:$B$200,G242)),0)),"")</f>
        <v/>
      </c>
      <c r="J242" s="12"/>
      <c r="K242" s="12"/>
      <c r="L242" s="60"/>
      <c r="M242" s="60"/>
      <c r="N242" s="60"/>
      <c r="O242" s="60"/>
      <c r="P242" s="7" t="str">
        <f t="shared" si="7"/>
        <v/>
      </c>
      <c r="Q242" s="8">
        <f>IFERROR(VLOOKUP(VALUE(A242),WEEKLY_DATA!$A:$H,2,0),0)</f>
        <v>0</v>
      </c>
      <c r="R242" s="8">
        <f>IFERROR(VLOOKUP(VALUE(A242),WEEKLY_DATA!$A:$H,3,0),0)</f>
        <v>0</v>
      </c>
      <c r="S242" s="8">
        <f>IFERROR(VLOOKUP(VALUE(A242),WEEKLY_DATA!$A:$H,4,0),0)</f>
        <v>0</v>
      </c>
      <c r="T242" s="51">
        <f>IFERROR(VLOOKUP(VALUE(A242),WEEKLY_DATA!$A:$H,5,0),0)</f>
        <v>0</v>
      </c>
      <c r="U242" s="51">
        <f>IFERROR(VLOOKUP(VALUE(A242),WEEKLY_DATA!$A:$H,6,0),0)</f>
        <v>0</v>
      </c>
      <c r="V242" s="51">
        <f>IFERROR(VLOOKUP(VALUE(A242),WEEKLY_DATA!$A:$H,7,0),0)</f>
        <v>0</v>
      </c>
      <c r="W242" s="9" t="str">
        <f>IFERROR(IF(OR(Q242="",Q242=0),"",IF(VLOOKUP(VALUE($A242),WEEKLY_DATA!$A:$H,6,0)=0,"No Sales",Q242/(VLOOKUP(VALUE($A242),WEEKLY_DATA!$A:$H,6,0)/13))),"")</f>
        <v/>
      </c>
      <c r="X242" s="10">
        <f>IFERROR(VLOOKUP(VALUE(A242),WEEKLY_DATA!$A:$H,8,0),0)</f>
        <v>0</v>
      </c>
      <c r="Y242" s="13" t="str">
        <f t="shared" si="6"/>
        <v>—</v>
      </c>
      <c r="Z242" s="11"/>
      <c r="AA242" s="11"/>
      <c r="AB242" s="11"/>
      <c r="AC242" s="11"/>
      <c r="AD242" s="11"/>
      <c r="AE242" s="11"/>
      <c r="AF242" s="61"/>
      <c r="AG242" s="61"/>
      <c r="AH242" s="62"/>
      <c r="AI242" s="62"/>
      <c r="AJ242" s="61"/>
      <c r="AK242" s="61"/>
      <c r="AL242" s="61"/>
      <c r="AM242" s="58"/>
      <c r="AN242" s="58"/>
      <c r="AO242" s="58"/>
      <c r="AP242" s="58"/>
      <c r="AQ242" s="58"/>
      <c r="AR242" s="58"/>
      <c r="AS242" s="91"/>
      <c r="AT242" s="93"/>
      <c r="AU242" s="93"/>
      <c r="AV242" s="93"/>
      <c r="AW242" s="93"/>
    </row>
    <row r="243" spans="1:49" x14ac:dyDescent="0.25">
      <c r="A243" s="59"/>
      <c r="B243" s="12"/>
      <c r="C243" s="12"/>
      <c r="D243" s="60"/>
      <c r="E243" s="6"/>
      <c r="F243" s="6"/>
      <c r="G243" s="12"/>
      <c r="H243" s="12"/>
      <c r="I243" s="12" t="str" cm="2">
        <f t="array" ref="I243">IFERROR(INDEX(BrandList!$B$2:$B$200,MATCH(TRUE,ISNUMBER(SEARCH(BrandList!$B$2:$B$200,G243)),0)),"")</f>
        <v/>
      </c>
      <c r="J243" s="12"/>
      <c r="K243" s="12"/>
      <c r="L243" s="60"/>
      <c r="M243" s="60"/>
      <c r="N243" s="60"/>
      <c r="O243" s="60"/>
      <c r="P243" s="7" t="str">
        <f t="shared" si="7"/>
        <v/>
      </c>
      <c r="Q243" s="8">
        <f>IFERROR(VLOOKUP(VALUE(A243),WEEKLY_DATA!$A:$H,2,0),0)</f>
        <v>0</v>
      </c>
      <c r="R243" s="8">
        <f>IFERROR(VLOOKUP(VALUE(A243),WEEKLY_DATA!$A:$H,3,0),0)</f>
        <v>0</v>
      </c>
      <c r="S243" s="8">
        <f>IFERROR(VLOOKUP(VALUE(A243),WEEKLY_DATA!$A:$H,4,0),0)</f>
        <v>0</v>
      </c>
      <c r="T243" s="51">
        <f>IFERROR(VLOOKUP(VALUE(A243),WEEKLY_DATA!$A:$H,5,0),0)</f>
        <v>0</v>
      </c>
      <c r="U243" s="51">
        <f>IFERROR(VLOOKUP(VALUE(A243),WEEKLY_DATA!$A:$H,6,0),0)</f>
        <v>0</v>
      </c>
      <c r="V243" s="51">
        <f>IFERROR(VLOOKUP(VALUE(A243),WEEKLY_DATA!$A:$H,7,0),0)</f>
        <v>0</v>
      </c>
      <c r="W243" s="9" t="str">
        <f>IFERROR(IF(OR(Q243="",Q243=0),"",IF(VLOOKUP(VALUE($A243),WEEKLY_DATA!$A:$H,6,0)=0,"No Sales",Q243/(VLOOKUP(VALUE($A243),WEEKLY_DATA!$A:$H,6,0)/13))),"")</f>
        <v/>
      </c>
      <c r="X243" s="10">
        <f>IFERROR(VLOOKUP(VALUE(A243),WEEKLY_DATA!$A:$H,8,0),0)</f>
        <v>0</v>
      </c>
      <c r="Y243" s="13" t="str">
        <f t="shared" si="6"/>
        <v>—</v>
      </c>
      <c r="Z243" s="11"/>
      <c r="AA243" s="11"/>
      <c r="AB243" s="11"/>
      <c r="AC243" s="11"/>
      <c r="AD243" s="11"/>
      <c r="AE243" s="11"/>
      <c r="AF243" s="61"/>
      <c r="AG243" s="61"/>
      <c r="AH243" s="62"/>
      <c r="AI243" s="62"/>
      <c r="AJ243" s="61"/>
      <c r="AK243" s="61"/>
      <c r="AL243" s="61"/>
      <c r="AM243" s="58"/>
      <c r="AN243" s="58"/>
      <c r="AO243" s="58"/>
      <c r="AP243" s="58"/>
      <c r="AQ243" s="58"/>
      <c r="AR243" s="58"/>
      <c r="AS243" s="91"/>
      <c r="AT243" s="93"/>
      <c r="AU243" s="93"/>
      <c r="AV243" s="93"/>
      <c r="AW243" s="93"/>
    </row>
    <row r="244" spans="1:49" x14ac:dyDescent="0.25">
      <c r="A244" s="59"/>
      <c r="B244" s="12"/>
      <c r="C244" s="12"/>
      <c r="D244" s="60"/>
      <c r="E244" s="6"/>
      <c r="F244" s="6"/>
      <c r="G244" s="12"/>
      <c r="H244" s="12"/>
      <c r="I244" s="12" t="str" cm="2">
        <f t="array" ref="I244">IFERROR(INDEX(BrandList!$B$2:$B$200,MATCH(TRUE,ISNUMBER(SEARCH(BrandList!$B$2:$B$200,G244)),0)),"")</f>
        <v/>
      </c>
      <c r="J244" s="12"/>
      <c r="K244" s="12"/>
      <c r="L244" s="60"/>
      <c r="M244" s="60"/>
      <c r="N244" s="60"/>
      <c r="O244" s="60"/>
      <c r="P244" s="7" t="str">
        <f t="shared" si="7"/>
        <v/>
      </c>
      <c r="Q244" s="8">
        <f>IFERROR(VLOOKUP(VALUE(A244),WEEKLY_DATA!$A:$H,2,0),0)</f>
        <v>0</v>
      </c>
      <c r="R244" s="8">
        <f>IFERROR(VLOOKUP(VALUE(A244),WEEKLY_DATA!$A:$H,3,0),0)</f>
        <v>0</v>
      </c>
      <c r="S244" s="8">
        <f>IFERROR(VLOOKUP(VALUE(A244),WEEKLY_DATA!$A:$H,4,0),0)</f>
        <v>0</v>
      </c>
      <c r="T244" s="51">
        <f>IFERROR(VLOOKUP(VALUE(A244),WEEKLY_DATA!$A:$H,5,0),0)</f>
        <v>0</v>
      </c>
      <c r="U244" s="51">
        <f>IFERROR(VLOOKUP(VALUE(A244),WEEKLY_DATA!$A:$H,6,0),0)</f>
        <v>0</v>
      </c>
      <c r="V244" s="51">
        <f>IFERROR(VLOOKUP(VALUE(A244),WEEKLY_DATA!$A:$H,7,0),0)</f>
        <v>0</v>
      </c>
      <c r="W244" s="9" t="str">
        <f>IFERROR(IF(OR(Q244="",Q244=0),"",IF(VLOOKUP(VALUE($A244),WEEKLY_DATA!$A:$H,6,0)=0,"No Sales",Q244/(VLOOKUP(VALUE($A244),WEEKLY_DATA!$A:$H,6,0)/13))),"")</f>
        <v/>
      </c>
      <c r="X244" s="10">
        <f>IFERROR(VLOOKUP(VALUE(A244),WEEKLY_DATA!$A:$H,8,0),0)</f>
        <v>0</v>
      </c>
      <c r="Y244" s="13" t="str">
        <f t="shared" si="6"/>
        <v>—</v>
      </c>
      <c r="Z244" s="11"/>
      <c r="AA244" s="11"/>
      <c r="AB244" s="11"/>
      <c r="AC244" s="11"/>
      <c r="AD244" s="11"/>
      <c r="AE244" s="11"/>
      <c r="AF244" s="61"/>
      <c r="AG244" s="61"/>
      <c r="AH244" s="62"/>
      <c r="AI244" s="62"/>
      <c r="AJ244" s="61"/>
      <c r="AK244" s="61"/>
      <c r="AL244" s="61"/>
      <c r="AM244" s="58"/>
      <c r="AN244" s="58"/>
      <c r="AO244" s="58"/>
      <c r="AP244" s="58"/>
      <c r="AQ244" s="58"/>
      <c r="AR244" s="58"/>
      <c r="AS244" s="91"/>
      <c r="AT244" s="93"/>
      <c r="AU244" s="93"/>
      <c r="AV244" s="93"/>
      <c r="AW244" s="93"/>
    </row>
    <row r="245" spans="1:49" x14ac:dyDescent="0.25">
      <c r="A245" s="59"/>
      <c r="B245" s="12"/>
      <c r="C245" s="12"/>
      <c r="D245" s="60"/>
      <c r="E245" s="6"/>
      <c r="F245" s="6"/>
      <c r="G245" s="12"/>
      <c r="H245" s="12"/>
      <c r="I245" s="12" t="str" cm="2">
        <f t="array" ref="I245">IFERROR(INDEX(BrandList!$B$2:$B$200,MATCH(TRUE,ISNUMBER(SEARCH(BrandList!$B$2:$B$200,G245)),0)),"")</f>
        <v/>
      </c>
      <c r="J245" s="12"/>
      <c r="K245" s="12"/>
      <c r="L245" s="60"/>
      <c r="M245" s="60"/>
      <c r="N245" s="60"/>
      <c r="O245" s="60"/>
      <c r="P245" s="7" t="str">
        <f t="shared" si="7"/>
        <v/>
      </c>
      <c r="Q245" s="8">
        <f>IFERROR(VLOOKUP(VALUE(A245),WEEKLY_DATA!$A:$H,2,0),0)</f>
        <v>0</v>
      </c>
      <c r="R245" s="8">
        <f>IFERROR(VLOOKUP(VALUE(A245),WEEKLY_DATA!$A:$H,3,0),0)</f>
        <v>0</v>
      </c>
      <c r="S245" s="8">
        <f>IFERROR(VLOOKUP(VALUE(A245),WEEKLY_DATA!$A:$H,4,0),0)</f>
        <v>0</v>
      </c>
      <c r="T245" s="51">
        <f>IFERROR(VLOOKUP(VALUE(A245),WEEKLY_DATA!$A:$H,5,0),0)</f>
        <v>0</v>
      </c>
      <c r="U245" s="51">
        <f>IFERROR(VLOOKUP(VALUE(A245),WEEKLY_DATA!$A:$H,6,0),0)</f>
        <v>0</v>
      </c>
      <c r="V245" s="51">
        <f>IFERROR(VLOOKUP(VALUE(A245),WEEKLY_DATA!$A:$H,7,0),0)</f>
        <v>0</v>
      </c>
      <c r="W245" s="9" t="str">
        <f>IFERROR(IF(OR(Q245="",Q245=0),"",IF(VLOOKUP(VALUE($A245),WEEKLY_DATA!$A:$H,6,0)=0,"No Sales",Q245/(VLOOKUP(VALUE($A245),WEEKLY_DATA!$A:$H,6,0)/13))),"")</f>
        <v/>
      </c>
      <c r="X245" s="10">
        <f>IFERROR(VLOOKUP(VALUE(A245),WEEKLY_DATA!$A:$H,8,0),0)</f>
        <v>0</v>
      </c>
      <c r="Y245" s="13" t="str">
        <f t="shared" si="6"/>
        <v>—</v>
      </c>
      <c r="Z245" s="11"/>
      <c r="AA245" s="11"/>
      <c r="AB245" s="11"/>
      <c r="AC245" s="11"/>
      <c r="AD245" s="11"/>
      <c r="AE245" s="11"/>
      <c r="AF245" s="61"/>
      <c r="AG245" s="61"/>
      <c r="AH245" s="62"/>
      <c r="AI245" s="62"/>
      <c r="AJ245" s="61"/>
      <c r="AK245" s="61"/>
      <c r="AL245" s="61"/>
      <c r="AM245" s="58"/>
      <c r="AN245" s="58"/>
      <c r="AO245" s="58"/>
      <c r="AP245" s="58"/>
      <c r="AQ245" s="58"/>
      <c r="AR245" s="58"/>
      <c r="AS245" s="91"/>
      <c r="AT245" s="93"/>
      <c r="AU245" s="93"/>
      <c r="AV245" s="93"/>
      <c r="AW245" s="93"/>
    </row>
    <row r="246" spans="1:49" x14ac:dyDescent="0.25">
      <c r="A246" s="59"/>
      <c r="B246" s="12"/>
      <c r="C246" s="12"/>
      <c r="D246" s="60"/>
      <c r="E246" s="6"/>
      <c r="F246" s="6"/>
      <c r="G246" s="12"/>
      <c r="H246" s="12"/>
      <c r="I246" s="12" t="str" cm="2">
        <f t="array" ref="I246">IFERROR(INDEX(BrandList!$B$2:$B$200,MATCH(TRUE,ISNUMBER(SEARCH(BrandList!$B$2:$B$200,G246)),0)),"")</f>
        <v/>
      </c>
      <c r="J246" s="12"/>
      <c r="K246" s="12"/>
      <c r="L246" s="60"/>
      <c r="M246" s="60"/>
      <c r="N246" s="60"/>
      <c r="O246" s="60"/>
      <c r="P246" s="7" t="str">
        <f t="shared" si="7"/>
        <v/>
      </c>
      <c r="Q246" s="8">
        <f>IFERROR(VLOOKUP(VALUE(A246),WEEKLY_DATA!$A:$H,2,0),0)</f>
        <v>0</v>
      </c>
      <c r="R246" s="8">
        <f>IFERROR(VLOOKUP(VALUE(A246),WEEKLY_DATA!$A:$H,3,0),0)</f>
        <v>0</v>
      </c>
      <c r="S246" s="8">
        <f>IFERROR(VLOOKUP(VALUE(A246),WEEKLY_DATA!$A:$H,4,0),0)</f>
        <v>0</v>
      </c>
      <c r="T246" s="51">
        <f>IFERROR(VLOOKUP(VALUE(A246),WEEKLY_DATA!$A:$H,5,0),0)</f>
        <v>0</v>
      </c>
      <c r="U246" s="51">
        <f>IFERROR(VLOOKUP(VALUE(A246),WEEKLY_DATA!$A:$H,6,0),0)</f>
        <v>0</v>
      </c>
      <c r="V246" s="51">
        <f>IFERROR(VLOOKUP(VALUE(A246),WEEKLY_DATA!$A:$H,7,0),0)</f>
        <v>0</v>
      </c>
      <c r="W246" s="9" t="str">
        <f>IFERROR(IF(OR(Q246="",Q246=0),"",IF(VLOOKUP(VALUE($A246),WEEKLY_DATA!$A:$H,6,0)=0,"No Sales",Q246/(VLOOKUP(VALUE($A246),WEEKLY_DATA!$A:$H,6,0)/13))),"")</f>
        <v/>
      </c>
      <c r="X246" s="10">
        <f>IFERROR(VLOOKUP(VALUE(A246),WEEKLY_DATA!$A:$H,8,0),0)</f>
        <v>0</v>
      </c>
      <c r="Y246" s="13" t="str">
        <f t="shared" si="6"/>
        <v>—</v>
      </c>
      <c r="Z246" s="11"/>
      <c r="AA246" s="11"/>
      <c r="AB246" s="11"/>
      <c r="AC246" s="11"/>
      <c r="AD246" s="11"/>
      <c r="AE246" s="11"/>
      <c r="AF246" s="61"/>
      <c r="AG246" s="61"/>
      <c r="AH246" s="62"/>
      <c r="AI246" s="62"/>
      <c r="AJ246" s="61"/>
      <c r="AK246" s="61"/>
      <c r="AL246" s="61"/>
      <c r="AM246" s="58"/>
      <c r="AN246" s="58"/>
      <c r="AO246" s="58"/>
      <c r="AP246" s="58"/>
      <c r="AQ246" s="58"/>
      <c r="AR246" s="58"/>
      <c r="AS246" s="91"/>
      <c r="AT246" s="93"/>
      <c r="AU246" s="93"/>
      <c r="AV246" s="93"/>
      <c r="AW246" s="93"/>
    </row>
    <row r="247" spans="1:49" x14ac:dyDescent="0.25">
      <c r="A247" s="59"/>
      <c r="B247" s="12"/>
      <c r="C247" s="12"/>
      <c r="D247" s="60"/>
      <c r="E247" s="6"/>
      <c r="F247" s="6"/>
      <c r="G247" s="12"/>
      <c r="H247" s="12"/>
      <c r="I247" s="12" t="str" cm="2">
        <f t="array" ref="I247">IFERROR(INDEX(BrandList!$B$2:$B$200,MATCH(TRUE,ISNUMBER(SEARCH(BrandList!$B$2:$B$200,G247)),0)),"")</f>
        <v/>
      </c>
      <c r="J247" s="12"/>
      <c r="K247" s="12"/>
      <c r="L247" s="60"/>
      <c r="M247" s="60"/>
      <c r="N247" s="60"/>
      <c r="O247" s="60"/>
      <c r="P247" s="7" t="str">
        <f t="shared" si="7"/>
        <v/>
      </c>
      <c r="Q247" s="8">
        <f>IFERROR(VLOOKUP(VALUE(A247),WEEKLY_DATA!$A:$H,2,0),0)</f>
        <v>0</v>
      </c>
      <c r="R247" s="8">
        <f>IFERROR(VLOOKUP(VALUE(A247),WEEKLY_DATA!$A:$H,3,0),0)</f>
        <v>0</v>
      </c>
      <c r="S247" s="8">
        <f>IFERROR(VLOOKUP(VALUE(A247),WEEKLY_DATA!$A:$H,4,0),0)</f>
        <v>0</v>
      </c>
      <c r="T247" s="51">
        <f>IFERROR(VLOOKUP(VALUE(A247),WEEKLY_DATA!$A:$H,5,0),0)</f>
        <v>0</v>
      </c>
      <c r="U247" s="51">
        <f>IFERROR(VLOOKUP(VALUE(A247),WEEKLY_DATA!$A:$H,6,0),0)</f>
        <v>0</v>
      </c>
      <c r="V247" s="51">
        <f>IFERROR(VLOOKUP(VALUE(A247),WEEKLY_DATA!$A:$H,7,0),0)</f>
        <v>0</v>
      </c>
      <c r="W247" s="9" t="str">
        <f>IFERROR(IF(OR(Q247="",Q247=0),"",IF(VLOOKUP(VALUE($A247),WEEKLY_DATA!$A:$H,6,0)=0,"No Sales",Q247/(VLOOKUP(VALUE($A247),WEEKLY_DATA!$A:$H,6,0)/13))),"")</f>
        <v/>
      </c>
      <c r="X247" s="10">
        <f>IFERROR(VLOOKUP(VALUE(A247),WEEKLY_DATA!$A:$H,8,0),0)</f>
        <v>0</v>
      </c>
      <c r="Y247" s="13" t="str">
        <f t="shared" si="6"/>
        <v>—</v>
      </c>
      <c r="Z247" s="11"/>
      <c r="AA247" s="11"/>
      <c r="AB247" s="11"/>
      <c r="AC247" s="11"/>
      <c r="AD247" s="11"/>
      <c r="AE247" s="11"/>
      <c r="AF247" s="61"/>
      <c r="AG247" s="61"/>
      <c r="AH247" s="62"/>
      <c r="AI247" s="62"/>
      <c r="AJ247" s="61"/>
      <c r="AK247" s="61"/>
      <c r="AL247" s="61"/>
      <c r="AM247" s="58"/>
      <c r="AN247" s="58"/>
      <c r="AO247" s="58"/>
      <c r="AP247" s="58"/>
      <c r="AQ247" s="58"/>
      <c r="AR247" s="58"/>
      <c r="AS247" s="91"/>
      <c r="AT247" s="93"/>
      <c r="AU247" s="93"/>
      <c r="AV247" s="93"/>
      <c r="AW247" s="93"/>
    </row>
    <row r="248" spans="1:49" x14ac:dyDescent="0.25">
      <c r="A248" s="59"/>
      <c r="B248" s="12"/>
      <c r="C248" s="12"/>
      <c r="D248" s="60"/>
      <c r="E248" s="6"/>
      <c r="F248" s="6"/>
      <c r="G248" s="12"/>
      <c r="H248" s="12"/>
      <c r="I248" s="12" t="str" cm="2">
        <f t="array" ref="I248">IFERROR(INDEX(BrandList!$B$2:$B$200,MATCH(TRUE,ISNUMBER(SEARCH(BrandList!$B$2:$B$200,G248)),0)),"")</f>
        <v/>
      </c>
      <c r="J248" s="12"/>
      <c r="K248" s="12"/>
      <c r="L248" s="60"/>
      <c r="M248" s="60"/>
      <c r="N248" s="60"/>
      <c r="O248" s="60"/>
      <c r="P248" s="7" t="str">
        <f t="shared" si="7"/>
        <v/>
      </c>
      <c r="Q248" s="8">
        <f>IFERROR(VLOOKUP(VALUE(A248),WEEKLY_DATA!$A:$H,2,0),0)</f>
        <v>0</v>
      </c>
      <c r="R248" s="8">
        <f>IFERROR(VLOOKUP(VALUE(A248),WEEKLY_DATA!$A:$H,3,0),0)</f>
        <v>0</v>
      </c>
      <c r="S248" s="8">
        <f>IFERROR(VLOOKUP(VALUE(A248),WEEKLY_DATA!$A:$H,4,0),0)</f>
        <v>0</v>
      </c>
      <c r="T248" s="51">
        <f>IFERROR(VLOOKUP(VALUE(A248),WEEKLY_DATA!$A:$H,5,0),0)</f>
        <v>0</v>
      </c>
      <c r="U248" s="51">
        <f>IFERROR(VLOOKUP(VALUE(A248),WEEKLY_DATA!$A:$H,6,0),0)</f>
        <v>0</v>
      </c>
      <c r="V248" s="51">
        <f>IFERROR(VLOOKUP(VALUE(A248),WEEKLY_DATA!$A:$H,7,0),0)</f>
        <v>0</v>
      </c>
      <c r="W248" s="9" t="str">
        <f>IFERROR(IF(OR(Q248="",Q248=0),"",IF(VLOOKUP(VALUE($A248),WEEKLY_DATA!$A:$H,6,0)=0,"No Sales",Q248/(VLOOKUP(VALUE($A248),WEEKLY_DATA!$A:$H,6,0)/13))),"")</f>
        <v/>
      </c>
      <c r="X248" s="10">
        <f>IFERROR(VLOOKUP(VALUE(A248),WEEKLY_DATA!$A:$H,8,0),0)</f>
        <v>0</v>
      </c>
      <c r="Y248" s="13" t="str">
        <f t="shared" si="6"/>
        <v>—</v>
      </c>
      <c r="Z248" s="11"/>
      <c r="AA248" s="11"/>
      <c r="AB248" s="11"/>
      <c r="AC248" s="11"/>
      <c r="AD248" s="11"/>
      <c r="AE248" s="11"/>
      <c r="AF248" s="61"/>
      <c r="AG248" s="61"/>
      <c r="AH248" s="62"/>
      <c r="AI248" s="62"/>
      <c r="AJ248" s="61"/>
      <c r="AK248" s="61"/>
      <c r="AL248" s="61"/>
      <c r="AM248" s="58"/>
      <c r="AN248" s="58"/>
      <c r="AO248" s="58"/>
      <c r="AP248" s="58"/>
      <c r="AQ248" s="58"/>
      <c r="AR248" s="58"/>
      <c r="AS248" s="91"/>
      <c r="AT248" s="93"/>
      <c r="AU248" s="93"/>
      <c r="AV248" s="93"/>
      <c r="AW248" s="93"/>
    </row>
    <row r="249" spans="1:49" x14ac:dyDescent="0.25">
      <c r="A249" s="59"/>
      <c r="B249" s="12"/>
      <c r="C249" s="12"/>
      <c r="D249" s="60"/>
      <c r="E249" s="6"/>
      <c r="F249" s="6"/>
      <c r="G249" s="12"/>
      <c r="H249" s="12"/>
      <c r="I249" s="12" t="str" cm="2">
        <f t="array" ref="I249">IFERROR(INDEX(BrandList!$B$2:$B$200,MATCH(TRUE,ISNUMBER(SEARCH(BrandList!$B$2:$B$200,G249)),0)),"")</f>
        <v/>
      </c>
      <c r="J249" s="12"/>
      <c r="K249" s="12"/>
      <c r="L249" s="60"/>
      <c r="M249" s="60"/>
      <c r="N249" s="60"/>
      <c r="O249" s="60"/>
      <c r="P249" s="7" t="str">
        <f t="shared" si="7"/>
        <v/>
      </c>
      <c r="Q249" s="8">
        <f>IFERROR(VLOOKUP(VALUE(A249),WEEKLY_DATA!$A:$H,2,0),0)</f>
        <v>0</v>
      </c>
      <c r="R249" s="8">
        <f>IFERROR(VLOOKUP(VALUE(A249),WEEKLY_DATA!$A:$H,3,0),0)</f>
        <v>0</v>
      </c>
      <c r="S249" s="8">
        <f>IFERROR(VLOOKUP(VALUE(A249),WEEKLY_DATA!$A:$H,4,0),0)</f>
        <v>0</v>
      </c>
      <c r="T249" s="51">
        <f>IFERROR(VLOOKUP(VALUE(A249),WEEKLY_DATA!$A:$H,5,0),0)</f>
        <v>0</v>
      </c>
      <c r="U249" s="51">
        <f>IFERROR(VLOOKUP(VALUE(A249),WEEKLY_DATA!$A:$H,6,0),0)</f>
        <v>0</v>
      </c>
      <c r="V249" s="51">
        <f>IFERROR(VLOOKUP(VALUE(A249),WEEKLY_DATA!$A:$H,7,0),0)</f>
        <v>0</v>
      </c>
      <c r="W249" s="9" t="str">
        <f>IFERROR(IF(OR(Q249="",Q249=0),"",IF(VLOOKUP(VALUE($A249),WEEKLY_DATA!$A:$H,6,0)=0,"No Sales",Q249/(VLOOKUP(VALUE($A249),WEEKLY_DATA!$A:$H,6,0)/13))),"")</f>
        <v/>
      </c>
      <c r="X249" s="10">
        <f>IFERROR(VLOOKUP(VALUE(A249),WEEKLY_DATA!$A:$H,8,0),0)</f>
        <v>0</v>
      </c>
      <c r="Y249" s="13" t="str">
        <f t="shared" si="6"/>
        <v>—</v>
      </c>
      <c r="Z249" s="11"/>
      <c r="AA249" s="11"/>
      <c r="AB249" s="11"/>
      <c r="AC249" s="11"/>
      <c r="AD249" s="11"/>
      <c r="AE249" s="11"/>
      <c r="AF249" s="61"/>
      <c r="AG249" s="61"/>
      <c r="AH249" s="62"/>
      <c r="AI249" s="62"/>
      <c r="AJ249" s="61"/>
      <c r="AK249" s="61"/>
      <c r="AL249" s="61"/>
      <c r="AM249" s="58"/>
      <c r="AN249" s="58"/>
      <c r="AO249" s="58"/>
      <c r="AP249" s="58"/>
      <c r="AQ249" s="58"/>
      <c r="AR249" s="58"/>
      <c r="AS249" s="91"/>
      <c r="AT249" s="93"/>
      <c r="AU249" s="93"/>
      <c r="AV249" s="93"/>
      <c r="AW249" s="93"/>
    </row>
    <row r="250" spans="1:49" x14ac:dyDescent="0.25">
      <c r="A250" s="59"/>
      <c r="B250" s="12"/>
      <c r="C250" s="12"/>
      <c r="D250" s="60"/>
      <c r="E250" s="6"/>
      <c r="F250" s="6"/>
      <c r="G250" s="12"/>
      <c r="H250" s="12"/>
      <c r="I250" s="12" t="str" cm="2">
        <f t="array" ref="I250">IFERROR(INDEX(BrandList!$B$2:$B$200,MATCH(TRUE,ISNUMBER(SEARCH(BrandList!$B$2:$B$200,G250)),0)),"")</f>
        <v/>
      </c>
      <c r="J250" s="12"/>
      <c r="K250" s="12"/>
      <c r="L250" s="60"/>
      <c r="M250" s="60"/>
      <c r="N250" s="60"/>
      <c r="O250" s="60"/>
      <c r="P250" s="7" t="str">
        <f t="shared" si="7"/>
        <v/>
      </c>
      <c r="Q250" s="8">
        <f>IFERROR(VLOOKUP(VALUE(A250),WEEKLY_DATA!$A:$H,2,0),0)</f>
        <v>0</v>
      </c>
      <c r="R250" s="8">
        <f>IFERROR(VLOOKUP(VALUE(A250),WEEKLY_DATA!$A:$H,3,0),0)</f>
        <v>0</v>
      </c>
      <c r="S250" s="8">
        <f>IFERROR(VLOOKUP(VALUE(A250),WEEKLY_DATA!$A:$H,4,0),0)</f>
        <v>0</v>
      </c>
      <c r="T250" s="51">
        <f>IFERROR(VLOOKUP(VALUE(A250),WEEKLY_DATA!$A:$H,5,0),0)</f>
        <v>0</v>
      </c>
      <c r="U250" s="51">
        <f>IFERROR(VLOOKUP(VALUE(A250),WEEKLY_DATA!$A:$H,6,0),0)</f>
        <v>0</v>
      </c>
      <c r="V250" s="51">
        <f>IFERROR(VLOOKUP(VALUE(A250),WEEKLY_DATA!$A:$H,7,0),0)</f>
        <v>0</v>
      </c>
      <c r="W250" s="9" t="str">
        <f>IFERROR(IF(OR(Q250="",Q250=0),"",IF(VLOOKUP(VALUE($A250),WEEKLY_DATA!$A:$H,6,0)=0,"No Sales",Q250/(VLOOKUP(VALUE($A250),WEEKLY_DATA!$A:$H,6,0)/13))),"")</f>
        <v/>
      </c>
      <c r="X250" s="10">
        <f>IFERROR(VLOOKUP(VALUE(A250),WEEKLY_DATA!$A:$H,8,0),0)</f>
        <v>0</v>
      </c>
      <c r="Y250" s="13" t="str">
        <f t="shared" si="6"/>
        <v>—</v>
      </c>
      <c r="Z250" s="11"/>
      <c r="AA250" s="11"/>
      <c r="AB250" s="11"/>
      <c r="AC250" s="11"/>
      <c r="AD250" s="11"/>
      <c r="AE250" s="11"/>
      <c r="AF250" s="61"/>
      <c r="AG250" s="61"/>
      <c r="AH250" s="62"/>
      <c r="AI250" s="62"/>
      <c r="AJ250" s="61"/>
      <c r="AK250" s="61"/>
      <c r="AL250" s="61"/>
      <c r="AM250" s="58"/>
      <c r="AN250" s="58"/>
      <c r="AO250" s="58"/>
      <c r="AP250" s="58"/>
      <c r="AQ250" s="58"/>
      <c r="AR250" s="58"/>
      <c r="AS250" s="91"/>
      <c r="AT250" s="93"/>
      <c r="AU250" s="93"/>
      <c r="AV250" s="93"/>
      <c r="AW250" s="93"/>
    </row>
    <row r="251" spans="1:49" x14ac:dyDescent="0.25">
      <c r="A251" s="59"/>
      <c r="B251" s="12"/>
      <c r="C251" s="12"/>
      <c r="D251" s="60"/>
      <c r="E251" s="6"/>
      <c r="F251" s="6"/>
      <c r="G251" s="12"/>
      <c r="H251" s="12"/>
      <c r="I251" s="12" t="str" cm="2">
        <f t="array" ref="I251">IFERROR(INDEX(BrandList!$B$2:$B$200,MATCH(TRUE,ISNUMBER(SEARCH(BrandList!$B$2:$B$200,G251)),0)),"")</f>
        <v/>
      </c>
      <c r="J251" s="12"/>
      <c r="K251" s="12"/>
      <c r="L251" s="60"/>
      <c r="M251" s="60"/>
      <c r="N251" s="60"/>
      <c r="O251" s="60"/>
      <c r="P251" s="7" t="str">
        <f t="shared" si="7"/>
        <v/>
      </c>
      <c r="Q251" s="8">
        <f>IFERROR(VLOOKUP(VALUE(A251),WEEKLY_DATA!$A:$H,2,0),0)</f>
        <v>0</v>
      </c>
      <c r="R251" s="8">
        <f>IFERROR(VLOOKUP(VALUE(A251),WEEKLY_DATA!$A:$H,3,0),0)</f>
        <v>0</v>
      </c>
      <c r="S251" s="8">
        <f>IFERROR(VLOOKUP(VALUE(A251),WEEKLY_DATA!$A:$H,4,0),0)</f>
        <v>0</v>
      </c>
      <c r="T251" s="51">
        <f>IFERROR(VLOOKUP(VALUE(A251),WEEKLY_DATA!$A:$H,5,0),0)</f>
        <v>0</v>
      </c>
      <c r="U251" s="51">
        <f>IFERROR(VLOOKUP(VALUE(A251),WEEKLY_DATA!$A:$H,6,0),0)</f>
        <v>0</v>
      </c>
      <c r="V251" s="51">
        <f>IFERROR(VLOOKUP(VALUE(A251),WEEKLY_DATA!$A:$H,7,0),0)</f>
        <v>0</v>
      </c>
      <c r="W251" s="9" t="str">
        <f>IFERROR(IF(OR(Q251="",Q251=0),"",IF(VLOOKUP(VALUE($A251),WEEKLY_DATA!$A:$H,6,0)=0,"No Sales",Q251/(VLOOKUP(VALUE($A251),WEEKLY_DATA!$A:$H,6,0)/13))),"")</f>
        <v/>
      </c>
      <c r="X251" s="10">
        <f>IFERROR(VLOOKUP(VALUE(A251),WEEKLY_DATA!$A:$H,8,0),0)</f>
        <v>0</v>
      </c>
      <c r="Y251" s="13" t="str">
        <f t="shared" si="6"/>
        <v>—</v>
      </c>
      <c r="Z251" s="11"/>
      <c r="AA251" s="11"/>
      <c r="AB251" s="11"/>
      <c r="AC251" s="11"/>
      <c r="AD251" s="11"/>
      <c r="AE251" s="11"/>
      <c r="AF251" s="61"/>
      <c r="AG251" s="61"/>
      <c r="AH251" s="62"/>
      <c r="AI251" s="62"/>
      <c r="AJ251" s="61"/>
      <c r="AK251" s="61"/>
      <c r="AL251" s="61"/>
      <c r="AM251" s="58"/>
      <c r="AN251" s="58"/>
      <c r="AO251" s="58"/>
      <c r="AP251" s="58"/>
      <c r="AQ251" s="58"/>
      <c r="AR251" s="58"/>
      <c r="AS251" s="91"/>
      <c r="AT251" s="93"/>
      <c r="AU251" s="93"/>
      <c r="AV251" s="93"/>
      <c r="AW251" s="93"/>
    </row>
    <row r="252" spans="1:49" x14ac:dyDescent="0.25">
      <c r="A252" s="59"/>
      <c r="B252" s="12"/>
      <c r="C252" s="12"/>
      <c r="D252" s="60"/>
      <c r="E252" s="6"/>
      <c r="F252" s="6"/>
      <c r="G252" s="12"/>
      <c r="H252" s="12"/>
      <c r="I252" s="12" t="str" cm="2">
        <f t="array" ref="I252">IFERROR(INDEX(BrandList!$B$2:$B$200,MATCH(TRUE,ISNUMBER(SEARCH(BrandList!$B$2:$B$200,G252)),0)),"")</f>
        <v/>
      </c>
      <c r="J252" s="12"/>
      <c r="K252" s="12"/>
      <c r="L252" s="60"/>
      <c r="M252" s="60"/>
      <c r="N252" s="60"/>
      <c r="O252" s="60"/>
      <c r="P252" s="7" t="str">
        <f t="shared" si="7"/>
        <v/>
      </c>
      <c r="Q252" s="8">
        <f>IFERROR(VLOOKUP(VALUE(A252),WEEKLY_DATA!$A:$H,2,0),0)</f>
        <v>0</v>
      </c>
      <c r="R252" s="8">
        <f>IFERROR(VLOOKUP(VALUE(A252),WEEKLY_DATA!$A:$H,3,0),0)</f>
        <v>0</v>
      </c>
      <c r="S252" s="8">
        <f>IFERROR(VLOOKUP(VALUE(A252),WEEKLY_DATA!$A:$H,4,0),0)</f>
        <v>0</v>
      </c>
      <c r="T252" s="51">
        <f>IFERROR(VLOOKUP(VALUE(A252),WEEKLY_DATA!$A:$H,5,0),0)</f>
        <v>0</v>
      </c>
      <c r="U252" s="51">
        <f>IFERROR(VLOOKUP(VALUE(A252),WEEKLY_DATA!$A:$H,6,0),0)</f>
        <v>0</v>
      </c>
      <c r="V252" s="51">
        <f>IFERROR(VLOOKUP(VALUE(A252),WEEKLY_DATA!$A:$H,7,0),0)</f>
        <v>0</v>
      </c>
      <c r="W252" s="9" t="str">
        <f>IFERROR(IF(OR(Q252="",Q252=0),"",IF(VLOOKUP(VALUE($A252),WEEKLY_DATA!$A:$H,6,0)=0,"No Sales",Q252/(VLOOKUP(VALUE($A252),WEEKLY_DATA!$A:$H,6,0)/13))),"")</f>
        <v/>
      </c>
      <c r="X252" s="10">
        <f>IFERROR(VLOOKUP(VALUE(A252),WEEKLY_DATA!$A:$H,8,0),0)</f>
        <v>0</v>
      </c>
      <c r="Y252" s="13" t="str">
        <f t="shared" si="6"/>
        <v>—</v>
      </c>
      <c r="Z252" s="11"/>
      <c r="AA252" s="11"/>
      <c r="AB252" s="11"/>
      <c r="AC252" s="11"/>
      <c r="AD252" s="11"/>
      <c r="AE252" s="11"/>
      <c r="AF252" s="61"/>
      <c r="AG252" s="61"/>
      <c r="AH252" s="62"/>
      <c r="AI252" s="62"/>
      <c r="AJ252" s="61"/>
      <c r="AK252" s="61"/>
      <c r="AL252" s="61"/>
      <c r="AM252" s="58"/>
      <c r="AN252" s="58"/>
      <c r="AO252" s="58"/>
      <c r="AP252" s="58"/>
      <c r="AQ252" s="58"/>
      <c r="AR252" s="58"/>
      <c r="AS252" s="91"/>
      <c r="AT252" s="93"/>
      <c r="AU252" s="93"/>
      <c r="AV252" s="93"/>
      <c r="AW252" s="93"/>
    </row>
    <row r="253" spans="1:49" x14ac:dyDescent="0.25">
      <c r="A253" s="59"/>
      <c r="B253" s="12"/>
      <c r="C253" s="12"/>
      <c r="D253" s="60"/>
      <c r="E253" s="6"/>
      <c r="F253" s="6"/>
      <c r="G253" s="12"/>
      <c r="H253" s="12"/>
      <c r="I253" s="12" t="str" cm="2">
        <f t="array" ref="I253">IFERROR(INDEX(BrandList!$B$2:$B$200,MATCH(TRUE,ISNUMBER(SEARCH(BrandList!$B$2:$B$200,G253)),0)),"")</f>
        <v/>
      </c>
      <c r="J253" s="12"/>
      <c r="K253" s="12"/>
      <c r="L253" s="60"/>
      <c r="M253" s="60"/>
      <c r="N253" s="60"/>
      <c r="O253" s="60"/>
      <c r="P253" s="7" t="str">
        <f t="shared" si="7"/>
        <v/>
      </c>
      <c r="Q253" s="8">
        <f>IFERROR(VLOOKUP(VALUE(A253),WEEKLY_DATA!$A:$H,2,0),0)</f>
        <v>0</v>
      </c>
      <c r="R253" s="8">
        <f>IFERROR(VLOOKUP(VALUE(A253),WEEKLY_DATA!$A:$H,3,0),0)</f>
        <v>0</v>
      </c>
      <c r="S253" s="8">
        <f>IFERROR(VLOOKUP(VALUE(A253),WEEKLY_DATA!$A:$H,4,0),0)</f>
        <v>0</v>
      </c>
      <c r="T253" s="51">
        <f>IFERROR(VLOOKUP(VALUE(A253),WEEKLY_DATA!$A:$H,5,0),0)</f>
        <v>0</v>
      </c>
      <c r="U253" s="51">
        <f>IFERROR(VLOOKUP(VALUE(A253),WEEKLY_DATA!$A:$H,6,0),0)</f>
        <v>0</v>
      </c>
      <c r="V253" s="51">
        <f>IFERROR(VLOOKUP(VALUE(A253),WEEKLY_DATA!$A:$H,7,0),0)</f>
        <v>0</v>
      </c>
      <c r="W253" s="9" t="str">
        <f>IFERROR(IF(OR(Q253="",Q253=0),"",IF(VLOOKUP(VALUE($A253),WEEKLY_DATA!$A:$H,6,0)=0,"No Sales",Q253/(VLOOKUP(VALUE($A253),WEEKLY_DATA!$A:$H,6,0)/13))),"")</f>
        <v/>
      </c>
      <c r="X253" s="10">
        <f>IFERROR(VLOOKUP(VALUE(A253),WEEKLY_DATA!$A:$H,8,0),0)</f>
        <v>0</v>
      </c>
      <c r="Y253" s="13" t="str">
        <f t="shared" si="6"/>
        <v>—</v>
      </c>
      <c r="Z253" s="11"/>
      <c r="AA253" s="11"/>
      <c r="AB253" s="11"/>
      <c r="AC253" s="11"/>
      <c r="AD253" s="11"/>
      <c r="AE253" s="11"/>
      <c r="AF253" s="61"/>
      <c r="AG253" s="61"/>
      <c r="AH253" s="62"/>
      <c r="AI253" s="62"/>
      <c r="AJ253" s="61"/>
      <c r="AK253" s="61"/>
      <c r="AL253" s="61"/>
      <c r="AM253" s="58"/>
      <c r="AN253" s="58"/>
      <c r="AO253" s="58"/>
      <c r="AP253" s="58"/>
      <c r="AQ253" s="58"/>
      <c r="AR253" s="58"/>
      <c r="AS253" s="91"/>
      <c r="AT253" s="93"/>
      <c r="AU253" s="93"/>
      <c r="AV253" s="93"/>
      <c r="AW253" s="93"/>
    </row>
    <row r="254" spans="1:49" x14ac:dyDescent="0.25">
      <c r="A254" s="59"/>
      <c r="B254" s="12"/>
      <c r="C254" s="12"/>
      <c r="D254" s="60"/>
      <c r="E254" s="6"/>
      <c r="F254" s="6"/>
      <c r="G254" s="12"/>
      <c r="H254" s="12"/>
      <c r="I254" s="12" t="str" cm="2">
        <f t="array" ref="I254">IFERROR(INDEX(BrandList!$B$2:$B$200,MATCH(TRUE,ISNUMBER(SEARCH(BrandList!$B$2:$B$200,G254)),0)),"")</f>
        <v/>
      </c>
      <c r="J254" s="12"/>
      <c r="K254" s="12"/>
      <c r="L254" s="60"/>
      <c r="M254" s="60"/>
      <c r="N254" s="60"/>
      <c r="O254" s="60"/>
      <c r="P254" s="7" t="str">
        <f t="shared" si="7"/>
        <v/>
      </c>
      <c r="Q254" s="8">
        <f>IFERROR(VLOOKUP(VALUE(A254),WEEKLY_DATA!$A:$H,2,0),0)</f>
        <v>0</v>
      </c>
      <c r="R254" s="8">
        <f>IFERROR(VLOOKUP(VALUE(A254),WEEKLY_DATA!$A:$H,3,0),0)</f>
        <v>0</v>
      </c>
      <c r="S254" s="8">
        <f>IFERROR(VLOOKUP(VALUE(A254),WEEKLY_DATA!$A:$H,4,0),0)</f>
        <v>0</v>
      </c>
      <c r="T254" s="51">
        <f>IFERROR(VLOOKUP(VALUE(A254),WEEKLY_DATA!$A:$H,5,0),0)</f>
        <v>0</v>
      </c>
      <c r="U254" s="51">
        <f>IFERROR(VLOOKUP(VALUE(A254),WEEKLY_DATA!$A:$H,6,0),0)</f>
        <v>0</v>
      </c>
      <c r="V254" s="51">
        <f>IFERROR(VLOOKUP(VALUE(A254),WEEKLY_DATA!$A:$H,7,0),0)</f>
        <v>0</v>
      </c>
      <c r="W254" s="9" t="str">
        <f>IFERROR(IF(OR(Q254="",Q254=0),"",IF(VLOOKUP(VALUE($A254),WEEKLY_DATA!$A:$H,6,0)=0,"No Sales",Q254/(VLOOKUP(VALUE($A254),WEEKLY_DATA!$A:$H,6,0)/13))),"")</f>
        <v/>
      </c>
      <c r="X254" s="10">
        <f>IFERROR(VLOOKUP(VALUE(A254),WEEKLY_DATA!$A:$H,8,0),0)</f>
        <v>0</v>
      </c>
      <c r="Y254" s="13" t="str">
        <f t="shared" si="6"/>
        <v>—</v>
      </c>
      <c r="Z254" s="11"/>
      <c r="AA254" s="11"/>
      <c r="AB254" s="11"/>
      <c r="AC254" s="11"/>
      <c r="AD254" s="11"/>
      <c r="AE254" s="11"/>
      <c r="AF254" s="61"/>
      <c r="AG254" s="61"/>
      <c r="AH254" s="62"/>
      <c r="AI254" s="62"/>
      <c r="AJ254" s="61"/>
      <c r="AK254" s="61"/>
      <c r="AL254" s="61"/>
      <c r="AM254" s="58"/>
      <c r="AN254" s="58"/>
      <c r="AO254" s="58"/>
      <c r="AP254" s="58"/>
      <c r="AQ254" s="58"/>
      <c r="AR254" s="58"/>
      <c r="AS254" s="91"/>
      <c r="AT254" s="93"/>
      <c r="AU254" s="93"/>
      <c r="AV254" s="93"/>
      <c r="AW254" s="93"/>
    </row>
    <row r="255" spans="1:49" x14ac:dyDescent="0.25">
      <c r="A255" s="59"/>
      <c r="B255" s="12"/>
      <c r="C255" s="12"/>
      <c r="D255" s="60"/>
      <c r="E255" s="6"/>
      <c r="F255" s="6"/>
      <c r="G255" s="12"/>
      <c r="H255" s="12"/>
      <c r="I255" s="12" t="str" cm="2">
        <f t="array" ref="I255">IFERROR(INDEX(BrandList!$B$2:$B$200,MATCH(TRUE,ISNUMBER(SEARCH(BrandList!$B$2:$B$200,G255)),0)),"")</f>
        <v/>
      </c>
      <c r="J255" s="12"/>
      <c r="K255" s="12"/>
      <c r="L255" s="60"/>
      <c r="M255" s="60"/>
      <c r="N255" s="60"/>
      <c r="O255" s="60"/>
      <c r="P255" s="7" t="str">
        <f t="shared" si="7"/>
        <v/>
      </c>
      <c r="Q255" s="8">
        <f>IFERROR(VLOOKUP(VALUE(A255),WEEKLY_DATA!$A:$H,2,0),0)</f>
        <v>0</v>
      </c>
      <c r="R255" s="8">
        <f>IFERROR(VLOOKUP(VALUE(A255),WEEKLY_DATA!$A:$H,3,0),0)</f>
        <v>0</v>
      </c>
      <c r="S255" s="8">
        <f>IFERROR(VLOOKUP(VALUE(A255),WEEKLY_DATA!$A:$H,4,0),0)</f>
        <v>0</v>
      </c>
      <c r="T255" s="51">
        <f>IFERROR(VLOOKUP(VALUE(A255),WEEKLY_DATA!$A:$H,5,0),0)</f>
        <v>0</v>
      </c>
      <c r="U255" s="51">
        <f>IFERROR(VLOOKUP(VALUE(A255),WEEKLY_DATA!$A:$H,6,0),0)</f>
        <v>0</v>
      </c>
      <c r="V255" s="51">
        <f>IFERROR(VLOOKUP(VALUE(A255),WEEKLY_DATA!$A:$H,7,0),0)</f>
        <v>0</v>
      </c>
      <c r="W255" s="9" t="str">
        <f>IFERROR(IF(OR(Q255="",Q255=0),"",IF(VLOOKUP(VALUE($A255),WEEKLY_DATA!$A:$H,6,0)=0,"No Sales",Q255/(VLOOKUP(VALUE($A255),WEEKLY_DATA!$A:$H,6,0)/13))),"")</f>
        <v/>
      </c>
      <c r="X255" s="10">
        <f>IFERROR(VLOOKUP(VALUE(A255),WEEKLY_DATA!$A:$H,8,0),0)</f>
        <v>0</v>
      </c>
      <c r="Y255" s="13" t="str">
        <f t="shared" si="6"/>
        <v>—</v>
      </c>
      <c r="Z255" s="11"/>
      <c r="AA255" s="11"/>
      <c r="AB255" s="11"/>
      <c r="AC255" s="11"/>
      <c r="AD255" s="11"/>
      <c r="AE255" s="11"/>
      <c r="AF255" s="61"/>
      <c r="AG255" s="61"/>
      <c r="AH255" s="62"/>
      <c r="AI255" s="62"/>
      <c r="AJ255" s="61"/>
      <c r="AK255" s="61"/>
      <c r="AL255" s="61"/>
      <c r="AM255" s="58"/>
      <c r="AN255" s="58"/>
      <c r="AO255" s="58"/>
      <c r="AP255" s="58"/>
      <c r="AQ255" s="58"/>
      <c r="AR255" s="58"/>
      <c r="AS255" s="91"/>
      <c r="AT255" s="93"/>
      <c r="AU255" s="93"/>
      <c r="AV255" s="93"/>
      <c r="AW255" s="93"/>
    </row>
    <row r="256" spans="1:49" x14ac:dyDescent="0.25">
      <c r="A256" s="59"/>
      <c r="B256" s="12"/>
      <c r="C256" s="12"/>
      <c r="D256" s="60"/>
      <c r="E256" s="6"/>
      <c r="F256" s="6"/>
      <c r="G256" s="12"/>
      <c r="H256" s="12"/>
      <c r="I256" s="12" t="str" cm="2">
        <f t="array" ref="I256">IFERROR(INDEX(BrandList!$B$2:$B$200,MATCH(TRUE,ISNUMBER(SEARCH(BrandList!$B$2:$B$200,G256)),0)),"")</f>
        <v/>
      </c>
      <c r="J256" s="12"/>
      <c r="K256" s="12"/>
      <c r="L256" s="60"/>
      <c r="M256" s="60"/>
      <c r="N256" s="60"/>
      <c r="O256" s="60"/>
      <c r="P256" s="7" t="str">
        <f t="shared" si="7"/>
        <v/>
      </c>
      <c r="Q256" s="8">
        <f>IFERROR(VLOOKUP(VALUE(A256),WEEKLY_DATA!$A:$H,2,0),0)</f>
        <v>0</v>
      </c>
      <c r="R256" s="8">
        <f>IFERROR(VLOOKUP(VALUE(A256),WEEKLY_DATA!$A:$H,3,0),0)</f>
        <v>0</v>
      </c>
      <c r="S256" s="8">
        <f>IFERROR(VLOOKUP(VALUE(A256),WEEKLY_DATA!$A:$H,4,0),0)</f>
        <v>0</v>
      </c>
      <c r="T256" s="51">
        <f>IFERROR(VLOOKUP(VALUE(A256),WEEKLY_DATA!$A:$H,5,0),0)</f>
        <v>0</v>
      </c>
      <c r="U256" s="51">
        <f>IFERROR(VLOOKUP(VALUE(A256),WEEKLY_DATA!$A:$H,6,0),0)</f>
        <v>0</v>
      </c>
      <c r="V256" s="51">
        <f>IFERROR(VLOOKUP(VALUE(A256),WEEKLY_DATA!$A:$H,7,0),0)</f>
        <v>0</v>
      </c>
      <c r="W256" s="9" t="str">
        <f>IFERROR(IF(OR(Q256="",Q256=0),"",IF(VLOOKUP(VALUE($A256),WEEKLY_DATA!$A:$H,6,0)=0,"No Sales",Q256/(VLOOKUP(VALUE($A256),WEEKLY_DATA!$A:$H,6,0)/13))),"")</f>
        <v/>
      </c>
      <c r="X256" s="10">
        <f>IFERROR(VLOOKUP(VALUE(A256),WEEKLY_DATA!$A:$H,8,0),0)</f>
        <v>0</v>
      </c>
      <c r="Y256" s="13" t="str">
        <f t="shared" si="6"/>
        <v>—</v>
      </c>
      <c r="Z256" s="11"/>
      <c r="AA256" s="11"/>
      <c r="AB256" s="11"/>
      <c r="AC256" s="11"/>
      <c r="AD256" s="11"/>
      <c r="AE256" s="11"/>
      <c r="AF256" s="61"/>
      <c r="AG256" s="61"/>
      <c r="AH256" s="62"/>
      <c r="AI256" s="62"/>
      <c r="AJ256" s="61"/>
      <c r="AK256" s="61"/>
      <c r="AL256" s="61"/>
      <c r="AM256" s="58"/>
      <c r="AN256" s="58"/>
      <c r="AO256" s="58"/>
      <c r="AP256" s="58"/>
      <c r="AQ256" s="58"/>
      <c r="AR256" s="58"/>
      <c r="AS256" s="91"/>
      <c r="AT256" s="93"/>
      <c r="AU256" s="93"/>
      <c r="AV256" s="93"/>
      <c r="AW256" s="93"/>
    </row>
    <row r="257" spans="1:49" x14ac:dyDescent="0.25">
      <c r="A257" s="59"/>
      <c r="B257" s="12"/>
      <c r="C257" s="12"/>
      <c r="D257" s="60"/>
      <c r="E257" s="6"/>
      <c r="F257" s="6"/>
      <c r="G257" s="12"/>
      <c r="H257" s="12"/>
      <c r="I257" s="12" t="str" cm="2">
        <f t="array" ref="I257">IFERROR(INDEX(BrandList!$B$2:$B$200,MATCH(TRUE,ISNUMBER(SEARCH(BrandList!$B$2:$B$200,G257)),0)),"")</f>
        <v/>
      </c>
      <c r="J257" s="12"/>
      <c r="K257" s="12"/>
      <c r="L257" s="60"/>
      <c r="M257" s="60"/>
      <c r="N257" s="60"/>
      <c r="O257" s="60"/>
      <c r="P257" s="7" t="str">
        <f t="shared" si="7"/>
        <v/>
      </c>
      <c r="Q257" s="8">
        <f>IFERROR(VLOOKUP(VALUE(A257),WEEKLY_DATA!$A:$H,2,0),0)</f>
        <v>0</v>
      </c>
      <c r="R257" s="8">
        <f>IFERROR(VLOOKUP(VALUE(A257),WEEKLY_DATA!$A:$H,3,0),0)</f>
        <v>0</v>
      </c>
      <c r="S257" s="8">
        <f>IFERROR(VLOOKUP(VALUE(A257),WEEKLY_DATA!$A:$H,4,0),0)</f>
        <v>0</v>
      </c>
      <c r="T257" s="51">
        <f>IFERROR(VLOOKUP(VALUE(A257),WEEKLY_DATA!$A:$H,5,0),0)</f>
        <v>0</v>
      </c>
      <c r="U257" s="51">
        <f>IFERROR(VLOOKUP(VALUE(A257),WEEKLY_DATA!$A:$H,6,0),0)</f>
        <v>0</v>
      </c>
      <c r="V257" s="51">
        <f>IFERROR(VLOOKUP(VALUE(A257),WEEKLY_DATA!$A:$H,7,0),0)</f>
        <v>0</v>
      </c>
      <c r="W257" s="9" t="str">
        <f>IFERROR(IF(OR(Q257="",Q257=0),"",IF(VLOOKUP(VALUE($A257),WEEKLY_DATA!$A:$H,6,0)=0,"No Sales",Q257/(VLOOKUP(VALUE($A257),WEEKLY_DATA!$A:$H,6,0)/13))),"")</f>
        <v/>
      </c>
      <c r="X257" s="10">
        <f>IFERROR(VLOOKUP(VALUE(A257),WEEKLY_DATA!$A:$H,8,0),0)</f>
        <v>0</v>
      </c>
      <c r="Y257" s="13" t="str">
        <f t="shared" si="6"/>
        <v>—</v>
      </c>
      <c r="Z257" s="11"/>
      <c r="AA257" s="11"/>
      <c r="AB257" s="11"/>
      <c r="AC257" s="11"/>
      <c r="AD257" s="11"/>
      <c r="AE257" s="11"/>
      <c r="AF257" s="61"/>
      <c r="AG257" s="61"/>
      <c r="AH257" s="62"/>
      <c r="AI257" s="62"/>
      <c r="AJ257" s="61"/>
      <c r="AK257" s="61"/>
      <c r="AL257" s="61"/>
      <c r="AM257" s="58"/>
      <c r="AN257" s="58"/>
      <c r="AO257" s="58"/>
      <c r="AP257" s="58"/>
      <c r="AQ257" s="58"/>
      <c r="AR257" s="58"/>
      <c r="AS257" s="91"/>
      <c r="AT257" s="93"/>
      <c r="AU257" s="93"/>
      <c r="AV257" s="93"/>
      <c r="AW257" s="93"/>
    </row>
    <row r="258" spans="1:49" x14ac:dyDescent="0.25">
      <c r="A258" s="59"/>
      <c r="B258" s="12"/>
      <c r="C258" s="12"/>
      <c r="D258" s="60"/>
      <c r="E258" s="6"/>
      <c r="F258" s="6"/>
      <c r="G258" s="12"/>
      <c r="H258" s="12"/>
      <c r="I258" s="12" t="str" cm="2">
        <f t="array" ref="I258">IFERROR(INDEX(BrandList!$B$2:$B$200,MATCH(TRUE,ISNUMBER(SEARCH(BrandList!$B$2:$B$200,G258)),0)),"")</f>
        <v/>
      </c>
      <c r="J258" s="12"/>
      <c r="K258" s="12"/>
      <c r="L258" s="60"/>
      <c r="M258" s="60"/>
      <c r="N258" s="60"/>
      <c r="O258" s="60"/>
      <c r="P258" s="7" t="str">
        <f t="shared" si="7"/>
        <v/>
      </c>
      <c r="Q258" s="8">
        <f>IFERROR(VLOOKUP(VALUE(A258),WEEKLY_DATA!$A:$H,2,0),0)</f>
        <v>0</v>
      </c>
      <c r="R258" s="8">
        <f>IFERROR(VLOOKUP(VALUE(A258),WEEKLY_DATA!$A:$H,3,0),0)</f>
        <v>0</v>
      </c>
      <c r="S258" s="8">
        <f>IFERROR(VLOOKUP(VALUE(A258),WEEKLY_DATA!$A:$H,4,0),0)</f>
        <v>0</v>
      </c>
      <c r="T258" s="51">
        <f>IFERROR(VLOOKUP(VALUE(A258),WEEKLY_DATA!$A:$H,5,0),0)</f>
        <v>0</v>
      </c>
      <c r="U258" s="51">
        <f>IFERROR(VLOOKUP(VALUE(A258),WEEKLY_DATA!$A:$H,6,0),0)</f>
        <v>0</v>
      </c>
      <c r="V258" s="51">
        <f>IFERROR(VLOOKUP(VALUE(A258),WEEKLY_DATA!$A:$H,7,0),0)</f>
        <v>0</v>
      </c>
      <c r="W258" s="9" t="str">
        <f>IFERROR(IF(OR(Q258="",Q258=0),"",IF(VLOOKUP(VALUE($A258),WEEKLY_DATA!$A:$H,6,0)=0,"No Sales",Q258/(VLOOKUP(VALUE($A258),WEEKLY_DATA!$A:$H,6,0)/13))),"")</f>
        <v/>
      </c>
      <c r="X258" s="10">
        <f>IFERROR(VLOOKUP(VALUE(A258),WEEKLY_DATA!$A:$H,8,0),0)</f>
        <v>0</v>
      </c>
      <c r="Y258" s="13" t="str">
        <f t="shared" si="6"/>
        <v>—</v>
      </c>
      <c r="Z258" s="11"/>
      <c r="AA258" s="11"/>
      <c r="AB258" s="11"/>
      <c r="AC258" s="11"/>
      <c r="AD258" s="11"/>
      <c r="AE258" s="11"/>
      <c r="AF258" s="61"/>
      <c r="AG258" s="61"/>
      <c r="AH258" s="62"/>
      <c r="AI258" s="62"/>
      <c r="AJ258" s="61"/>
      <c r="AK258" s="61"/>
      <c r="AL258" s="61"/>
      <c r="AM258" s="58"/>
      <c r="AN258" s="58"/>
      <c r="AO258" s="58"/>
      <c r="AP258" s="58"/>
      <c r="AQ258" s="58"/>
      <c r="AR258" s="58"/>
      <c r="AS258" s="91"/>
      <c r="AT258" s="93"/>
      <c r="AU258" s="93"/>
      <c r="AV258" s="93"/>
      <c r="AW258" s="93"/>
    </row>
    <row r="259" spans="1:49" x14ac:dyDescent="0.25">
      <c r="A259" s="59"/>
      <c r="B259" s="12"/>
      <c r="C259" s="12"/>
      <c r="D259" s="60"/>
      <c r="E259" s="6"/>
      <c r="F259" s="6"/>
      <c r="G259" s="12"/>
      <c r="H259" s="12"/>
      <c r="I259" s="12" t="str" cm="2">
        <f t="array" ref="I259">IFERROR(INDEX(BrandList!$B$2:$B$200,MATCH(TRUE,ISNUMBER(SEARCH(BrandList!$B$2:$B$200,G259)),0)),"")</f>
        <v/>
      </c>
      <c r="J259" s="12"/>
      <c r="K259" s="12"/>
      <c r="L259" s="60"/>
      <c r="M259" s="60"/>
      <c r="N259" s="60"/>
      <c r="O259" s="60"/>
      <c r="P259" s="7" t="str">
        <f t="shared" si="7"/>
        <v/>
      </c>
      <c r="Q259" s="8">
        <f>IFERROR(VLOOKUP(VALUE(A259),WEEKLY_DATA!$A:$H,2,0),0)</f>
        <v>0</v>
      </c>
      <c r="R259" s="8">
        <f>IFERROR(VLOOKUP(VALUE(A259),WEEKLY_DATA!$A:$H,3,0),0)</f>
        <v>0</v>
      </c>
      <c r="S259" s="8">
        <f>IFERROR(VLOOKUP(VALUE(A259),WEEKLY_DATA!$A:$H,4,0),0)</f>
        <v>0</v>
      </c>
      <c r="T259" s="51">
        <f>IFERROR(VLOOKUP(VALUE(A259),WEEKLY_DATA!$A:$H,5,0),0)</f>
        <v>0</v>
      </c>
      <c r="U259" s="51">
        <f>IFERROR(VLOOKUP(VALUE(A259),WEEKLY_DATA!$A:$H,6,0),0)</f>
        <v>0</v>
      </c>
      <c r="V259" s="51">
        <f>IFERROR(VLOOKUP(VALUE(A259),WEEKLY_DATA!$A:$H,7,0),0)</f>
        <v>0</v>
      </c>
      <c r="W259" s="9" t="str">
        <f>IFERROR(IF(OR(Q259="",Q259=0),"",IF(VLOOKUP(VALUE($A259),WEEKLY_DATA!$A:$H,6,0)=0,"No Sales",Q259/(VLOOKUP(VALUE($A259),WEEKLY_DATA!$A:$H,6,0)/13))),"")</f>
        <v/>
      </c>
      <c r="X259" s="10">
        <f>IFERROR(VLOOKUP(VALUE(A259),WEEKLY_DATA!$A:$H,8,0),0)</f>
        <v>0</v>
      </c>
      <c r="Y259" s="13" t="str">
        <f t="shared" si="6"/>
        <v>—</v>
      </c>
      <c r="Z259" s="11"/>
      <c r="AA259" s="11"/>
      <c r="AB259" s="11"/>
      <c r="AC259" s="11"/>
      <c r="AD259" s="11"/>
      <c r="AE259" s="11"/>
      <c r="AF259" s="61"/>
      <c r="AG259" s="61"/>
      <c r="AH259" s="62"/>
      <c r="AI259" s="62"/>
      <c r="AJ259" s="61"/>
      <c r="AK259" s="61"/>
      <c r="AL259" s="61"/>
      <c r="AM259" s="58"/>
      <c r="AN259" s="58"/>
      <c r="AO259" s="58"/>
      <c r="AP259" s="58"/>
      <c r="AQ259" s="58"/>
      <c r="AR259" s="58"/>
      <c r="AS259" s="91"/>
      <c r="AT259" s="93"/>
      <c r="AU259" s="93"/>
      <c r="AV259" s="93"/>
      <c r="AW259" s="93"/>
    </row>
    <row r="260" spans="1:49" x14ac:dyDescent="0.25">
      <c r="A260" s="59"/>
      <c r="B260" s="12"/>
      <c r="C260" s="12"/>
      <c r="D260" s="60"/>
      <c r="E260" s="6"/>
      <c r="F260" s="6"/>
      <c r="G260" s="12"/>
      <c r="H260" s="12"/>
      <c r="I260" s="12" t="str" cm="2">
        <f t="array" ref="I260">IFERROR(INDEX(BrandList!$B$2:$B$200,MATCH(TRUE,ISNUMBER(SEARCH(BrandList!$B$2:$B$200,G260)),0)),"")</f>
        <v/>
      </c>
      <c r="J260" s="12"/>
      <c r="K260" s="12"/>
      <c r="L260" s="60"/>
      <c r="M260" s="60"/>
      <c r="N260" s="60"/>
      <c r="O260" s="60"/>
      <c r="P260" s="7" t="str">
        <f t="shared" si="7"/>
        <v/>
      </c>
      <c r="Q260" s="8">
        <f>IFERROR(VLOOKUP(VALUE(A260),WEEKLY_DATA!$A:$H,2,0),0)</f>
        <v>0</v>
      </c>
      <c r="R260" s="8">
        <f>IFERROR(VLOOKUP(VALUE(A260),WEEKLY_DATA!$A:$H,3,0),0)</f>
        <v>0</v>
      </c>
      <c r="S260" s="8">
        <f>IFERROR(VLOOKUP(VALUE(A260),WEEKLY_DATA!$A:$H,4,0),0)</f>
        <v>0</v>
      </c>
      <c r="T260" s="51">
        <f>IFERROR(VLOOKUP(VALUE(A260),WEEKLY_DATA!$A:$H,5,0),0)</f>
        <v>0</v>
      </c>
      <c r="U260" s="51">
        <f>IFERROR(VLOOKUP(VALUE(A260),WEEKLY_DATA!$A:$H,6,0),0)</f>
        <v>0</v>
      </c>
      <c r="V260" s="51">
        <f>IFERROR(VLOOKUP(VALUE(A260),WEEKLY_DATA!$A:$H,7,0),0)</f>
        <v>0</v>
      </c>
      <c r="W260" s="9" t="str">
        <f>IFERROR(IF(OR(Q260="",Q260=0),"",IF(VLOOKUP(VALUE($A260),WEEKLY_DATA!$A:$H,6,0)=0,"No Sales",Q260/(VLOOKUP(VALUE($A260),WEEKLY_DATA!$A:$H,6,0)/13))),"")</f>
        <v/>
      </c>
      <c r="X260" s="10">
        <f>IFERROR(VLOOKUP(VALUE(A260),WEEKLY_DATA!$A:$H,8,0),0)</f>
        <v>0</v>
      </c>
      <c r="Y260" s="13" t="str">
        <f t="shared" si="6"/>
        <v>—</v>
      </c>
      <c r="Z260" s="11"/>
      <c r="AA260" s="11"/>
      <c r="AB260" s="11"/>
      <c r="AC260" s="11"/>
      <c r="AD260" s="11"/>
      <c r="AE260" s="11"/>
      <c r="AF260" s="61"/>
      <c r="AG260" s="61"/>
      <c r="AH260" s="62"/>
      <c r="AI260" s="62"/>
      <c r="AJ260" s="61"/>
      <c r="AK260" s="61"/>
      <c r="AL260" s="61"/>
      <c r="AM260" s="58"/>
      <c r="AN260" s="58"/>
      <c r="AO260" s="58"/>
      <c r="AP260" s="58"/>
      <c r="AQ260" s="58"/>
      <c r="AR260" s="58"/>
      <c r="AS260" s="91"/>
      <c r="AT260" s="93"/>
      <c r="AU260" s="93"/>
      <c r="AV260" s="93"/>
      <c r="AW260" s="93"/>
    </row>
    <row r="261" spans="1:49" x14ac:dyDescent="0.25">
      <c r="A261" s="59"/>
      <c r="B261" s="12"/>
      <c r="C261" s="12"/>
      <c r="D261" s="60"/>
      <c r="E261" s="6"/>
      <c r="F261" s="6"/>
      <c r="G261" s="12"/>
      <c r="H261" s="12"/>
      <c r="I261" s="12" t="str" cm="2">
        <f t="array" ref="I261">IFERROR(INDEX(BrandList!$B$2:$B$200,MATCH(TRUE,ISNUMBER(SEARCH(BrandList!$B$2:$B$200,G261)),0)),"")</f>
        <v/>
      </c>
      <c r="J261" s="12"/>
      <c r="K261" s="12"/>
      <c r="L261" s="60"/>
      <c r="M261" s="60"/>
      <c r="N261" s="60"/>
      <c r="O261" s="60"/>
      <c r="P261" s="7" t="str">
        <f t="shared" si="7"/>
        <v/>
      </c>
      <c r="Q261" s="8">
        <f>IFERROR(VLOOKUP(VALUE(A261),WEEKLY_DATA!$A:$H,2,0),0)</f>
        <v>0</v>
      </c>
      <c r="R261" s="8">
        <f>IFERROR(VLOOKUP(VALUE(A261),WEEKLY_DATA!$A:$H,3,0),0)</f>
        <v>0</v>
      </c>
      <c r="S261" s="8">
        <f>IFERROR(VLOOKUP(VALUE(A261),WEEKLY_DATA!$A:$H,4,0),0)</f>
        <v>0</v>
      </c>
      <c r="T261" s="51">
        <f>IFERROR(VLOOKUP(VALUE(A261),WEEKLY_DATA!$A:$H,5,0),0)</f>
        <v>0</v>
      </c>
      <c r="U261" s="51">
        <f>IFERROR(VLOOKUP(VALUE(A261),WEEKLY_DATA!$A:$H,6,0),0)</f>
        <v>0</v>
      </c>
      <c r="V261" s="51">
        <f>IFERROR(VLOOKUP(VALUE(A261),WEEKLY_DATA!$A:$H,7,0),0)</f>
        <v>0</v>
      </c>
      <c r="W261" s="9" t="str">
        <f>IFERROR(IF(OR(Q261="",Q261=0),"",IF(VLOOKUP(VALUE($A261),WEEKLY_DATA!$A:$H,6,0)=0,"No Sales",Q261/(VLOOKUP(VALUE($A261),WEEKLY_DATA!$A:$H,6,0)/13))),"")</f>
        <v/>
      </c>
      <c r="X261" s="10">
        <f>IFERROR(VLOOKUP(VALUE(A261),WEEKLY_DATA!$A:$H,8,0),0)</f>
        <v>0</v>
      </c>
      <c r="Y261" s="13" t="str">
        <f t="shared" si="6"/>
        <v>—</v>
      </c>
      <c r="Z261" s="11"/>
      <c r="AA261" s="11"/>
      <c r="AB261" s="11"/>
      <c r="AC261" s="11"/>
      <c r="AD261" s="11"/>
      <c r="AE261" s="11"/>
      <c r="AF261" s="61"/>
      <c r="AG261" s="61"/>
      <c r="AH261" s="62"/>
      <c r="AI261" s="62"/>
      <c r="AJ261" s="61"/>
      <c r="AK261" s="61"/>
      <c r="AL261" s="61"/>
      <c r="AM261" s="58"/>
      <c r="AN261" s="58"/>
      <c r="AO261" s="58"/>
      <c r="AP261" s="58"/>
      <c r="AQ261" s="58"/>
      <c r="AR261" s="58"/>
      <c r="AS261" s="91"/>
      <c r="AT261" s="93"/>
      <c r="AU261" s="93"/>
      <c r="AV261" s="93"/>
      <c r="AW261" s="93"/>
    </row>
    <row r="262" spans="1:49" x14ac:dyDescent="0.25">
      <c r="A262" s="59"/>
      <c r="B262" s="12"/>
      <c r="C262" s="12"/>
      <c r="D262" s="60"/>
      <c r="E262" s="6"/>
      <c r="F262" s="6"/>
      <c r="G262" s="12"/>
      <c r="H262" s="12"/>
      <c r="I262" s="12" t="str" cm="2">
        <f t="array" ref="I262">IFERROR(INDEX(BrandList!$B$2:$B$200,MATCH(TRUE,ISNUMBER(SEARCH(BrandList!$B$2:$B$200,G262)),0)),"")</f>
        <v/>
      </c>
      <c r="J262" s="12"/>
      <c r="K262" s="12"/>
      <c r="L262" s="60"/>
      <c r="M262" s="60"/>
      <c r="N262" s="60"/>
      <c r="O262" s="60"/>
      <c r="P262" s="7" t="str">
        <f t="shared" si="7"/>
        <v/>
      </c>
      <c r="Q262" s="8">
        <f>IFERROR(VLOOKUP(VALUE(A262),WEEKLY_DATA!$A:$H,2,0),0)</f>
        <v>0</v>
      </c>
      <c r="R262" s="8">
        <f>IFERROR(VLOOKUP(VALUE(A262),WEEKLY_DATA!$A:$H,3,0),0)</f>
        <v>0</v>
      </c>
      <c r="S262" s="8">
        <f>IFERROR(VLOOKUP(VALUE(A262),WEEKLY_DATA!$A:$H,4,0),0)</f>
        <v>0</v>
      </c>
      <c r="T262" s="51">
        <f>IFERROR(VLOOKUP(VALUE(A262),WEEKLY_DATA!$A:$H,5,0),0)</f>
        <v>0</v>
      </c>
      <c r="U262" s="51">
        <f>IFERROR(VLOOKUP(VALUE(A262),WEEKLY_DATA!$A:$H,6,0),0)</f>
        <v>0</v>
      </c>
      <c r="V262" s="51">
        <f>IFERROR(VLOOKUP(VALUE(A262),WEEKLY_DATA!$A:$H,7,0),0)</f>
        <v>0</v>
      </c>
      <c r="W262" s="9" t="str">
        <f>IFERROR(IF(OR(Q262="",Q262=0),"",IF(VLOOKUP(VALUE($A262),WEEKLY_DATA!$A:$H,6,0)=0,"No Sales",Q262/(VLOOKUP(VALUE($A262),WEEKLY_DATA!$A:$H,6,0)/13))),"")</f>
        <v/>
      </c>
      <c r="X262" s="10">
        <f>IFERROR(VLOOKUP(VALUE(A262),WEEKLY_DATA!$A:$H,8,0),0)</f>
        <v>0</v>
      </c>
      <c r="Y262" s="13" t="str">
        <f t="shared" ref="Y262:Y325" si="8">IFERROR(
IF(J262="Discontinued","🔴 EOL",
IF(J262="Drop Ship","📦 Drop Ship",
IF(J262="New","🆕 New",
IF(W262="","—",
IF(W262&lt;2,"🔴 Critical",
IF(W262&lt;4,"🟡 Low",
IF(W262&gt;26,"🔵 Overstock","🟢 Healthy")
)))))),"")</f>
        <v>—</v>
      </c>
      <c r="Z262" s="11"/>
      <c r="AA262" s="11"/>
      <c r="AB262" s="11"/>
      <c r="AC262" s="11"/>
      <c r="AD262" s="11"/>
      <c r="AE262" s="11"/>
      <c r="AF262" s="61"/>
      <c r="AG262" s="61"/>
      <c r="AH262" s="62"/>
      <c r="AI262" s="62"/>
      <c r="AJ262" s="61"/>
      <c r="AK262" s="61"/>
      <c r="AL262" s="61"/>
      <c r="AM262" s="58"/>
      <c r="AN262" s="58"/>
      <c r="AO262" s="58"/>
      <c r="AP262" s="58"/>
      <c r="AQ262" s="58"/>
      <c r="AR262" s="58"/>
      <c r="AS262" s="91"/>
      <c r="AT262" s="93"/>
      <c r="AU262" s="93"/>
      <c r="AV262" s="93"/>
      <c r="AW262" s="93"/>
    </row>
    <row r="263" spans="1:49" x14ac:dyDescent="0.25">
      <c r="A263" s="59"/>
      <c r="B263" s="12"/>
      <c r="C263" s="12"/>
      <c r="D263" s="60"/>
      <c r="E263" s="6"/>
      <c r="F263" s="6"/>
      <c r="G263" s="12"/>
      <c r="H263" s="12"/>
      <c r="I263" s="12" t="str" cm="2">
        <f t="array" ref="I263">IFERROR(INDEX(BrandList!$B$2:$B$200,MATCH(TRUE,ISNUMBER(SEARCH(BrandList!$B$2:$B$200,G263)),0)),"")</f>
        <v/>
      </c>
      <c r="J263" s="12"/>
      <c r="K263" s="12"/>
      <c r="L263" s="60"/>
      <c r="M263" s="60"/>
      <c r="N263" s="60"/>
      <c r="O263" s="60"/>
      <c r="P263" s="7" t="str">
        <f t="shared" ref="P263:P326" si="9">IFERROR(IF(OR(E263="",F263="",F263=0),"",(F263-E263)/F263),"")</f>
        <v/>
      </c>
      <c r="Q263" s="8">
        <f>IFERROR(VLOOKUP(VALUE(A263),WEEKLY_DATA!$A:$H,2,0),0)</f>
        <v>0</v>
      </c>
      <c r="R263" s="8">
        <f>IFERROR(VLOOKUP(VALUE(A263),WEEKLY_DATA!$A:$H,3,0),0)</f>
        <v>0</v>
      </c>
      <c r="S263" s="8">
        <f>IFERROR(VLOOKUP(VALUE(A263),WEEKLY_DATA!$A:$H,4,0),0)</f>
        <v>0</v>
      </c>
      <c r="T263" s="51">
        <f>IFERROR(VLOOKUP(VALUE(A263),WEEKLY_DATA!$A:$H,5,0),0)</f>
        <v>0</v>
      </c>
      <c r="U263" s="51">
        <f>IFERROR(VLOOKUP(VALUE(A263),WEEKLY_DATA!$A:$H,6,0),0)</f>
        <v>0</v>
      </c>
      <c r="V263" s="51">
        <f>IFERROR(VLOOKUP(VALUE(A263),WEEKLY_DATA!$A:$H,7,0),0)</f>
        <v>0</v>
      </c>
      <c r="W263" s="9" t="str">
        <f>IFERROR(IF(OR(Q263="",Q263=0),"",IF(VLOOKUP(VALUE($A263),WEEKLY_DATA!$A:$H,6,0)=0,"No Sales",Q263/(VLOOKUP(VALUE($A263),WEEKLY_DATA!$A:$H,6,0)/13))),"")</f>
        <v/>
      </c>
      <c r="X263" s="10">
        <f>IFERROR(VLOOKUP(VALUE(A263),WEEKLY_DATA!$A:$H,8,0),0)</f>
        <v>0</v>
      </c>
      <c r="Y263" s="13" t="str">
        <f t="shared" si="8"/>
        <v>—</v>
      </c>
      <c r="Z263" s="11"/>
      <c r="AA263" s="11"/>
      <c r="AB263" s="11"/>
      <c r="AC263" s="11"/>
      <c r="AD263" s="11"/>
      <c r="AE263" s="11"/>
      <c r="AF263" s="61"/>
      <c r="AG263" s="61"/>
      <c r="AH263" s="62"/>
      <c r="AI263" s="62"/>
      <c r="AJ263" s="61"/>
      <c r="AK263" s="61"/>
      <c r="AL263" s="61"/>
      <c r="AM263" s="58"/>
      <c r="AN263" s="58"/>
      <c r="AO263" s="58"/>
      <c r="AP263" s="58"/>
      <c r="AQ263" s="58"/>
      <c r="AR263" s="58"/>
      <c r="AS263" s="91"/>
      <c r="AT263" s="93"/>
      <c r="AU263" s="93"/>
      <c r="AV263" s="93"/>
      <c r="AW263" s="93"/>
    </row>
    <row r="264" spans="1:49" x14ac:dyDescent="0.25">
      <c r="A264" s="59"/>
      <c r="B264" s="12"/>
      <c r="C264" s="12"/>
      <c r="D264" s="60"/>
      <c r="E264" s="6"/>
      <c r="F264" s="6"/>
      <c r="G264" s="12"/>
      <c r="H264" s="12"/>
      <c r="I264" s="12" t="str" cm="2">
        <f t="array" ref="I264">IFERROR(INDEX(BrandList!$B$2:$B$200,MATCH(TRUE,ISNUMBER(SEARCH(BrandList!$B$2:$B$200,G264)),0)),"")</f>
        <v/>
      </c>
      <c r="J264" s="12"/>
      <c r="K264" s="12"/>
      <c r="L264" s="60"/>
      <c r="M264" s="60"/>
      <c r="N264" s="60"/>
      <c r="O264" s="60"/>
      <c r="P264" s="7" t="str">
        <f t="shared" si="9"/>
        <v/>
      </c>
      <c r="Q264" s="8">
        <f>IFERROR(VLOOKUP(VALUE(A264),WEEKLY_DATA!$A:$H,2,0),0)</f>
        <v>0</v>
      </c>
      <c r="R264" s="8">
        <f>IFERROR(VLOOKUP(VALUE(A264),WEEKLY_DATA!$A:$H,3,0),0)</f>
        <v>0</v>
      </c>
      <c r="S264" s="8">
        <f>IFERROR(VLOOKUP(VALUE(A264),WEEKLY_DATA!$A:$H,4,0),0)</f>
        <v>0</v>
      </c>
      <c r="T264" s="51">
        <f>IFERROR(VLOOKUP(VALUE(A264),WEEKLY_DATA!$A:$H,5,0),0)</f>
        <v>0</v>
      </c>
      <c r="U264" s="51">
        <f>IFERROR(VLOOKUP(VALUE(A264),WEEKLY_DATA!$A:$H,6,0),0)</f>
        <v>0</v>
      </c>
      <c r="V264" s="51">
        <f>IFERROR(VLOOKUP(VALUE(A264),WEEKLY_DATA!$A:$H,7,0),0)</f>
        <v>0</v>
      </c>
      <c r="W264" s="9" t="str">
        <f>IFERROR(IF(OR(Q264="",Q264=0),"",IF(VLOOKUP(VALUE($A264),WEEKLY_DATA!$A:$H,6,0)=0,"No Sales",Q264/(VLOOKUP(VALUE($A264),WEEKLY_DATA!$A:$H,6,0)/13))),"")</f>
        <v/>
      </c>
      <c r="X264" s="10">
        <f>IFERROR(VLOOKUP(VALUE(A264),WEEKLY_DATA!$A:$H,8,0),0)</f>
        <v>0</v>
      </c>
      <c r="Y264" s="13" t="str">
        <f t="shared" si="8"/>
        <v>—</v>
      </c>
      <c r="Z264" s="11"/>
      <c r="AA264" s="11"/>
      <c r="AB264" s="11"/>
      <c r="AC264" s="11"/>
      <c r="AD264" s="11"/>
      <c r="AE264" s="11"/>
      <c r="AF264" s="61"/>
      <c r="AG264" s="61"/>
      <c r="AH264" s="62"/>
      <c r="AI264" s="62"/>
      <c r="AJ264" s="61"/>
      <c r="AK264" s="61"/>
      <c r="AL264" s="61"/>
      <c r="AM264" s="58"/>
      <c r="AN264" s="58"/>
      <c r="AO264" s="58"/>
      <c r="AP264" s="58"/>
      <c r="AQ264" s="58"/>
      <c r="AR264" s="58"/>
      <c r="AS264" s="91"/>
      <c r="AT264" s="93"/>
      <c r="AU264" s="93"/>
      <c r="AV264" s="93"/>
      <c r="AW264" s="93"/>
    </row>
    <row r="265" spans="1:49" x14ac:dyDescent="0.25">
      <c r="A265" s="59"/>
      <c r="B265" s="12"/>
      <c r="C265" s="12"/>
      <c r="D265" s="60"/>
      <c r="E265" s="6"/>
      <c r="F265" s="6"/>
      <c r="G265" s="12"/>
      <c r="H265" s="12"/>
      <c r="I265" s="12" t="str" cm="2">
        <f t="array" ref="I265">IFERROR(INDEX(BrandList!$B$2:$B$200,MATCH(TRUE,ISNUMBER(SEARCH(BrandList!$B$2:$B$200,G265)),0)),"")</f>
        <v/>
      </c>
      <c r="J265" s="12"/>
      <c r="K265" s="12"/>
      <c r="L265" s="60"/>
      <c r="M265" s="60"/>
      <c r="N265" s="60"/>
      <c r="O265" s="60"/>
      <c r="P265" s="7" t="str">
        <f t="shared" si="9"/>
        <v/>
      </c>
      <c r="Q265" s="8">
        <f>IFERROR(VLOOKUP(VALUE(A265),WEEKLY_DATA!$A:$H,2,0),0)</f>
        <v>0</v>
      </c>
      <c r="R265" s="8">
        <f>IFERROR(VLOOKUP(VALUE(A265),WEEKLY_DATA!$A:$H,3,0),0)</f>
        <v>0</v>
      </c>
      <c r="S265" s="8">
        <f>IFERROR(VLOOKUP(VALUE(A265),WEEKLY_DATA!$A:$H,4,0),0)</f>
        <v>0</v>
      </c>
      <c r="T265" s="51">
        <f>IFERROR(VLOOKUP(VALUE(A265),WEEKLY_DATA!$A:$H,5,0),0)</f>
        <v>0</v>
      </c>
      <c r="U265" s="51">
        <f>IFERROR(VLOOKUP(VALUE(A265),WEEKLY_DATA!$A:$H,6,0),0)</f>
        <v>0</v>
      </c>
      <c r="V265" s="51">
        <f>IFERROR(VLOOKUP(VALUE(A265),WEEKLY_DATA!$A:$H,7,0),0)</f>
        <v>0</v>
      </c>
      <c r="W265" s="9" t="str">
        <f>IFERROR(IF(OR(Q265="",Q265=0),"",IF(VLOOKUP(VALUE($A265),WEEKLY_DATA!$A:$H,6,0)=0,"No Sales",Q265/(VLOOKUP(VALUE($A265),WEEKLY_DATA!$A:$H,6,0)/13))),"")</f>
        <v/>
      </c>
      <c r="X265" s="10">
        <f>IFERROR(VLOOKUP(VALUE(A265),WEEKLY_DATA!$A:$H,8,0),0)</f>
        <v>0</v>
      </c>
      <c r="Y265" s="13" t="str">
        <f t="shared" si="8"/>
        <v>—</v>
      </c>
      <c r="Z265" s="11"/>
      <c r="AA265" s="11"/>
      <c r="AB265" s="11"/>
      <c r="AC265" s="11"/>
      <c r="AD265" s="11"/>
      <c r="AE265" s="11"/>
      <c r="AF265" s="61"/>
      <c r="AG265" s="61"/>
      <c r="AH265" s="62"/>
      <c r="AI265" s="62"/>
      <c r="AJ265" s="61"/>
      <c r="AK265" s="61"/>
      <c r="AL265" s="61"/>
      <c r="AM265" s="58"/>
      <c r="AN265" s="58"/>
      <c r="AO265" s="58"/>
      <c r="AP265" s="58"/>
      <c r="AQ265" s="58"/>
      <c r="AR265" s="58"/>
      <c r="AS265" s="91"/>
      <c r="AT265" s="93"/>
      <c r="AU265" s="93"/>
      <c r="AV265" s="93"/>
      <c r="AW265" s="93"/>
    </row>
    <row r="266" spans="1:49" x14ac:dyDescent="0.25">
      <c r="A266" s="59"/>
      <c r="B266" s="12"/>
      <c r="C266" s="12"/>
      <c r="D266" s="60"/>
      <c r="E266" s="6"/>
      <c r="F266" s="6"/>
      <c r="G266" s="12"/>
      <c r="H266" s="12"/>
      <c r="I266" s="12" t="str" cm="2">
        <f t="array" ref="I266">IFERROR(INDEX(BrandList!$B$2:$B$200,MATCH(TRUE,ISNUMBER(SEARCH(BrandList!$B$2:$B$200,G266)),0)),"")</f>
        <v/>
      </c>
      <c r="J266" s="12"/>
      <c r="K266" s="12"/>
      <c r="L266" s="60"/>
      <c r="M266" s="60"/>
      <c r="N266" s="60"/>
      <c r="O266" s="60"/>
      <c r="P266" s="7" t="str">
        <f t="shared" si="9"/>
        <v/>
      </c>
      <c r="Q266" s="8">
        <f>IFERROR(VLOOKUP(VALUE(A266),WEEKLY_DATA!$A:$H,2,0),0)</f>
        <v>0</v>
      </c>
      <c r="R266" s="8">
        <f>IFERROR(VLOOKUP(VALUE(A266),WEEKLY_DATA!$A:$H,3,0),0)</f>
        <v>0</v>
      </c>
      <c r="S266" s="8">
        <f>IFERROR(VLOOKUP(VALUE(A266),WEEKLY_DATA!$A:$H,4,0),0)</f>
        <v>0</v>
      </c>
      <c r="T266" s="51">
        <f>IFERROR(VLOOKUP(VALUE(A266),WEEKLY_DATA!$A:$H,5,0),0)</f>
        <v>0</v>
      </c>
      <c r="U266" s="51">
        <f>IFERROR(VLOOKUP(VALUE(A266),WEEKLY_DATA!$A:$H,6,0),0)</f>
        <v>0</v>
      </c>
      <c r="V266" s="51">
        <f>IFERROR(VLOOKUP(VALUE(A266),WEEKLY_DATA!$A:$H,7,0),0)</f>
        <v>0</v>
      </c>
      <c r="W266" s="9" t="str">
        <f>IFERROR(IF(OR(Q266="",Q266=0),"",IF(VLOOKUP(VALUE($A266),WEEKLY_DATA!$A:$H,6,0)=0,"No Sales",Q266/(VLOOKUP(VALUE($A266),WEEKLY_DATA!$A:$H,6,0)/13))),"")</f>
        <v/>
      </c>
      <c r="X266" s="10">
        <f>IFERROR(VLOOKUP(VALUE(A266),WEEKLY_DATA!$A:$H,8,0),0)</f>
        <v>0</v>
      </c>
      <c r="Y266" s="13" t="str">
        <f t="shared" si="8"/>
        <v>—</v>
      </c>
      <c r="Z266" s="11"/>
      <c r="AA266" s="11"/>
      <c r="AB266" s="11"/>
      <c r="AC266" s="11"/>
      <c r="AD266" s="11"/>
      <c r="AE266" s="11"/>
      <c r="AF266" s="61"/>
      <c r="AG266" s="61"/>
      <c r="AH266" s="62"/>
      <c r="AI266" s="62"/>
      <c r="AJ266" s="61"/>
      <c r="AK266" s="61"/>
      <c r="AL266" s="61"/>
      <c r="AM266" s="58"/>
      <c r="AN266" s="58"/>
      <c r="AO266" s="58"/>
      <c r="AP266" s="58"/>
      <c r="AQ266" s="58"/>
      <c r="AR266" s="58"/>
      <c r="AS266" s="91"/>
      <c r="AT266" s="93"/>
      <c r="AU266" s="93"/>
      <c r="AV266" s="93"/>
      <c r="AW266" s="93"/>
    </row>
    <row r="267" spans="1:49" x14ac:dyDescent="0.25">
      <c r="A267" s="59"/>
      <c r="B267" s="12"/>
      <c r="C267" s="12"/>
      <c r="D267" s="60"/>
      <c r="E267" s="6"/>
      <c r="F267" s="6"/>
      <c r="G267" s="12"/>
      <c r="H267" s="12"/>
      <c r="I267" s="12" t="str" cm="2">
        <f t="array" ref="I267">IFERROR(INDEX(BrandList!$B$2:$B$200,MATCH(TRUE,ISNUMBER(SEARCH(BrandList!$B$2:$B$200,G267)),0)),"")</f>
        <v/>
      </c>
      <c r="J267" s="12"/>
      <c r="K267" s="12"/>
      <c r="L267" s="60"/>
      <c r="M267" s="60"/>
      <c r="N267" s="60"/>
      <c r="O267" s="60"/>
      <c r="P267" s="7" t="str">
        <f t="shared" si="9"/>
        <v/>
      </c>
      <c r="Q267" s="8">
        <f>IFERROR(VLOOKUP(VALUE(A267),WEEKLY_DATA!$A:$H,2,0),0)</f>
        <v>0</v>
      </c>
      <c r="R267" s="8">
        <f>IFERROR(VLOOKUP(VALUE(A267),WEEKLY_DATA!$A:$H,3,0),0)</f>
        <v>0</v>
      </c>
      <c r="S267" s="8">
        <f>IFERROR(VLOOKUP(VALUE(A267),WEEKLY_DATA!$A:$H,4,0),0)</f>
        <v>0</v>
      </c>
      <c r="T267" s="51">
        <f>IFERROR(VLOOKUP(VALUE(A267),WEEKLY_DATA!$A:$H,5,0),0)</f>
        <v>0</v>
      </c>
      <c r="U267" s="51">
        <f>IFERROR(VLOOKUP(VALUE(A267),WEEKLY_DATA!$A:$H,6,0),0)</f>
        <v>0</v>
      </c>
      <c r="V267" s="51">
        <f>IFERROR(VLOOKUP(VALUE(A267),WEEKLY_DATA!$A:$H,7,0),0)</f>
        <v>0</v>
      </c>
      <c r="W267" s="9" t="str">
        <f>IFERROR(IF(OR(Q267="",Q267=0),"",IF(VLOOKUP(VALUE($A267),WEEKLY_DATA!$A:$H,6,0)=0,"No Sales",Q267/(VLOOKUP(VALUE($A267),WEEKLY_DATA!$A:$H,6,0)/13))),"")</f>
        <v/>
      </c>
      <c r="X267" s="10">
        <f>IFERROR(VLOOKUP(VALUE(A267),WEEKLY_DATA!$A:$H,8,0),0)</f>
        <v>0</v>
      </c>
      <c r="Y267" s="13" t="str">
        <f t="shared" si="8"/>
        <v>—</v>
      </c>
      <c r="Z267" s="11"/>
      <c r="AA267" s="11"/>
      <c r="AB267" s="11"/>
      <c r="AC267" s="11"/>
      <c r="AD267" s="11"/>
      <c r="AE267" s="11"/>
      <c r="AF267" s="61"/>
      <c r="AG267" s="61"/>
      <c r="AH267" s="62"/>
      <c r="AI267" s="62"/>
      <c r="AJ267" s="61"/>
      <c r="AK267" s="61"/>
      <c r="AL267" s="61"/>
      <c r="AM267" s="58"/>
      <c r="AN267" s="58"/>
      <c r="AO267" s="58"/>
      <c r="AP267" s="58"/>
      <c r="AQ267" s="58"/>
      <c r="AR267" s="58"/>
      <c r="AS267" s="91"/>
      <c r="AT267" s="93"/>
      <c r="AU267" s="93"/>
      <c r="AV267" s="93"/>
      <c r="AW267" s="93"/>
    </row>
    <row r="268" spans="1:49" x14ac:dyDescent="0.25">
      <c r="A268" s="59"/>
      <c r="B268" s="12"/>
      <c r="C268" s="12"/>
      <c r="D268" s="60"/>
      <c r="E268" s="6"/>
      <c r="F268" s="6"/>
      <c r="G268" s="12"/>
      <c r="H268" s="12"/>
      <c r="I268" s="12" t="str" cm="2">
        <f t="array" ref="I268">IFERROR(INDEX(BrandList!$B$2:$B$200,MATCH(TRUE,ISNUMBER(SEARCH(BrandList!$B$2:$B$200,G268)),0)),"")</f>
        <v/>
      </c>
      <c r="J268" s="12"/>
      <c r="K268" s="12"/>
      <c r="L268" s="60"/>
      <c r="M268" s="60"/>
      <c r="N268" s="60"/>
      <c r="O268" s="60"/>
      <c r="P268" s="7" t="str">
        <f t="shared" si="9"/>
        <v/>
      </c>
      <c r="Q268" s="8">
        <f>IFERROR(VLOOKUP(VALUE(A268),WEEKLY_DATA!$A:$H,2,0),0)</f>
        <v>0</v>
      </c>
      <c r="R268" s="8">
        <f>IFERROR(VLOOKUP(VALUE(A268),WEEKLY_DATA!$A:$H,3,0),0)</f>
        <v>0</v>
      </c>
      <c r="S268" s="8">
        <f>IFERROR(VLOOKUP(VALUE(A268),WEEKLY_DATA!$A:$H,4,0),0)</f>
        <v>0</v>
      </c>
      <c r="T268" s="51">
        <f>IFERROR(VLOOKUP(VALUE(A268),WEEKLY_DATA!$A:$H,5,0),0)</f>
        <v>0</v>
      </c>
      <c r="U268" s="51">
        <f>IFERROR(VLOOKUP(VALUE(A268),WEEKLY_DATA!$A:$H,6,0),0)</f>
        <v>0</v>
      </c>
      <c r="V268" s="51">
        <f>IFERROR(VLOOKUP(VALUE(A268),WEEKLY_DATA!$A:$H,7,0),0)</f>
        <v>0</v>
      </c>
      <c r="W268" s="9" t="str">
        <f>IFERROR(IF(OR(Q268="",Q268=0),"",IF(VLOOKUP(VALUE($A268),WEEKLY_DATA!$A:$H,6,0)=0,"No Sales",Q268/(VLOOKUP(VALUE($A268),WEEKLY_DATA!$A:$H,6,0)/13))),"")</f>
        <v/>
      </c>
      <c r="X268" s="10">
        <f>IFERROR(VLOOKUP(VALUE(A268),WEEKLY_DATA!$A:$H,8,0),0)</f>
        <v>0</v>
      </c>
      <c r="Y268" s="13" t="str">
        <f t="shared" si="8"/>
        <v>—</v>
      </c>
      <c r="Z268" s="11"/>
      <c r="AA268" s="11"/>
      <c r="AB268" s="11"/>
      <c r="AC268" s="11"/>
      <c r="AD268" s="11"/>
      <c r="AE268" s="11"/>
      <c r="AF268" s="61"/>
      <c r="AG268" s="61"/>
      <c r="AH268" s="62"/>
      <c r="AI268" s="62"/>
      <c r="AJ268" s="61"/>
      <c r="AK268" s="61"/>
      <c r="AL268" s="61"/>
      <c r="AM268" s="58"/>
      <c r="AN268" s="58"/>
      <c r="AO268" s="58"/>
      <c r="AP268" s="58"/>
      <c r="AQ268" s="58"/>
      <c r="AR268" s="58"/>
      <c r="AS268" s="91"/>
      <c r="AT268" s="93"/>
      <c r="AU268" s="93"/>
      <c r="AV268" s="93"/>
      <c r="AW268" s="93"/>
    </row>
    <row r="269" spans="1:49" x14ac:dyDescent="0.25">
      <c r="A269" s="59"/>
      <c r="B269" s="12"/>
      <c r="C269" s="12"/>
      <c r="D269" s="60"/>
      <c r="E269" s="6"/>
      <c r="F269" s="6"/>
      <c r="G269" s="12"/>
      <c r="H269" s="12"/>
      <c r="I269" s="12" t="str" cm="2">
        <f t="array" ref="I269">IFERROR(INDEX(BrandList!$B$2:$B$200,MATCH(TRUE,ISNUMBER(SEARCH(BrandList!$B$2:$B$200,G269)),0)),"")</f>
        <v/>
      </c>
      <c r="J269" s="12"/>
      <c r="K269" s="12"/>
      <c r="L269" s="60"/>
      <c r="M269" s="60"/>
      <c r="N269" s="60"/>
      <c r="O269" s="60"/>
      <c r="P269" s="7" t="str">
        <f t="shared" si="9"/>
        <v/>
      </c>
      <c r="Q269" s="8">
        <f>IFERROR(VLOOKUP(VALUE(A269),WEEKLY_DATA!$A:$H,2,0),0)</f>
        <v>0</v>
      </c>
      <c r="R269" s="8">
        <f>IFERROR(VLOOKUP(VALUE(A269),WEEKLY_DATA!$A:$H,3,0),0)</f>
        <v>0</v>
      </c>
      <c r="S269" s="8">
        <f>IFERROR(VLOOKUP(VALUE(A269),WEEKLY_DATA!$A:$H,4,0),0)</f>
        <v>0</v>
      </c>
      <c r="T269" s="51">
        <f>IFERROR(VLOOKUP(VALUE(A269),WEEKLY_DATA!$A:$H,5,0),0)</f>
        <v>0</v>
      </c>
      <c r="U269" s="51">
        <f>IFERROR(VLOOKUP(VALUE(A269),WEEKLY_DATA!$A:$H,6,0),0)</f>
        <v>0</v>
      </c>
      <c r="V269" s="51">
        <f>IFERROR(VLOOKUP(VALUE(A269),WEEKLY_DATA!$A:$H,7,0),0)</f>
        <v>0</v>
      </c>
      <c r="W269" s="9" t="str">
        <f>IFERROR(IF(OR(Q269="",Q269=0),"",IF(VLOOKUP(VALUE($A269),WEEKLY_DATA!$A:$H,6,0)=0,"No Sales",Q269/(VLOOKUP(VALUE($A269),WEEKLY_DATA!$A:$H,6,0)/13))),"")</f>
        <v/>
      </c>
      <c r="X269" s="10">
        <f>IFERROR(VLOOKUP(VALUE(A269),WEEKLY_DATA!$A:$H,8,0),0)</f>
        <v>0</v>
      </c>
      <c r="Y269" s="13" t="str">
        <f t="shared" si="8"/>
        <v>—</v>
      </c>
      <c r="Z269" s="11"/>
      <c r="AA269" s="11"/>
      <c r="AB269" s="11"/>
      <c r="AC269" s="11"/>
      <c r="AD269" s="11"/>
      <c r="AE269" s="11"/>
      <c r="AF269" s="61"/>
      <c r="AG269" s="61"/>
      <c r="AH269" s="62"/>
      <c r="AI269" s="62"/>
      <c r="AJ269" s="61"/>
      <c r="AK269" s="61"/>
      <c r="AL269" s="61"/>
      <c r="AM269" s="58"/>
      <c r="AN269" s="58"/>
      <c r="AO269" s="58"/>
      <c r="AP269" s="58"/>
      <c r="AQ269" s="58"/>
      <c r="AR269" s="58"/>
      <c r="AS269" s="91"/>
      <c r="AT269" s="93"/>
      <c r="AU269" s="93"/>
      <c r="AV269" s="93"/>
      <c r="AW269" s="93"/>
    </row>
    <row r="270" spans="1:49" x14ac:dyDescent="0.25">
      <c r="A270" s="59"/>
      <c r="B270" s="12"/>
      <c r="C270" s="12"/>
      <c r="D270" s="60"/>
      <c r="E270" s="6"/>
      <c r="F270" s="6"/>
      <c r="G270" s="12"/>
      <c r="H270" s="12"/>
      <c r="I270" s="12" t="str" cm="2">
        <f t="array" ref="I270">IFERROR(INDEX(BrandList!$B$2:$B$200,MATCH(TRUE,ISNUMBER(SEARCH(BrandList!$B$2:$B$200,G270)),0)),"")</f>
        <v/>
      </c>
      <c r="J270" s="12"/>
      <c r="K270" s="12"/>
      <c r="L270" s="60"/>
      <c r="M270" s="60"/>
      <c r="N270" s="60"/>
      <c r="O270" s="60"/>
      <c r="P270" s="7" t="str">
        <f t="shared" si="9"/>
        <v/>
      </c>
      <c r="Q270" s="8">
        <f>IFERROR(VLOOKUP(VALUE(A270),WEEKLY_DATA!$A:$H,2,0),0)</f>
        <v>0</v>
      </c>
      <c r="R270" s="8">
        <f>IFERROR(VLOOKUP(VALUE(A270),WEEKLY_DATA!$A:$H,3,0),0)</f>
        <v>0</v>
      </c>
      <c r="S270" s="8">
        <f>IFERROR(VLOOKUP(VALUE(A270),WEEKLY_DATA!$A:$H,4,0),0)</f>
        <v>0</v>
      </c>
      <c r="T270" s="51">
        <f>IFERROR(VLOOKUP(VALUE(A270),WEEKLY_DATA!$A:$H,5,0),0)</f>
        <v>0</v>
      </c>
      <c r="U270" s="51">
        <f>IFERROR(VLOOKUP(VALUE(A270),WEEKLY_DATA!$A:$H,6,0),0)</f>
        <v>0</v>
      </c>
      <c r="V270" s="51">
        <f>IFERROR(VLOOKUP(VALUE(A270),WEEKLY_DATA!$A:$H,7,0),0)</f>
        <v>0</v>
      </c>
      <c r="W270" s="9" t="str">
        <f>IFERROR(IF(OR(Q270="",Q270=0),"",IF(VLOOKUP(VALUE($A270),WEEKLY_DATA!$A:$H,6,0)=0,"No Sales",Q270/(VLOOKUP(VALUE($A270),WEEKLY_DATA!$A:$H,6,0)/13))),"")</f>
        <v/>
      </c>
      <c r="X270" s="10">
        <f>IFERROR(VLOOKUP(VALUE(A270),WEEKLY_DATA!$A:$H,8,0),0)</f>
        <v>0</v>
      </c>
      <c r="Y270" s="13" t="str">
        <f t="shared" si="8"/>
        <v>—</v>
      </c>
      <c r="Z270" s="11"/>
      <c r="AA270" s="11"/>
      <c r="AB270" s="11"/>
      <c r="AC270" s="11"/>
      <c r="AD270" s="11"/>
      <c r="AE270" s="11"/>
      <c r="AF270" s="61"/>
      <c r="AG270" s="61"/>
      <c r="AH270" s="62"/>
      <c r="AI270" s="62"/>
      <c r="AJ270" s="61"/>
      <c r="AK270" s="61"/>
      <c r="AL270" s="61"/>
      <c r="AM270" s="58"/>
      <c r="AN270" s="58"/>
      <c r="AO270" s="58"/>
      <c r="AP270" s="58"/>
      <c r="AQ270" s="58"/>
      <c r="AR270" s="58"/>
      <c r="AS270" s="91"/>
      <c r="AT270" s="93"/>
      <c r="AU270" s="93"/>
      <c r="AV270" s="93"/>
      <c r="AW270" s="93"/>
    </row>
    <row r="271" spans="1:49" x14ac:dyDescent="0.25">
      <c r="A271" s="59"/>
      <c r="B271" s="12"/>
      <c r="C271" s="12"/>
      <c r="D271" s="60"/>
      <c r="E271" s="6"/>
      <c r="F271" s="6"/>
      <c r="G271" s="12"/>
      <c r="H271" s="12"/>
      <c r="I271" s="12" t="str" cm="2">
        <f t="array" ref="I271">IFERROR(INDEX(BrandList!$B$2:$B$200,MATCH(TRUE,ISNUMBER(SEARCH(BrandList!$B$2:$B$200,G271)),0)),"")</f>
        <v/>
      </c>
      <c r="J271" s="12"/>
      <c r="K271" s="12"/>
      <c r="L271" s="60"/>
      <c r="M271" s="60"/>
      <c r="N271" s="60"/>
      <c r="O271" s="60"/>
      <c r="P271" s="7" t="str">
        <f t="shared" si="9"/>
        <v/>
      </c>
      <c r="Q271" s="8">
        <f>IFERROR(VLOOKUP(VALUE(A271),WEEKLY_DATA!$A:$H,2,0),0)</f>
        <v>0</v>
      </c>
      <c r="R271" s="8">
        <f>IFERROR(VLOOKUP(VALUE(A271),WEEKLY_DATA!$A:$H,3,0),0)</f>
        <v>0</v>
      </c>
      <c r="S271" s="8">
        <f>IFERROR(VLOOKUP(VALUE(A271),WEEKLY_DATA!$A:$H,4,0),0)</f>
        <v>0</v>
      </c>
      <c r="T271" s="51">
        <f>IFERROR(VLOOKUP(VALUE(A271),WEEKLY_DATA!$A:$H,5,0),0)</f>
        <v>0</v>
      </c>
      <c r="U271" s="51">
        <f>IFERROR(VLOOKUP(VALUE(A271),WEEKLY_DATA!$A:$H,6,0),0)</f>
        <v>0</v>
      </c>
      <c r="V271" s="51">
        <f>IFERROR(VLOOKUP(VALUE(A271),WEEKLY_DATA!$A:$H,7,0),0)</f>
        <v>0</v>
      </c>
      <c r="W271" s="9" t="str">
        <f>IFERROR(IF(OR(Q271="",Q271=0),"",IF(VLOOKUP(VALUE($A271),WEEKLY_DATA!$A:$H,6,0)=0,"No Sales",Q271/(VLOOKUP(VALUE($A271),WEEKLY_DATA!$A:$H,6,0)/13))),"")</f>
        <v/>
      </c>
      <c r="X271" s="10">
        <f>IFERROR(VLOOKUP(VALUE(A271),WEEKLY_DATA!$A:$H,8,0),0)</f>
        <v>0</v>
      </c>
      <c r="Y271" s="13" t="str">
        <f t="shared" si="8"/>
        <v>—</v>
      </c>
      <c r="Z271" s="11"/>
      <c r="AA271" s="11"/>
      <c r="AB271" s="11"/>
      <c r="AC271" s="11"/>
      <c r="AD271" s="11"/>
      <c r="AE271" s="11"/>
      <c r="AF271" s="61"/>
      <c r="AG271" s="61"/>
      <c r="AH271" s="62"/>
      <c r="AI271" s="62"/>
      <c r="AJ271" s="61"/>
      <c r="AK271" s="61"/>
      <c r="AL271" s="61"/>
      <c r="AM271" s="58"/>
      <c r="AN271" s="58"/>
      <c r="AO271" s="58"/>
      <c r="AP271" s="58"/>
      <c r="AQ271" s="58"/>
      <c r="AR271" s="58"/>
      <c r="AS271" s="91"/>
      <c r="AT271" s="93"/>
      <c r="AU271" s="93"/>
      <c r="AV271" s="93"/>
      <c r="AW271" s="93"/>
    </row>
    <row r="272" spans="1:49" x14ac:dyDescent="0.25">
      <c r="A272" s="59"/>
      <c r="B272" s="12"/>
      <c r="C272" s="12"/>
      <c r="D272" s="60"/>
      <c r="E272" s="6"/>
      <c r="F272" s="6"/>
      <c r="G272" s="12"/>
      <c r="H272" s="12"/>
      <c r="I272" s="12" t="str" cm="2">
        <f t="array" ref="I272">IFERROR(INDEX(BrandList!$B$2:$B$200,MATCH(TRUE,ISNUMBER(SEARCH(BrandList!$B$2:$B$200,G272)),0)),"")</f>
        <v/>
      </c>
      <c r="J272" s="12"/>
      <c r="K272" s="12"/>
      <c r="L272" s="60"/>
      <c r="M272" s="60"/>
      <c r="N272" s="60"/>
      <c r="O272" s="60"/>
      <c r="P272" s="7" t="str">
        <f t="shared" si="9"/>
        <v/>
      </c>
      <c r="Q272" s="8">
        <f>IFERROR(VLOOKUP(VALUE(A272),WEEKLY_DATA!$A:$H,2,0),0)</f>
        <v>0</v>
      </c>
      <c r="R272" s="8">
        <f>IFERROR(VLOOKUP(VALUE(A272),WEEKLY_DATA!$A:$H,3,0),0)</f>
        <v>0</v>
      </c>
      <c r="S272" s="8">
        <f>IFERROR(VLOOKUP(VALUE(A272),WEEKLY_DATA!$A:$H,4,0),0)</f>
        <v>0</v>
      </c>
      <c r="T272" s="51">
        <f>IFERROR(VLOOKUP(VALUE(A272),WEEKLY_DATA!$A:$H,5,0),0)</f>
        <v>0</v>
      </c>
      <c r="U272" s="51">
        <f>IFERROR(VLOOKUP(VALUE(A272),WEEKLY_DATA!$A:$H,6,0),0)</f>
        <v>0</v>
      </c>
      <c r="V272" s="51">
        <f>IFERROR(VLOOKUP(VALUE(A272),WEEKLY_DATA!$A:$H,7,0),0)</f>
        <v>0</v>
      </c>
      <c r="W272" s="9" t="str">
        <f>IFERROR(IF(OR(Q272="",Q272=0),"",IF(VLOOKUP(VALUE($A272),WEEKLY_DATA!$A:$H,6,0)=0,"No Sales",Q272/(VLOOKUP(VALUE($A272),WEEKLY_DATA!$A:$H,6,0)/13))),"")</f>
        <v/>
      </c>
      <c r="X272" s="10">
        <f>IFERROR(VLOOKUP(VALUE(A272),WEEKLY_DATA!$A:$H,8,0),0)</f>
        <v>0</v>
      </c>
      <c r="Y272" s="13" t="str">
        <f t="shared" si="8"/>
        <v>—</v>
      </c>
      <c r="Z272" s="11"/>
      <c r="AA272" s="11"/>
      <c r="AB272" s="11"/>
      <c r="AC272" s="11"/>
      <c r="AD272" s="11"/>
      <c r="AE272" s="11"/>
      <c r="AF272" s="61"/>
      <c r="AG272" s="61"/>
      <c r="AH272" s="62"/>
      <c r="AI272" s="62"/>
      <c r="AJ272" s="61"/>
      <c r="AK272" s="61"/>
      <c r="AL272" s="61"/>
      <c r="AM272" s="58"/>
      <c r="AN272" s="58"/>
      <c r="AO272" s="58"/>
      <c r="AP272" s="58"/>
      <c r="AQ272" s="58"/>
      <c r="AR272" s="58"/>
      <c r="AS272" s="91"/>
      <c r="AT272" s="93"/>
      <c r="AU272" s="93"/>
      <c r="AV272" s="93"/>
      <c r="AW272" s="93"/>
    </row>
    <row r="273" spans="1:49" x14ac:dyDescent="0.25">
      <c r="A273" s="59"/>
      <c r="B273" s="12"/>
      <c r="C273" s="12"/>
      <c r="D273" s="60"/>
      <c r="E273" s="6"/>
      <c r="F273" s="6"/>
      <c r="G273" s="12"/>
      <c r="H273" s="12"/>
      <c r="I273" s="12" t="str" cm="2">
        <f t="array" ref="I273">IFERROR(INDEX(BrandList!$B$2:$B$200,MATCH(TRUE,ISNUMBER(SEARCH(BrandList!$B$2:$B$200,G273)),0)),"")</f>
        <v/>
      </c>
      <c r="J273" s="12"/>
      <c r="K273" s="12"/>
      <c r="L273" s="60"/>
      <c r="M273" s="60"/>
      <c r="N273" s="60"/>
      <c r="O273" s="60"/>
      <c r="P273" s="7" t="str">
        <f t="shared" si="9"/>
        <v/>
      </c>
      <c r="Q273" s="8">
        <f>IFERROR(VLOOKUP(VALUE(A273),WEEKLY_DATA!$A:$H,2,0),0)</f>
        <v>0</v>
      </c>
      <c r="R273" s="8">
        <f>IFERROR(VLOOKUP(VALUE(A273),WEEKLY_DATA!$A:$H,3,0),0)</f>
        <v>0</v>
      </c>
      <c r="S273" s="8">
        <f>IFERROR(VLOOKUP(VALUE(A273),WEEKLY_DATA!$A:$H,4,0),0)</f>
        <v>0</v>
      </c>
      <c r="T273" s="51">
        <f>IFERROR(VLOOKUP(VALUE(A273),WEEKLY_DATA!$A:$H,5,0),0)</f>
        <v>0</v>
      </c>
      <c r="U273" s="51">
        <f>IFERROR(VLOOKUP(VALUE(A273),WEEKLY_DATA!$A:$H,6,0),0)</f>
        <v>0</v>
      </c>
      <c r="V273" s="51">
        <f>IFERROR(VLOOKUP(VALUE(A273),WEEKLY_DATA!$A:$H,7,0),0)</f>
        <v>0</v>
      </c>
      <c r="W273" s="9" t="str">
        <f>IFERROR(IF(OR(Q273="",Q273=0),"",IF(VLOOKUP(VALUE($A273),WEEKLY_DATA!$A:$H,6,0)=0,"No Sales",Q273/(VLOOKUP(VALUE($A273),WEEKLY_DATA!$A:$H,6,0)/13))),"")</f>
        <v/>
      </c>
      <c r="X273" s="10">
        <f>IFERROR(VLOOKUP(VALUE(A273),WEEKLY_DATA!$A:$H,8,0),0)</f>
        <v>0</v>
      </c>
      <c r="Y273" s="13" t="str">
        <f t="shared" si="8"/>
        <v>—</v>
      </c>
      <c r="Z273" s="11"/>
      <c r="AA273" s="11"/>
      <c r="AB273" s="11"/>
      <c r="AC273" s="11"/>
      <c r="AD273" s="11"/>
      <c r="AE273" s="11"/>
      <c r="AF273" s="61"/>
      <c r="AG273" s="61"/>
      <c r="AH273" s="62"/>
      <c r="AI273" s="62"/>
      <c r="AJ273" s="61"/>
      <c r="AK273" s="61"/>
      <c r="AL273" s="61"/>
      <c r="AM273" s="58"/>
      <c r="AN273" s="58"/>
      <c r="AO273" s="58"/>
      <c r="AP273" s="58"/>
      <c r="AQ273" s="58"/>
      <c r="AR273" s="58"/>
      <c r="AS273" s="91"/>
      <c r="AT273" s="93"/>
      <c r="AU273" s="93"/>
      <c r="AV273" s="93"/>
      <c r="AW273" s="93"/>
    </row>
    <row r="274" spans="1:49" x14ac:dyDescent="0.25">
      <c r="A274" s="59"/>
      <c r="B274" s="12"/>
      <c r="C274" s="12"/>
      <c r="D274" s="60"/>
      <c r="E274" s="6"/>
      <c r="F274" s="6"/>
      <c r="G274" s="12"/>
      <c r="H274" s="12"/>
      <c r="I274" s="12" t="str" cm="2">
        <f t="array" ref="I274">IFERROR(INDEX(BrandList!$B$2:$B$200,MATCH(TRUE,ISNUMBER(SEARCH(BrandList!$B$2:$B$200,G274)),0)),"")</f>
        <v/>
      </c>
      <c r="J274" s="12"/>
      <c r="K274" s="12"/>
      <c r="L274" s="60"/>
      <c r="M274" s="60"/>
      <c r="N274" s="60"/>
      <c r="O274" s="60"/>
      <c r="P274" s="7" t="str">
        <f t="shared" si="9"/>
        <v/>
      </c>
      <c r="Q274" s="8">
        <f>IFERROR(VLOOKUP(VALUE(A274),WEEKLY_DATA!$A:$H,2,0),0)</f>
        <v>0</v>
      </c>
      <c r="R274" s="8">
        <f>IFERROR(VLOOKUP(VALUE(A274),WEEKLY_DATA!$A:$H,3,0),0)</f>
        <v>0</v>
      </c>
      <c r="S274" s="8">
        <f>IFERROR(VLOOKUP(VALUE(A274),WEEKLY_DATA!$A:$H,4,0),0)</f>
        <v>0</v>
      </c>
      <c r="T274" s="51">
        <f>IFERROR(VLOOKUP(VALUE(A274),WEEKLY_DATA!$A:$H,5,0),0)</f>
        <v>0</v>
      </c>
      <c r="U274" s="51">
        <f>IFERROR(VLOOKUP(VALUE(A274),WEEKLY_DATA!$A:$H,6,0),0)</f>
        <v>0</v>
      </c>
      <c r="V274" s="51">
        <f>IFERROR(VLOOKUP(VALUE(A274),WEEKLY_DATA!$A:$H,7,0),0)</f>
        <v>0</v>
      </c>
      <c r="W274" s="9" t="str">
        <f>IFERROR(IF(OR(Q274="",Q274=0),"",IF(VLOOKUP(VALUE($A274),WEEKLY_DATA!$A:$H,6,0)=0,"No Sales",Q274/(VLOOKUP(VALUE($A274),WEEKLY_DATA!$A:$H,6,0)/13))),"")</f>
        <v/>
      </c>
      <c r="X274" s="10">
        <f>IFERROR(VLOOKUP(VALUE(A274),WEEKLY_DATA!$A:$H,8,0),0)</f>
        <v>0</v>
      </c>
      <c r="Y274" s="13" t="str">
        <f t="shared" si="8"/>
        <v>—</v>
      </c>
      <c r="Z274" s="11"/>
      <c r="AA274" s="11"/>
      <c r="AB274" s="11"/>
      <c r="AC274" s="11"/>
      <c r="AD274" s="11"/>
      <c r="AE274" s="11"/>
      <c r="AF274" s="61"/>
      <c r="AG274" s="61"/>
      <c r="AH274" s="62"/>
      <c r="AI274" s="62"/>
      <c r="AJ274" s="61"/>
      <c r="AK274" s="61"/>
      <c r="AL274" s="61"/>
      <c r="AM274" s="58"/>
      <c r="AN274" s="58"/>
      <c r="AO274" s="58"/>
      <c r="AP274" s="58"/>
      <c r="AQ274" s="58"/>
      <c r="AR274" s="58"/>
      <c r="AS274" s="91"/>
      <c r="AT274" s="93"/>
      <c r="AU274" s="93"/>
      <c r="AV274" s="93"/>
      <c r="AW274" s="93"/>
    </row>
    <row r="275" spans="1:49" x14ac:dyDescent="0.25">
      <c r="A275" s="59"/>
      <c r="B275" s="12"/>
      <c r="C275" s="12"/>
      <c r="D275" s="60"/>
      <c r="E275" s="6"/>
      <c r="F275" s="6"/>
      <c r="G275" s="12"/>
      <c r="H275" s="12"/>
      <c r="I275" s="12" t="str" cm="2">
        <f t="array" ref="I275">IFERROR(INDEX(BrandList!$B$2:$B$200,MATCH(TRUE,ISNUMBER(SEARCH(BrandList!$B$2:$B$200,G275)),0)),"")</f>
        <v/>
      </c>
      <c r="J275" s="12"/>
      <c r="K275" s="12"/>
      <c r="L275" s="60"/>
      <c r="M275" s="60"/>
      <c r="N275" s="60"/>
      <c r="O275" s="60"/>
      <c r="P275" s="7" t="str">
        <f t="shared" si="9"/>
        <v/>
      </c>
      <c r="Q275" s="8">
        <f>IFERROR(VLOOKUP(VALUE(A275),WEEKLY_DATA!$A:$H,2,0),0)</f>
        <v>0</v>
      </c>
      <c r="R275" s="8">
        <f>IFERROR(VLOOKUP(VALUE(A275),WEEKLY_DATA!$A:$H,3,0),0)</f>
        <v>0</v>
      </c>
      <c r="S275" s="8">
        <f>IFERROR(VLOOKUP(VALUE(A275),WEEKLY_DATA!$A:$H,4,0),0)</f>
        <v>0</v>
      </c>
      <c r="T275" s="51">
        <f>IFERROR(VLOOKUP(VALUE(A275),WEEKLY_DATA!$A:$H,5,0),0)</f>
        <v>0</v>
      </c>
      <c r="U275" s="51">
        <f>IFERROR(VLOOKUP(VALUE(A275),WEEKLY_DATA!$A:$H,6,0),0)</f>
        <v>0</v>
      </c>
      <c r="V275" s="51">
        <f>IFERROR(VLOOKUP(VALUE(A275),WEEKLY_DATA!$A:$H,7,0),0)</f>
        <v>0</v>
      </c>
      <c r="W275" s="9" t="str">
        <f>IFERROR(IF(OR(Q275="",Q275=0),"",IF(VLOOKUP(VALUE($A275),WEEKLY_DATA!$A:$H,6,0)=0,"No Sales",Q275/(VLOOKUP(VALUE($A275),WEEKLY_DATA!$A:$H,6,0)/13))),"")</f>
        <v/>
      </c>
      <c r="X275" s="10">
        <f>IFERROR(VLOOKUP(VALUE(A275),WEEKLY_DATA!$A:$H,8,0),0)</f>
        <v>0</v>
      </c>
      <c r="Y275" s="13" t="str">
        <f t="shared" si="8"/>
        <v>—</v>
      </c>
      <c r="Z275" s="11"/>
      <c r="AA275" s="11"/>
      <c r="AB275" s="11"/>
      <c r="AC275" s="11"/>
      <c r="AD275" s="11"/>
      <c r="AE275" s="11"/>
      <c r="AF275" s="61"/>
      <c r="AG275" s="61"/>
      <c r="AH275" s="62"/>
      <c r="AI275" s="62"/>
      <c r="AJ275" s="61"/>
      <c r="AK275" s="61"/>
      <c r="AL275" s="61"/>
      <c r="AM275" s="58"/>
      <c r="AN275" s="58"/>
      <c r="AO275" s="58"/>
      <c r="AP275" s="58"/>
      <c r="AQ275" s="58"/>
      <c r="AR275" s="58"/>
      <c r="AS275" s="91"/>
      <c r="AT275" s="93"/>
      <c r="AU275" s="93"/>
      <c r="AV275" s="93"/>
      <c r="AW275" s="93"/>
    </row>
    <row r="276" spans="1:49" x14ac:dyDescent="0.25">
      <c r="A276" s="59"/>
      <c r="B276" s="12"/>
      <c r="C276" s="12"/>
      <c r="D276" s="60"/>
      <c r="E276" s="6"/>
      <c r="F276" s="6"/>
      <c r="G276" s="12"/>
      <c r="H276" s="12"/>
      <c r="I276" s="12" t="str" cm="2">
        <f t="array" ref="I276">IFERROR(INDEX(BrandList!$B$2:$B$200,MATCH(TRUE,ISNUMBER(SEARCH(BrandList!$B$2:$B$200,G276)),0)),"")</f>
        <v/>
      </c>
      <c r="J276" s="12"/>
      <c r="K276" s="12"/>
      <c r="L276" s="60"/>
      <c r="M276" s="60"/>
      <c r="N276" s="60"/>
      <c r="O276" s="60"/>
      <c r="P276" s="7" t="str">
        <f t="shared" si="9"/>
        <v/>
      </c>
      <c r="Q276" s="8">
        <f>IFERROR(VLOOKUP(VALUE(A276),WEEKLY_DATA!$A:$H,2,0),0)</f>
        <v>0</v>
      </c>
      <c r="R276" s="8">
        <f>IFERROR(VLOOKUP(VALUE(A276),WEEKLY_DATA!$A:$H,3,0),0)</f>
        <v>0</v>
      </c>
      <c r="S276" s="8">
        <f>IFERROR(VLOOKUP(VALUE(A276),WEEKLY_DATA!$A:$H,4,0),0)</f>
        <v>0</v>
      </c>
      <c r="T276" s="51">
        <f>IFERROR(VLOOKUP(VALUE(A276),WEEKLY_DATA!$A:$H,5,0),0)</f>
        <v>0</v>
      </c>
      <c r="U276" s="51">
        <f>IFERROR(VLOOKUP(VALUE(A276),WEEKLY_DATA!$A:$H,6,0),0)</f>
        <v>0</v>
      </c>
      <c r="V276" s="51">
        <f>IFERROR(VLOOKUP(VALUE(A276),WEEKLY_DATA!$A:$H,7,0),0)</f>
        <v>0</v>
      </c>
      <c r="W276" s="9" t="str">
        <f>IFERROR(IF(OR(Q276="",Q276=0),"",IF(VLOOKUP(VALUE($A276),WEEKLY_DATA!$A:$H,6,0)=0,"No Sales",Q276/(VLOOKUP(VALUE($A276),WEEKLY_DATA!$A:$H,6,0)/13))),"")</f>
        <v/>
      </c>
      <c r="X276" s="10">
        <f>IFERROR(VLOOKUP(VALUE(A276),WEEKLY_DATA!$A:$H,8,0),0)</f>
        <v>0</v>
      </c>
      <c r="Y276" s="13" t="str">
        <f t="shared" si="8"/>
        <v>—</v>
      </c>
      <c r="Z276" s="11"/>
      <c r="AA276" s="11"/>
      <c r="AB276" s="11"/>
      <c r="AC276" s="11"/>
      <c r="AD276" s="11"/>
      <c r="AE276" s="11"/>
      <c r="AF276" s="61"/>
      <c r="AG276" s="61"/>
      <c r="AH276" s="62"/>
      <c r="AI276" s="62"/>
      <c r="AJ276" s="61"/>
      <c r="AK276" s="61"/>
      <c r="AL276" s="61"/>
      <c r="AM276" s="58"/>
      <c r="AN276" s="58"/>
      <c r="AO276" s="58"/>
      <c r="AP276" s="58"/>
      <c r="AQ276" s="58"/>
      <c r="AR276" s="58"/>
      <c r="AS276" s="91"/>
      <c r="AT276" s="93"/>
      <c r="AU276" s="93"/>
      <c r="AV276" s="93"/>
      <c r="AW276" s="93"/>
    </row>
    <row r="277" spans="1:49" x14ac:dyDescent="0.25">
      <c r="A277" s="59"/>
      <c r="B277" s="12"/>
      <c r="C277" s="12"/>
      <c r="D277" s="60"/>
      <c r="E277" s="6"/>
      <c r="F277" s="6"/>
      <c r="G277" s="12"/>
      <c r="H277" s="12"/>
      <c r="I277" s="12" t="str" cm="2">
        <f t="array" ref="I277">IFERROR(INDEX(BrandList!$B$2:$B$200,MATCH(TRUE,ISNUMBER(SEARCH(BrandList!$B$2:$B$200,G277)),0)),"")</f>
        <v/>
      </c>
      <c r="J277" s="12"/>
      <c r="K277" s="12"/>
      <c r="L277" s="60"/>
      <c r="M277" s="60"/>
      <c r="N277" s="60"/>
      <c r="O277" s="60"/>
      <c r="P277" s="7" t="str">
        <f t="shared" si="9"/>
        <v/>
      </c>
      <c r="Q277" s="8">
        <f>IFERROR(VLOOKUP(VALUE(A277),WEEKLY_DATA!$A:$H,2,0),0)</f>
        <v>0</v>
      </c>
      <c r="R277" s="8">
        <f>IFERROR(VLOOKUP(VALUE(A277),WEEKLY_DATA!$A:$H,3,0),0)</f>
        <v>0</v>
      </c>
      <c r="S277" s="8">
        <f>IFERROR(VLOOKUP(VALUE(A277),WEEKLY_DATA!$A:$H,4,0),0)</f>
        <v>0</v>
      </c>
      <c r="T277" s="51">
        <f>IFERROR(VLOOKUP(VALUE(A277),WEEKLY_DATA!$A:$H,5,0),0)</f>
        <v>0</v>
      </c>
      <c r="U277" s="51">
        <f>IFERROR(VLOOKUP(VALUE(A277),WEEKLY_DATA!$A:$H,6,0),0)</f>
        <v>0</v>
      </c>
      <c r="V277" s="51">
        <f>IFERROR(VLOOKUP(VALUE(A277),WEEKLY_DATA!$A:$H,7,0),0)</f>
        <v>0</v>
      </c>
      <c r="W277" s="9" t="str">
        <f>IFERROR(IF(OR(Q277="",Q277=0),"",IF(VLOOKUP(VALUE($A277),WEEKLY_DATA!$A:$H,6,0)=0,"No Sales",Q277/(VLOOKUP(VALUE($A277),WEEKLY_DATA!$A:$H,6,0)/13))),"")</f>
        <v/>
      </c>
      <c r="X277" s="10">
        <f>IFERROR(VLOOKUP(VALUE(A277),WEEKLY_DATA!$A:$H,8,0),0)</f>
        <v>0</v>
      </c>
      <c r="Y277" s="13" t="str">
        <f t="shared" si="8"/>
        <v>—</v>
      </c>
      <c r="Z277" s="11"/>
      <c r="AA277" s="11"/>
      <c r="AB277" s="11"/>
      <c r="AC277" s="11"/>
      <c r="AD277" s="11"/>
      <c r="AE277" s="11"/>
      <c r="AF277" s="61"/>
      <c r="AG277" s="61"/>
      <c r="AH277" s="62"/>
      <c r="AI277" s="62"/>
      <c r="AJ277" s="61"/>
      <c r="AK277" s="61"/>
      <c r="AL277" s="61"/>
      <c r="AM277" s="58"/>
      <c r="AN277" s="58"/>
      <c r="AO277" s="58"/>
      <c r="AP277" s="58"/>
      <c r="AQ277" s="58"/>
      <c r="AR277" s="58"/>
      <c r="AS277" s="91"/>
      <c r="AT277" s="93"/>
      <c r="AU277" s="93"/>
      <c r="AV277" s="93"/>
      <c r="AW277" s="93"/>
    </row>
    <row r="278" spans="1:49" x14ac:dyDescent="0.25">
      <c r="A278" s="59"/>
      <c r="B278" s="12"/>
      <c r="C278" s="12"/>
      <c r="D278" s="60"/>
      <c r="E278" s="6"/>
      <c r="F278" s="6"/>
      <c r="G278" s="12"/>
      <c r="H278" s="12"/>
      <c r="I278" s="12" t="str" cm="2">
        <f t="array" ref="I278">IFERROR(INDEX(BrandList!$B$2:$B$200,MATCH(TRUE,ISNUMBER(SEARCH(BrandList!$B$2:$B$200,G278)),0)),"")</f>
        <v/>
      </c>
      <c r="J278" s="12"/>
      <c r="K278" s="12"/>
      <c r="L278" s="60"/>
      <c r="M278" s="60"/>
      <c r="N278" s="60"/>
      <c r="O278" s="60"/>
      <c r="P278" s="7" t="str">
        <f t="shared" si="9"/>
        <v/>
      </c>
      <c r="Q278" s="8">
        <f>IFERROR(VLOOKUP(VALUE(A278),WEEKLY_DATA!$A:$H,2,0),0)</f>
        <v>0</v>
      </c>
      <c r="R278" s="8">
        <f>IFERROR(VLOOKUP(VALUE(A278),WEEKLY_DATA!$A:$H,3,0),0)</f>
        <v>0</v>
      </c>
      <c r="S278" s="8">
        <f>IFERROR(VLOOKUP(VALUE(A278),WEEKLY_DATA!$A:$H,4,0),0)</f>
        <v>0</v>
      </c>
      <c r="T278" s="51">
        <f>IFERROR(VLOOKUP(VALUE(A278),WEEKLY_DATA!$A:$H,5,0),0)</f>
        <v>0</v>
      </c>
      <c r="U278" s="51">
        <f>IFERROR(VLOOKUP(VALUE(A278),WEEKLY_DATA!$A:$H,6,0),0)</f>
        <v>0</v>
      </c>
      <c r="V278" s="51">
        <f>IFERROR(VLOOKUP(VALUE(A278),WEEKLY_DATA!$A:$H,7,0),0)</f>
        <v>0</v>
      </c>
      <c r="W278" s="9" t="str">
        <f>IFERROR(IF(OR(Q278="",Q278=0),"",IF(VLOOKUP(VALUE($A278),WEEKLY_DATA!$A:$H,6,0)=0,"No Sales",Q278/(VLOOKUP(VALUE($A278),WEEKLY_DATA!$A:$H,6,0)/13))),"")</f>
        <v/>
      </c>
      <c r="X278" s="10">
        <f>IFERROR(VLOOKUP(VALUE(A278),WEEKLY_DATA!$A:$H,8,0),0)</f>
        <v>0</v>
      </c>
      <c r="Y278" s="13" t="str">
        <f t="shared" si="8"/>
        <v>—</v>
      </c>
      <c r="Z278" s="11"/>
      <c r="AA278" s="11"/>
      <c r="AB278" s="11"/>
      <c r="AC278" s="11"/>
      <c r="AD278" s="11"/>
      <c r="AE278" s="11"/>
      <c r="AF278" s="61"/>
      <c r="AG278" s="61"/>
      <c r="AH278" s="62"/>
      <c r="AI278" s="62"/>
      <c r="AJ278" s="61"/>
      <c r="AK278" s="61"/>
      <c r="AL278" s="61"/>
      <c r="AM278" s="58"/>
      <c r="AN278" s="58"/>
      <c r="AO278" s="58"/>
      <c r="AP278" s="58"/>
      <c r="AQ278" s="58"/>
      <c r="AR278" s="58"/>
      <c r="AS278" s="91"/>
      <c r="AT278" s="93"/>
      <c r="AU278" s="93"/>
      <c r="AV278" s="93"/>
      <c r="AW278" s="93"/>
    </row>
    <row r="279" spans="1:49" x14ac:dyDescent="0.25">
      <c r="A279" s="59"/>
      <c r="B279" s="12"/>
      <c r="C279" s="12"/>
      <c r="D279" s="60"/>
      <c r="E279" s="6"/>
      <c r="F279" s="6"/>
      <c r="G279" s="12"/>
      <c r="H279" s="12"/>
      <c r="I279" s="12" t="str" cm="2">
        <f t="array" ref="I279">IFERROR(INDEX(BrandList!$B$2:$B$200,MATCH(TRUE,ISNUMBER(SEARCH(BrandList!$B$2:$B$200,G279)),0)),"")</f>
        <v/>
      </c>
      <c r="J279" s="12"/>
      <c r="K279" s="12"/>
      <c r="L279" s="60"/>
      <c r="M279" s="60"/>
      <c r="N279" s="60"/>
      <c r="O279" s="60"/>
      <c r="P279" s="7" t="str">
        <f t="shared" si="9"/>
        <v/>
      </c>
      <c r="Q279" s="8">
        <f>IFERROR(VLOOKUP(VALUE(A279),WEEKLY_DATA!$A:$H,2,0),0)</f>
        <v>0</v>
      </c>
      <c r="R279" s="8">
        <f>IFERROR(VLOOKUP(VALUE(A279),WEEKLY_DATA!$A:$H,3,0),0)</f>
        <v>0</v>
      </c>
      <c r="S279" s="8">
        <f>IFERROR(VLOOKUP(VALUE(A279),WEEKLY_DATA!$A:$H,4,0),0)</f>
        <v>0</v>
      </c>
      <c r="T279" s="51">
        <f>IFERROR(VLOOKUP(VALUE(A279),WEEKLY_DATA!$A:$H,5,0),0)</f>
        <v>0</v>
      </c>
      <c r="U279" s="51">
        <f>IFERROR(VLOOKUP(VALUE(A279),WEEKLY_DATA!$A:$H,6,0),0)</f>
        <v>0</v>
      </c>
      <c r="V279" s="51">
        <f>IFERROR(VLOOKUP(VALUE(A279),WEEKLY_DATA!$A:$H,7,0),0)</f>
        <v>0</v>
      </c>
      <c r="W279" s="9" t="str">
        <f>IFERROR(IF(OR(Q279="",Q279=0),"",IF(VLOOKUP(VALUE($A279),WEEKLY_DATA!$A:$H,6,0)=0,"No Sales",Q279/(VLOOKUP(VALUE($A279),WEEKLY_DATA!$A:$H,6,0)/13))),"")</f>
        <v/>
      </c>
      <c r="X279" s="10">
        <f>IFERROR(VLOOKUP(VALUE(A279),WEEKLY_DATA!$A:$H,8,0),0)</f>
        <v>0</v>
      </c>
      <c r="Y279" s="13" t="str">
        <f t="shared" si="8"/>
        <v>—</v>
      </c>
      <c r="Z279" s="11"/>
      <c r="AA279" s="11"/>
      <c r="AB279" s="11"/>
      <c r="AC279" s="11"/>
      <c r="AD279" s="11"/>
      <c r="AE279" s="11"/>
      <c r="AF279" s="61"/>
      <c r="AG279" s="61"/>
      <c r="AH279" s="62"/>
      <c r="AI279" s="62"/>
      <c r="AJ279" s="61"/>
      <c r="AK279" s="61"/>
      <c r="AL279" s="61"/>
      <c r="AM279" s="58"/>
      <c r="AN279" s="58"/>
      <c r="AO279" s="58"/>
      <c r="AP279" s="58"/>
      <c r="AQ279" s="58"/>
      <c r="AR279" s="58"/>
      <c r="AS279" s="91"/>
      <c r="AT279" s="93"/>
      <c r="AU279" s="93"/>
      <c r="AV279" s="93"/>
      <c r="AW279" s="93"/>
    </row>
    <row r="280" spans="1:49" x14ac:dyDescent="0.25">
      <c r="A280" s="59"/>
      <c r="B280" s="12"/>
      <c r="C280" s="12"/>
      <c r="D280" s="60"/>
      <c r="E280" s="6"/>
      <c r="F280" s="6"/>
      <c r="G280" s="12"/>
      <c r="H280" s="12"/>
      <c r="I280" s="12" t="str" cm="2">
        <f t="array" ref="I280">IFERROR(INDEX(BrandList!$B$2:$B$200,MATCH(TRUE,ISNUMBER(SEARCH(BrandList!$B$2:$B$200,G280)),0)),"")</f>
        <v/>
      </c>
      <c r="J280" s="12"/>
      <c r="K280" s="12"/>
      <c r="L280" s="60"/>
      <c r="M280" s="60"/>
      <c r="N280" s="60"/>
      <c r="O280" s="60"/>
      <c r="P280" s="7" t="str">
        <f t="shared" si="9"/>
        <v/>
      </c>
      <c r="Q280" s="8">
        <f>IFERROR(VLOOKUP(VALUE(A280),WEEKLY_DATA!$A:$H,2,0),0)</f>
        <v>0</v>
      </c>
      <c r="R280" s="8">
        <f>IFERROR(VLOOKUP(VALUE(A280),WEEKLY_DATA!$A:$H,3,0),0)</f>
        <v>0</v>
      </c>
      <c r="S280" s="8">
        <f>IFERROR(VLOOKUP(VALUE(A280),WEEKLY_DATA!$A:$H,4,0),0)</f>
        <v>0</v>
      </c>
      <c r="T280" s="51">
        <f>IFERROR(VLOOKUP(VALUE(A280),WEEKLY_DATA!$A:$H,5,0),0)</f>
        <v>0</v>
      </c>
      <c r="U280" s="51">
        <f>IFERROR(VLOOKUP(VALUE(A280),WEEKLY_DATA!$A:$H,6,0),0)</f>
        <v>0</v>
      </c>
      <c r="V280" s="51">
        <f>IFERROR(VLOOKUP(VALUE(A280),WEEKLY_DATA!$A:$H,7,0),0)</f>
        <v>0</v>
      </c>
      <c r="W280" s="9" t="str">
        <f>IFERROR(IF(OR(Q280="",Q280=0),"",IF(VLOOKUP(VALUE($A280),WEEKLY_DATA!$A:$H,6,0)=0,"No Sales",Q280/(VLOOKUP(VALUE($A280),WEEKLY_DATA!$A:$H,6,0)/13))),"")</f>
        <v/>
      </c>
      <c r="X280" s="10">
        <f>IFERROR(VLOOKUP(VALUE(A280),WEEKLY_DATA!$A:$H,8,0),0)</f>
        <v>0</v>
      </c>
      <c r="Y280" s="13" t="str">
        <f t="shared" si="8"/>
        <v>—</v>
      </c>
      <c r="Z280" s="11"/>
      <c r="AA280" s="11"/>
      <c r="AB280" s="11"/>
      <c r="AC280" s="11"/>
      <c r="AD280" s="11"/>
      <c r="AE280" s="11"/>
      <c r="AF280" s="61"/>
      <c r="AG280" s="61"/>
      <c r="AH280" s="62"/>
      <c r="AI280" s="62"/>
      <c r="AJ280" s="61"/>
      <c r="AK280" s="61"/>
      <c r="AL280" s="61"/>
      <c r="AM280" s="58"/>
      <c r="AN280" s="58"/>
      <c r="AO280" s="58"/>
      <c r="AP280" s="58"/>
      <c r="AQ280" s="58"/>
      <c r="AR280" s="58"/>
      <c r="AS280" s="91"/>
      <c r="AT280" s="93"/>
      <c r="AU280" s="93"/>
      <c r="AV280" s="93"/>
      <c r="AW280" s="93"/>
    </row>
    <row r="281" spans="1:49" x14ac:dyDescent="0.25">
      <c r="A281" s="59"/>
      <c r="B281" s="12"/>
      <c r="C281" s="12"/>
      <c r="D281" s="60"/>
      <c r="E281" s="6"/>
      <c r="F281" s="6"/>
      <c r="G281" s="12"/>
      <c r="H281" s="12"/>
      <c r="I281" s="12" t="str" cm="2">
        <f t="array" ref="I281">IFERROR(INDEX(BrandList!$B$2:$B$200,MATCH(TRUE,ISNUMBER(SEARCH(BrandList!$B$2:$B$200,G281)),0)),"")</f>
        <v/>
      </c>
      <c r="J281" s="12"/>
      <c r="K281" s="12"/>
      <c r="L281" s="60"/>
      <c r="M281" s="60"/>
      <c r="N281" s="60"/>
      <c r="O281" s="60"/>
      <c r="P281" s="7" t="str">
        <f t="shared" si="9"/>
        <v/>
      </c>
      <c r="Q281" s="8">
        <f>IFERROR(VLOOKUP(VALUE(A281),WEEKLY_DATA!$A:$H,2,0),0)</f>
        <v>0</v>
      </c>
      <c r="R281" s="8">
        <f>IFERROR(VLOOKUP(VALUE(A281),WEEKLY_DATA!$A:$H,3,0),0)</f>
        <v>0</v>
      </c>
      <c r="S281" s="8">
        <f>IFERROR(VLOOKUP(VALUE(A281),WEEKLY_DATA!$A:$H,4,0),0)</f>
        <v>0</v>
      </c>
      <c r="T281" s="51">
        <f>IFERROR(VLOOKUP(VALUE(A281),WEEKLY_DATA!$A:$H,5,0),0)</f>
        <v>0</v>
      </c>
      <c r="U281" s="51">
        <f>IFERROR(VLOOKUP(VALUE(A281),WEEKLY_DATA!$A:$H,6,0),0)</f>
        <v>0</v>
      </c>
      <c r="V281" s="51">
        <f>IFERROR(VLOOKUP(VALUE(A281),WEEKLY_DATA!$A:$H,7,0),0)</f>
        <v>0</v>
      </c>
      <c r="W281" s="9" t="str">
        <f>IFERROR(IF(OR(Q281="",Q281=0),"",IF(VLOOKUP(VALUE($A281),WEEKLY_DATA!$A:$H,6,0)=0,"No Sales",Q281/(VLOOKUP(VALUE($A281),WEEKLY_DATA!$A:$H,6,0)/13))),"")</f>
        <v/>
      </c>
      <c r="X281" s="10">
        <f>IFERROR(VLOOKUP(VALUE(A281),WEEKLY_DATA!$A:$H,8,0),0)</f>
        <v>0</v>
      </c>
      <c r="Y281" s="13" t="str">
        <f t="shared" si="8"/>
        <v>—</v>
      </c>
      <c r="Z281" s="11"/>
      <c r="AA281" s="11"/>
      <c r="AB281" s="11"/>
      <c r="AC281" s="11"/>
      <c r="AD281" s="11"/>
      <c r="AE281" s="11"/>
      <c r="AF281" s="61"/>
      <c r="AG281" s="61"/>
      <c r="AH281" s="62"/>
      <c r="AI281" s="62"/>
      <c r="AJ281" s="61"/>
      <c r="AK281" s="61"/>
      <c r="AL281" s="61"/>
      <c r="AM281" s="58"/>
      <c r="AN281" s="58"/>
      <c r="AO281" s="58"/>
      <c r="AP281" s="58"/>
      <c r="AQ281" s="58"/>
      <c r="AR281" s="58"/>
      <c r="AS281" s="91"/>
      <c r="AT281" s="93"/>
      <c r="AU281" s="93"/>
      <c r="AV281" s="93"/>
      <c r="AW281" s="93"/>
    </row>
    <row r="282" spans="1:49" x14ac:dyDescent="0.25">
      <c r="A282" s="59"/>
      <c r="B282" s="12"/>
      <c r="C282" s="12"/>
      <c r="D282" s="60"/>
      <c r="E282" s="6"/>
      <c r="F282" s="6"/>
      <c r="G282" s="12"/>
      <c r="H282" s="12"/>
      <c r="I282" s="12" t="str" cm="2">
        <f t="array" ref="I282">IFERROR(INDEX(BrandList!$B$2:$B$200,MATCH(TRUE,ISNUMBER(SEARCH(BrandList!$B$2:$B$200,G282)),0)),"")</f>
        <v/>
      </c>
      <c r="J282" s="12"/>
      <c r="K282" s="12"/>
      <c r="L282" s="60"/>
      <c r="M282" s="60"/>
      <c r="N282" s="60"/>
      <c r="O282" s="60"/>
      <c r="P282" s="7" t="str">
        <f t="shared" si="9"/>
        <v/>
      </c>
      <c r="Q282" s="8">
        <f>IFERROR(VLOOKUP(VALUE(A282),WEEKLY_DATA!$A:$H,2,0),0)</f>
        <v>0</v>
      </c>
      <c r="R282" s="8">
        <f>IFERROR(VLOOKUP(VALUE(A282),WEEKLY_DATA!$A:$H,3,0),0)</f>
        <v>0</v>
      </c>
      <c r="S282" s="8">
        <f>IFERROR(VLOOKUP(VALUE(A282),WEEKLY_DATA!$A:$H,4,0),0)</f>
        <v>0</v>
      </c>
      <c r="T282" s="51">
        <f>IFERROR(VLOOKUP(VALUE(A282),WEEKLY_DATA!$A:$H,5,0),0)</f>
        <v>0</v>
      </c>
      <c r="U282" s="51">
        <f>IFERROR(VLOOKUP(VALUE(A282),WEEKLY_DATA!$A:$H,6,0),0)</f>
        <v>0</v>
      </c>
      <c r="V282" s="51">
        <f>IFERROR(VLOOKUP(VALUE(A282),WEEKLY_DATA!$A:$H,7,0),0)</f>
        <v>0</v>
      </c>
      <c r="W282" s="9" t="str">
        <f>IFERROR(IF(OR(Q282="",Q282=0),"",IF(VLOOKUP(VALUE($A282),WEEKLY_DATA!$A:$H,6,0)=0,"No Sales",Q282/(VLOOKUP(VALUE($A282),WEEKLY_DATA!$A:$H,6,0)/13))),"")</f>
        <v/>
      </c>
      <c r="X282" s="10">
        <f>IFERROR(VLOOKUP(VALUE(A282),WEEKLY_DATA!$A:$H,8,0),0)</f>
        <v>0</v>
      </c>
      <c r="Y282" s="13" t="str">
        <f t="shared" si="8"/>
        <v>—</v>
      </c>
      <c r="Z282" s="11"/>
      <c r="AA282" s="11"/>
      <c r="AB282" s="11"/>
      <c r="AC282" s="11"/>
      <c r="AD282" s="11"/>
      <c r="AE282" s="11"/>
      <c r="AF282" s="61"/>
      <c r="AG282" s="61"/>
      <c r="AH282" s="62"/>
      <c r="AI282" s="62"/>
      <c r="AJ282" s="61"/>
      <c r="AK282" s="61"/>
      <c r="AL282" s="61"/>
      <c r="AM282" s="58"/>
      <c r="AN282" s="58"/>
      <c r="AO282" s="58"/>
      <c r="AP282" s="58"/>
      <c r="AQ282" s="58"/>
      <c r="AR282" s="58"/>
      <c r="AS282" s="91"/>
      <c r="AT282" s="93"/>
      <c r="AU282" s="93"/>
      <c r="AV282" s="93"/>
      <c r="AW282" s="93"/>
    </row>
    <row r="283" spans="1:49" x14ac:dyDescent="0.25">
      <c r="A283" s="59"/>
      <c r="B283" s="12"/>
      <c r="C283" s="12"/>
      <c r="D283" s="60"/>
      <c r="E283" s="6"/>
      <c r="F283" s="6"/>
      <c r="G283" s="12"/>
      <c r="H283" s="12"/>
      <c r="I283" s="12" t="str" cm="2">
        <f t="array" ref="I283">IFERROR(INDEX(BrandList!$B$2:$B$200,MATCH(TRUE,ISNUMBER(SEARCH(BrandList!$B$2:$B$200,G283)),0)),"")</f>
        <v/>
      </c>
      <c r="J283" s="12"/>
      <c r="K283" s="12"/>
      <c r="L283" s="60"/>
      <c r="M283" s="60"/>
      <c r="N283" s="60"/>
      <c r="O283" s="60"/>
      <c r="P283" s="7" t="str">
        <f t="shared" si="9"/>
        <v/>
      </c>
      <c r="Q283" s="8">
        <f>IFERROR(VLOOKUP(VALUE(A283),WEEKLY_DATA!$A:$H,2,0),0)</f>
        <v>0</v>
      </c>
      <c r="R283" s="8">
        <f>IFERROR(VLOOKUP(VALUE(A283),WEEKLY_DATA!$A:$H,3,0),0)</f>
        <v>0</v>
      </c>
      <c r="S283" s="8">
        <f>IFERROR(VLOOKUP(VALUE(A283),WEEKLY_DATA!$A:$H,4,0),0)</f>
        <v>0</v>
      </c>
      <c r="T283" s="51">
        <f>IFERROR(VLOOKUP(VALUE(A283),WEEKLY_DATA!$A:$H,5,0),0)</f>
        <v>0</v>
      </c>
      <c r="U283" s="51">
        <f>IFERROR(VLOOKUP(VALUE(A283),WEEKLY_DATA!$A:$H,6,0),0)</f>
        <v>0</v>
      </c>
      <c r="V283" s="51">
        <f>IFERROR(VLOOKUP(VALUE(A283),WEEKLY_DATA!$A:$H,7,0),0)</f>
        <v>0</v>
      </c>
      <c r="W283" s="9" t="str">
        <f>IFERROR(IF(OR(Q283="",Q283=0),"",IF(VLOOKUP(VALUE($A283),WEEKLY_DATA!$A:$H,6,0)=0,"No Sales",Q283/(VLOOKUP(VALUE($A283),WEEKLY_DATA!$A:$H,6,0)/13))),"")</f>
        <v/>
      </c>
      <c r="X283" s="10">
        <f>IFERROR(VLOOKUP(VALUE(A283),WEEKLY_DATA!$A:$H,8,0),0)</f>
        <v>0</v>
      </c>
      <c r="Y283" s="13" t="str">
        <f t="shared" si="8"/>
        <v>—</v>
      </c>
      <c r="Z283" s="11"/>
      <c r="AA283" s="11"/>
      <c r="AB283" s="11"/>
      <c r="AC283" s="11"/>
      <c r="AD283" s="11"/>
      <c r="AE283" s="11"/>
      <c r="AF283" s="61"/>
      <c r="AG283" s="61"/>
      <c r="AH283" s="62"/>
      <c r="AI283" s="62"/>
      <c r="AJ283" s="61"/>
      <c r="AK283" s="61"/>
      <c r="AL283" s="61"/>
      <c r="AM283" s="58"/>
      <c r="AN283" s="58"/>
      <c r="AO283" s="58"/>
      <c r="AP283" s="58"/>
      <c r="AQ283" s="58"/>
      <c r="AR283" s="58"/>
      <c r="AS283" s="91"/>
      <c r="AT283" s="93"/>
      <c r="AU283" s="93"/>
      <c r="AV283" s="93"/>
      <c r="AW283" s="93"/>
    </row>
    <row r="284" spans="1:49" x14ac:dyDescent="0.25">
      <c r="A284" s="59"/>
      <c r="B284" s="12"/>
      <c r="C284" s="12"/>
      <c r="D284" s="60"/>
      <c r="E284" s="6"/>
      <c r="F284" s="6"/>
      <c r="G284" s="12"/>
      <c r="H284" s="12"/>
      <c r="I284" s="12" t="str" cm="2">
        <f t="array" ref="I284">IFERROR(INDEX(BrandList!$B$2:$B$200,MATCH(TRUE,ISNUMBER(SEARCH(BrandList!$B$2:$B$200,G284)),0)),"")</f>
        <v/>
      </c>
      <c r="J284" s="12"/>
      <c r="K284" s="12"/>
      <c r="L284" s="60"/>
      <c r="M284" s="60"/>
      <c r="N284" s="60"/>
      <c r="O284" s="60"/>
      <c r="P284" s="7" t="str">
        <f t="shared" si="9"/>
        <v/>
      </c>
      <c r="Q284" s="8">
        <f>IFERROR(VLOOKUP(VALUE(A284),WEEKLY_DATA!$A:$H,2,0),0)</f>
        <v>0</v>
      </c>
      <c r="R284" s="8">
        <f>IFERROR(VLOOKUP(VALUE(A284),WEEKLY_DATA!$A:$H,3,0),0)</f>
        <v>0</v>
      </c>
      <c r="S284" s="8">
        <f>IFERROR(VLOOKUP(VALUE(A284),WEEKLY_DATA!$A:$H,4,0),0)</f>
        <v>0</v>
      </c>
      <c r="T284" s="51">
        <f>IFERROR(VLOOKUP(VALUE(A284),WEEKLY_DATA!$A:$H,5,0),0)</f>
        <v>0</v>
      </c>
      <c r="U284" s="51">
        <f>IFERROR(VLOOKUP(VALUE(A284),WEEKLY_DATA!$A:$H,6,0),0)</f>
        <v>0</v>
      </c>
      <c r="V284" s="51">
        <f>IFERROR(VLOOKUP(VALUE(A284),WEEKLY_DATA!$A:$H,7,0),0)</f>
        <v>0</v>
      </c>
      <c r="W284" s="9" t="str">
        <f>IFERROR(IF(OR(Q284="",Q284=0),"",IF(VLOOKUP(VALUE($A284),WEEKLY_DATA!$A:$H,6,0)=0,"No Sales",Q284/(VLOOKUP(VALUE($A284),WEEKLY_DATA!$A:$H,6,0)/13))),"")</f>
        <v/>
      </c>
      <c r="X284" s="10">
        <f>IFERROR(VLOOKUP(VALUE(A284),WEEKLY_DATA!$A:$H,8,0),0)</f>
        <v>0</v>
      </c>
      <c r="Y284" s="13" t="str">
        <f t="shared" si="8"/>
        <v>—</v>
      </c>
      <c r="Z284" s="11"/>
      <c r="AA284" s="11"/>
      <c r="AB284" s="11"/>
      <c r="AC284" s="11"/>
      <c r="AD284" s="11"/>
      <c r="AE284" s="11"/>
      <c r="AF284" s="61"/>
      <c r="AG284" s="61"/>
      <c r="AH284" s="62"/>
      <c r="AI284" s="62"/>
      <c r="AJ284" s="61"/>
      <c r="AK284" s="61"/>
      <c r="AL284" s="61"/>
      <c r="AM284" s="58"/>
      <c r="AN284" s="58"/>
      <c r="AO284" s="58"/>
      <c r="AP284" s="58"/>
      <c r="AQ284" s="58"/>
      <c r="AR284" s="58"/>
      <c r="AS284" s="91"/>
      <c r="AT284" s="93"/>
      <c r="AU284" s="93"/>
      <c r="AV284" s="93"/>
      <c r="AW284" s="93"/>
    </row>
    <row r="285" spans="1:49" x14ac:dyDescent="0.25">
      <c r="A285" s="59"/>
      <c r="B285" s="12"/>
      <c r="C285" s="12"/>
      <c r="D285" s="60"/>
      <c r="E285" s="6"/>
      <c r="F285" s="6"/>
      <c r="G285" s="12"/>
      <c r="H285" s="12"/>
      <c r="I285" s="12" t="str" cm="2">
        <f t="array" ref="I285">IFERROR(INDEX(BrandList!$B$2:$B$200,MATCH(TRUE,ISNUMBER(SEARCH(BrandList!$B$2:$B$200,G285)),0)),"")</f>
        <v/>
      </c>
      <c r="J285" s="12"/>
      <c r="K285" s="12"/>
      <c r="L285" s="60"/>
      <c r="M285" s="60"/>
      <c r="N285" s="60"/>
      <c r="O285" s="60"/>
      <c r="P285" s="7" t="str">
        <f t="shared" si="9"/>
        <v/>
      </c>
      <c r="Q285" s="8">
        <f>IFERROR(VLOOKUP(VALUE(A285),WEEKLY_DATA!$A:$H,2,0),0)</f>
        <v>0</v>
      </c>
      <c r="R285" s="8">
        <f>IFERROR(VLOOKUP(VALUE(A285),WEEKLY_DATA!$A:$H,3,0),0)</f>
        <v>0</v>
      </c>
      <c r="S285" s="8">
        <f>IFERROR(VLOOKUP(VALUE(A285),WEEKLY_DATA!$A:$H,4,0),0)</f>
        <v>0</v>
      </c>
      <c r="T285" s="51">
        <f>IFERROR(VLOOKUP(VALUE(A285),WEEKLY_DATA!$A:$H,5,0),0)</f>
        <v>0</v>
      </c>
      <c r="U285" s="51">
        <f>IFERROR(VLOOKUP(VALUE(A285),WEEKLY_DATA!$A:$H,6,0),0)</f>
        <v>0</v>
      </c>
      <c r="V285" s="51">
        <f>IFERROR(VLOOKUP(VALUE(A285),WEEKLY_DATA!$A:$H,7,0),0)</f>
        <v>0</v>
      </c>
      <c r="W285" s="9" t="str">
        <f>IFERROR(IF(OR(Q285="",Q285=0),"",IF(VLOOKUP(VALUE($A285),WEEKLY_DATA!$A:$H,6,0)=0,"No Sales",Q285/(VLOOKUP(VALUE($A285),WEEKLY_DATA!$A:$H,6,0)/13))),"")</f>
        <v/>
      </c>
      <c r="X285" s="10">
        <f>IFERROR(VLOOKUP(VALUE(A285),WEEKLY_DATA!$A:$H,8,0),0)</f>
        <v>0</v>
      </c>
      <c r="Y285" s="13" t="str">
        <f t="shared" si="8"/>
        <v>—</v>
      </c>
      <c r="Z285" s="11"/>
      <c r="AA285" s="11"/>
      <c r="AB285" s="11"/>
      <c r="AC285" s="11"/>
      <c r="AD285" s="11"/>
      <c r="AE285" s="11"/>
      <c r="AF285" s="61"/>
      <c r="AG285" s="61"/>
      <c r="AH285" s="62"/>
      <c r="AI285" s="62"/>
      <c r="AJ285" s="61"/>
      <c r="AK285" s="61"/>
      <c r="AL285" s="61"/>
      <c r="AM285" s="58"/>
      <c r="AN285" s="58"/>
      <c r="AO285" s="58"/>
      <c r="AP285" s="58"/>
      <c r="AQ285" s="58"/>
      <c r="AR285" s="58"/>
      <c r="AS285" s="91"/>
      <c r="AT285" s="93"/>
      <c r="AU285" s="93"/>
      <c r="AV285" s="93"/>
      <c r="AW285" s="93"/>
    </row>
    <row r="286" spans="1:49" x14ac:dyDescent="0.25">
      <c r="A286" s="59"/>
      <c r="B286" s="12"/>
      <c r="C286" s="12"/>
      <c r="D286" s="60"/>
      <c r="E286" s="6"/>
      <c r="F286" s="6"/>
      <c r="G286" s="12"/>
      <c r="H286" s="12"/>
      <c r="I286" s="12" t="str" cm="2">
        <f t="array" ref="I286">IFERROR(INDEX(BrandList!$B$2:$B$200,MATCH(TRUE,ISNUMBER(SEARCH(BrandList!$B$2:$B$200,G286)),0)),"")</f>
        <v/>
      </c>
      <c r="J286" s="12"/>
      <c r="K286" s="12"/>
      <c r="L286" s="60"/>
      <c r="M286" s="60"/>
      <c r="N286" s="60"/>
      <c r="O286" s="60"/>
      <c r="P286" s="7" t="str">
        <f t="shared" si="9"/>
        <v/>
      </c>
      <c r="Q286" s="8">
        <f>IFERROR(VLOOKUP(VALUE(A286),WEEKLY_DATA!$A:$H,2,0),0)</f>
        <v>0</v>
      </c>
      <c r="R286" s="8">
        <f>IFERROR(VLOOKUP(VALUE(A286),WEEKLY_DATA!$A:$H,3,0),0)</f>
        <v>0</v>
      </c>
      <c r="S286" s="8">
        <f>IFERROR(VLOOKUP(VALUE(A286),WEEKLY_DATA!$A:$H,4,0),0)</f>
        <v>0</v>
      </c>
      <c r="T286" s="51">
        <f>IFERROR(VLOOKUP(VALUE(A286),WEEKLY_DATA!$A:$H,5,0),0)</f>
        <v>0</v>
      </c>
      <c r="U286" s="51">
        <f>IFERROR(VLOOKUP(VALUE(A286),WEEKLY_DATA!$A:$H,6,0),0)</f>
        <v>0</v>
      </c>
      <c r="V286" s="51">
        <f>IFERROR(VLOOKUP(VALUE(A286),WEEKLY_DATA!$A:$H,7,0),0)</f>
        <v>0</v>
      </c>
      <c r="W286" s="9" t="str">
        <f>IFERROR(IF(OR(Q286="",Q286=0),"",IF(VLOOKUP(VALUE($A286),WEEKLY_DATA!$A:$H,6,0)=0,"No Sales",Q286/(VLOOKUP(VALUE($A286),WEEKLY_DATA!$A:$H,6,0)/13))),"")</f>
        <v/>
      </c>
      <c r="X286" s="10">
        <f>IFERROR(VLOOKUP(VALUE(A286),WEEKLY_DATA!$A:$H,8,0),0)</f>
        <v>0</v>
      </c>
      <c r="Y286" s="13" t="str">
        <f t="shared" si="8"/>
        <v>—</v>
      </c>
      <c r="Z286" s="11"/>
      <c r="AA286" s="11"/>
      <c r="AB286" s="11"/>
      <c r="AC286" s="11"/>
      <c r="AD286" s="11"/>
      <c r="AE286" s="11"/>
      <c r="AF286" s="61"/>
      <c r="AG286" s="61"/>
      <c r="AH286" s="62"/>
      <c r="AI286" s="62"/>
      <c r="AJ286" s="61"/>
      <c r="AK286" s="61"/>
      <c r="AL286" s="61"/>
      <c r="AM286" s="58"/>
      <c r="AN286" s="58"/>
      <c r="AO286" s="58"/>
      <c r="AP286" s="58"/>
      <c r="AQ286" s="58"/>
      <c r="AR286" s="58"/>
      <c r="AS286" s="91"/>
      <c r="AT286" s="93"/>
      <c r="AU286" s="93"/>
      <c r="AV286" s="93"/>
      <c r="AW286" s="93"/>
    </row>
    <row r="287" spans="1:49" x14ac:dyDescent="0.25">
      <c r="A287" s="59"/>
      <c r="B287" s="12"/>
      <c r="C287" s="12"/>
      <c r="D287" s="60"/>
      <c r="E287" s="6"/>
      <c r="F287" s="6"/>
      <c r="G287" s="12"/>
      <c r="H287" s="12"/>
      <c r="I287" s="12" t="str" cm="2">
        <f t="array" ref="I287">IFERROR(INDEX(BrandList!$B$2:$B$200,MATCH(TRUE,ISNUMBER(SEARCH(BrandList!$B$2:$B$200,G287)),0)),"")</f>
        <v/>
      </c>
      <c r="J287" s="12"/>
      <c r="K287" s="12"/>
      <c r="L287" s="60"/>
      <c r="M287" s="60"/>
      <c r="N287" s="60"/>
      <c r="O287" s="60"/>
      <c r="P287" s="7" t="str">
        <f t="shared" si="9"/>
        <v/>
      </c>
      <c r="Q287" s="8">
        <f>IFERROR(VLOOKUP(VALUE(A287),WEEKLY_DATA!$A:$H,2,0),0)</f>
        <v>0</v>
      </c>
      <c r="R287" s="8">
        <f>IFERROR(VLOOKUP(VALUE(A287),WEEKLY_DATA!$A:$H,3,0),0)</f>
        <v>0</v>
      </c>
      <c r="S287" s="8">
        <f>IFERROR(VLOOKUP(VALUE(A287),WEEKLY_DATA!$A:$H,4,0),0)</f>
        <v>0</v>
      </c>
      <c r="T287" s="51">
        <f>IFERROR(VLOOKUP(VALUE(A287),WEEKLY_DATA!$A:$H,5,0),0)</f>
        <v>0</v>
      </c>
      <c r="U287" s="51">
        <f>IFERROR(VLOOKUP(VALUE(A287),WEEKLY_DATA!$A:$H,6,0),0)</f>
        <v>0</v>
      </c>
      <c r="V287" s="51">
        <f>IFERROR(VLOOKUP(VALUE(A287),WEEKLY_DATA!$A:$H,7,0),0)</f>
        <v>0</v>
      </c>
      <c r="W287" s="9" t="str">
        <f>IFERROR(IF(OR(Q287="",Q287=0),"",IF(VLOOKUP(VALUE($A287),WEEKLY_DATA!$A:$H,6,0)=0,"No Sales",Q287/(VLOOKUP(VALUE($A287),WEEKLY_DATA!$A:$H,6,0)/13))),"")</f>
        <v/>
      </c>
      <c r="X287" s="10">
        <f>IFERROR(VLOOKUP(VALUE(A287),WEEKLY_DATA!$A:$H,8,0),0)</f>
        <v>0</v>
      </c>
      <c r="Y287" s="13" t="str">
        <f t="shared" si="8"/>
        <v>—</v>
      </c>
      <c r="Z287" s="11"/>
      <c r="AA287" s="11"/>
      <c r="AB287" s="11"/>
      <c r="AC287" s="11"/>
      <c r="AD287" s="11"/>
      <c r="AE287" s="11"/>
      <c r="AF287" s="61"/>
      <c r="AG287" s="61"/>
      <c r="AH287" s="62"/>
      <c r="AI287" s="62"/>
      <c r="AJ287" s="61"/>
      <c r="AK287" s="61"/>
      <c r="AL287" s="61"/>
      <c r="AM287" s="58"/>
      <c r="AN287" s="58"/>
      <c r="AO287" s="58"/>
      <c r="AP287" s="58"/>
      <c r="AQ287" s="58"/>
      <c r="AR287" s="58"/>
      <c r="AS287" s="91"/>
      <c r="AT287" s="93"/>
      <c r="AU287" s="93"/>
      <c r="AV287" s="93"/>
      <c r="AW287" s="93"/>
    </row>
    <row r="288" spans="1:49" x14ac:dyDescent="0.25">
      <c r="A288" s="59"/>
      <c r="B288" s="12"/>
      <c r="C288" s="12"/>
      <c r="D288" s="60"/>
      <c r="E288" s="6"/>
      <c r="F288" s="6"/>
      <c r="G288" s="12"/>
      <c r="H288" s="12"/>
      <c r="I288" s="12" t="str" cm="2">
        <f t="array" ref="I288">IFERROR(INDEX(BrandList!$B$2:$B$200,MATCH(TRUE,ISNUMBER(SEARCH(BrandList!$B$2:$B$200,G288)),0)),"")</f>
        <v/>
      </c>
      <c r="J288" s="12"/>
      <c r="K288" s="12"/>
      <c r="L288" s="60"/>
      <c r="M288" s="60"/>
      <c r="N288" s="60"/>
      <c r="O288" s="60"/>
      <c r="P288" s="7" t="str">
        <f t="shared" si="9"/>
        <v/>
      </c>
      <c r="Q288" s="8">
        <f>IFERROR(VLOOKUP(VALUE(A288),WEEKLY_DATA!$A:$H,2,0),0)</f>
        <v>0</v>
      </c>
      <c r="R288" s="8">
        <f>IFERROR(VLOOKUP(VALUE(A288),WEEKLY_DATA!$A:$H,3,0),0)</f>
        <v>0</v>
      </c>
      <c r="S288" s="8">
        <f>IFERROR(VLOOKUP(VALUE(A288),WEEKLY_DATA!$A:$H,4,0),0)</f>
        <v>0</v>
      </c>
      <c r="T288" s="51">
        <f>IFERROR(VLOOKUP(VALUE(A288),WEEKLY_DATA!$A:$H,5,0),0)</f>
        <v>0</v>
      </c>
      <c r="U288" s="51">
        <f>IFERROR(VLOOKUP(VALUE(A288),WEEKLY_DATA!$A:$H,6,0),0)</f>
        <v>0</v>
      </c>
      <c r="V288" s="51">
        <f>IFERROR(VLOOKUP(VALUE(A288),WEEKLY_DATA!$A:$H,7,0),0)</f>
        <v>0</v>
      </c>
      <c r="W288" s="9" t="str">
        <f>IFERROR(IF(OR(Q288="",Q288=0),"",IF(VLOOKUP(VALUE($A288),WEEKLY_DATA!$A:$H,6,0)=0,"No Sales",Q288/(VLOOKUP(VALUE($A288),WEEKLY_DATA!$A:$H,6,0)/13))),"")</f>
        <v/>
      </c>
      <c r="X288" s="10">
        <f>IFERROR(VLOOKUP(VALUE(A288),WEEKLY_DATA!$A:$H,8,0),0)</f>
        <v>0</v>
      </c>
      <c r="Y288" s="13" t="str">
        <f t="shared" si="8"/>
        <v>—</v>
      </c>
      <c r="Z288" s="11"/>
      <c r="AA288" s="11"/>
      <c r="AB288" s="11"/>
      <c r="AC288" s="11"/>
      <c r="AD288" s="11"/>
      <c r="AE288" s="11"/>
      <c r="AF288" s="61"/>
      <c r="AG288" s="61"/>
      <c r="AH288" s="62"/>
      <c r="AI288" s="62"/>
      <c r="AJ288" s="61"/>
      <c r="AK288" s="61"/>
      <c r="AL288" s="61"/>
      <c r="AM288" s="58"/>
      <c r="AN288" s="58"/>
      <c r="AO288" s="58"/>
      <c r="AP288" s="58"/>
      <c r="AQ288" s="58"/>
      <c r="AR288" s="58"/>
      <c r="AS288" s="91"/>
      <c r="AT288" s="93"/>
      <c r="AU288" s="93"/>
      <c r="AV288" s="93"/>
      <c r="AW288" s="93"/>
    </row>
    <row r="289" spans="1:49" x14ac:dyDescent="0.25">
      <c r="A289" s="59"/>
      <c r="B289" s="12"/>
      <c r="C289" s="12"/>
      <c r="D289" s="60"/>
      <c r="E289" s="6"/>
      <c r="F289" s="6"/>
      <c r="G289" s="12"/>
      <c r="H289" s="12"/>
      <c r="I289" s="12" t="str" cm="2">
        <f t="array" ref="I289">IFERROR(INDEX(BrandList!$B$2:$B$200,MATCH(TRUE,ISNUMBER(SEARCH(BrandList!$B$2:$B$200,G289)),0)),"")</f>
        <v/>
      </c>
      <c r="J289" s="12"/>
      <c r="K289" s="12"/>
      <c r="L289" s="60"/>
      <c r="M289" s="60"/>
      <c r="N289" s="60"/>
      <c r="O289" s="60"/>
      <c r="P289" s="7" t="str">
        <f t="shared" si="9"/>
        <v/>
      </c>
      <c r="Q289" s="8">
        <f>IFERROR(VLOOKUP(VALUE(A289),WEEKLY_DATA!$A:$H,2,0),0)</f>
        <v>0</v>
      </c>
      <c r="R289" s="8">
        <f>IFERROR(VLOOKUP(VALUE(A289),WEEKLY_DATA!$A:$H,3,0),0)</f>
        <v>0</v>
      </c>
      <c r="S289" s="8">
        <f>IFERROR(VLOOKUP(VALUE(A289),WEEKLY_DATA!$A:$H,4,0),0)</f>
        <v>0</v>
      </c>
      <c r="T289" s="51">
        <f>IFERROR(VLOOKUP(VALUE(A289),WEEKLY_DATA!$A:$H,5,0),0)</f>
        <v>0</v>
      </c>
      <c r="U289" s="51">
        <f>IFERROR(VLOOKUP(VALUE(A289),WEEKLY_DATA!$A:$H,6,0),0)</f>
        <v>0</v>
      </c>
      <c r="V289" s="51">
        <f>IFERROR(VLOOKUP(VALUE(A289),WEEKLY_DATA!$A:$H,7,0),0)</f>
        <v>0</v>
      </c>
      <c r="W289" s="9" t="str">
        <f>IFERROR(IF(OR(Q289="",Q289=0),"",IF(VLOOKUP(VALUE($A289),WEEKLY_DATA!$A:$H,6,0)=0,"No Sales",Q289/(VLOOKUP(VALUE($A289),WEEKLY_DATA!$A:$H,6,0)/13))),"")</f>
        <v/>
      </c>
      <c r="X289" s="10">
        <f>IFERROR(VLOOKUP(VALUE(A289),WEEKLY_DATA!$A:$H,8,0),0)</f>
        <v>0</v>
      </c>
      <c r="Y289" s="13" t="str">
        <f t="shared" si="8"/>
        <v>—</v>
      </c>
      <c r="Z289" s="11"/>
      <c r="AA289" s="11"/>
      <c r="AB289" s="11"/>
      <c r="AC289" s="11"/>
      <c r="AD289" s="11"/>
      <c r="AE289" s="11"/>
      <c r="AF289" s="61"/>
      <c r="AG289" s="61"/>
      <c r="AH289" s="62"/>
      <c r="AI289" s="62"/>
      <c r="AJ289" s="61"/>
      <c r="AK289" s="61"/>
      <c r="AL289" s="61"/>
      <c r="AM289" s="58"/>
      <c r="AN289" s="58"/>
      <c r="AO289" s="58"/>
      <c r="AP289" s="58"/>
      <c r="AQ289" s="58"/>
      <c r="AR289" s="58"/>
      <c r="AS289" s="91"/>
      <c r="AT289" s="93"/>
      <c r="AU289" s="93"/>
      <c r="AV289" s="93"/>
      <c r="AW289" s="93"/>
    </row>
    <row r="290" spans="1:49" x14ac:dyDescent="0.25">
      <c r="A290" s="59"/>
      <c r="B290" s="12"/>
      <c r="C290" s="12"/>
      <c r="D290" s="60"/>
      <c r="E290" s="6"/>
      <c r="F290" s="6"/>
      <c r="G290" s="12"/>
      <c r="H290" s="12"/>
      <c r="I290" s="12" t="str" cm="2">
        <f t="array" ref="I290">IFERROR(INDEX(BrandList!$B$2:$B$200,MATCH(TRUE,ISNUMBER(SEARCH(BrandList!$B$2:$B$200,G290)),0)),"")</f>
        <v/>
      </c>
      <c r="J290" s="12"/>
      <c r="K290" s="12"/>
      <c r="L290" s="60"/>
      <c r="M290" s="60"/>
      <c r="N290" s="60"/>
      <c r="O290" s="60"/>
      <c r="P290" s="7" t="str">
        <f t="shared" si="9"/>
        <v/>
      </c>
      <c r="Q290" s="8">
        <f>IFERROR(VLOOKUP(VALUE(A290),WEEKLY_DATA!$A:$H,2,0),0)</f>
        <v>0</v>
      </c>
      <c r="R290" s="8">
        <f>IFERROR(VLOOKUP(VALUE(A290),WEEKLY_DATA!$A:$H,3,0),0)</f>
        <v>0</v>
      </c>
      <c r="S290" s="8">
        <f>IFERROR(VLOOKUP(VALUE(A290),WEEKLY_DATA!$A:$H,4,0),0)</f>
        <v>0</v>
      </c>
      <c r="T290" s="51">
        <f>IFERROR(VLOOKUP(VALUE(A290),WEEKLY_DATA!$A:$H,5,0),0)</f>
        <v>0</v>
      </c>
      <c r="U290" s="51">
        <f>IFERROR(VLOOKUP(VALUE(A290),WEEKLY_DATA!$A:$H,6,0),0)</f>
        <v>0</v>
      </c>
      <c r="V290" s="51">
        <f>IFERROR(VLOOKUP(VALUE(A290),WEEKLY_DATA!$A:$H,7,0),0)</f>
        <v>0</v>
      </c>
      <c r="W290" s="9" t="str">
        <f>IFERROR(IF(OR(Q290="",Q290=0),"",IF(VLOOKUP(VALUE($A290),WEEKLY_DATA!$A:$H,6,0)=0,"No Sales",Q290/(VLOOKUP(VALUE($A290),WEEKLY_DATA!$A:$H,6,0)/13))),"")</f>
        <v/>
      </c>
      <c r="X290" s="10">
        <f>IFERROR(VLOOKUP(VALUE(A290),WEEKLY_DATA!$A:$H,8,0),0)</f>
        <v>0</v>
      </c>
      <c r="Y290" s="13" t="str">
        <f t="shared" si="8"/>
        <v>—</v>
      </c>
      <c r="Z290" s="11"/>
      <c r="AA290" s="11"/>
      <c r="AB290" s="11"/>
      <c r="AC290" s="11"/>
      <c r="AD290" s="11"/>
      <c r="AE290" s="11"/>
      <c r="AF290" s="61"/>
      <c r="AG290" s="61"/>
      <c r="AH290" s="62"/>
      <c r="AI290" s="62"/>
      <c r="AJ290" s="61"/>
      <c r="AK290" s="61"/>
      <c r="AL290" s="61"/>
      <c r="AM290" s="58"/>
      <c r="AN290" s="58"/>
      <c r="AO290" s="58"/>
      <c r="AP290" s="58"/>
      <c r="AQ290" s="58"/>
      <c r="AR290" s="58"/>
      <c r="AS290" s="91"/>
      <c r="AT290" s="93"/>
      <c r="AU290" s="93"/>
      <c r="AV290" s="93"/>
      <c r="AW290" s="93"/>
    </row>
    <row r="291" spans="1:49" x14ac:dyDescent="0.25">
      <c r="A291" s="59"/>
      <c r="B291" s="12"/>
      <c r="C291" s="12"/>
      <c r="D291" s="60"/>
      <c r="E291" s="6"/>
      <c r="F291" s="6"/>
      <c r="G291" s="12"/>
      <c r="H291" s="12"/>
      <c r="I291" s="12" t="str" cm="2">
        <f t="array" ref="I291">IFERROR(INDEX(BrandList!$B$2:$B$200,MATCH(TRUE,ISNUMBER(SEARCH(BrandList!$B$2:$B$200,G291)),0)),"")</f>
        <v/>
      </c>
      <c r="J291" s="12"/>
      <c r="K291" s="12"/>
      <c r="L291" s="60"/>
      <c r="M291" s="60"/>
      <c r="N291" s="60"/>
      <c r="O291" s="60"/>
      <c r="P291" s="7" t="str">
        <f t="shared" si="9"/>
        <v/>
      </c>
      <c r="Q291" s="8">
        <f>IFERROR(VLOOKUP(VALUE(A291),WEEKLY_DATA!$A:$H,2,0),0)</f>
        <v>0</v>
      </c>
      <c r="R291" s="8">
        <f>IFERROR(VLOOKUP(VALUE(A291),WEEKLY_DATA!$A:$H,3,0),0)</f>
        <v>0</v>
      </c>
      <c r="S291" s="8">
        <f>IFERROR(VLOOKUP(VALUE(A291),WEEKLY_DATA!$A:$H,4,0),0)</f>
        <v>0</v>
      </c>
      <c r="T291" s="51">
        <f>IFERROR(VLOOKUP(VALUE(A291),WEEKLY_DATA!$A:$H,5,0),0)</f>
        <v>0</v>
      </c>
      <c r="U291" s="51">
        <f>IFERROR(VLOOKUP(VALUE(A291),WEEKLY_DATA!$A:$H,6,0),0)</f>
        <v>0</v>
      </c>
      <c r="V291" s="51">
        <f>IFERROR(VLOOKUP(VALUE(A291),WEEKLY_DATA!$A:$H,7,0),0)</f>
        <v>0</v>
      </c>
      <c r="W291" s="9" t="str">
        <f>IFERROR(IF(OR(Q291="",Q291=0),"",IF(VLOOKUP(VALUE($A291),WEEKLY_DATA!$A:$H,6,0)=0,"No Sales",Q291/(VLOOKUP(VALUE($A291),WEEKLY_DATA!$A:$H,6,0)/13))),"")</f>
        <v/>
      </c>
      <c r="X291" s="10">
        <f>IFERROR(VLOOKUP(VALUE(A291),WEEKLY_DATA!$A:$H,8,0),0)</f>
        <v>0</v>
      </c>
      <c r="Y291" s="13" t="str">
        <f t="shared" si="8"/>
        <v>—</v>
      </c>
      <c r="Z291" s="11"/>
      <c r="AA291" s="11"/>
      <c r="AB291" s="11"/>
      <c r="AC291" s="11"/>
      <c r="AD291" s="11"/>
      <c r="AE291" s="11"/>
      <c r="AF291" s="61"/>
      <c r="AG291" s="61"/>
      <c r="AH291" s="62"/>
      <c r="AI291" s="62"/>
      <c r="AJ291" s="61"/>
      <c r="AK291" s="61"/>
      <c r="AL291" s="61"/>
      <c r="AM291" s="58"/>
      <c r="AN291" s="58"/>
      <c r="AO291" s="58"/>
      <c r="AP291" s="58"/>
      <c r="AQ291" s="58"/>
      <c r="AR291" s="58"/>
      <c r="AS291" s="91"/>
      <c r="AT291" s="93"/>
      <c r="AU291" s="93"/>
      <c r="AV291" s="93"/>
      <c r="AW291" s="93"/>
    </row>
    <row r="292" spans="1:49" x14ac:dyDescent="0.25">
      <c r="A292" s="59"/>
      <c r="B292" s="12"/>
      <c r="C292" s="12"/>
      <c r="D292" s="60"/>
      <c r="E292" s="6"/>
      <c r="F292" s="6"/>
      <c r="G292" s="12"/>
      <c r="H292" s="12"/>
      <c r="I292" s="12" t="str" cm="2">
        <f t="array" ref="I292">IFERROR(INDEX(BrandList!$B$2:$B$200,MATCH(TRUE,ISNUMBER(SEARCH(BrandList!$B$2:$B$200,G292)),0)),"")</f>
        <v/>
      </c>
      <c r="J292" s="12"/>
      <c r="K292" s="12"/>
      <c r="L292" s="60"/>
      <c r="M292" s="60"/>
      <c r="N292" s="60"/>
      <c r="O292" s="60"/>
      <c r="P292" s="7" t="str">
        <f t="shared" si="9"/>
        <v/>
      </c>
      <c r="Q292" s="8">
        <f>IFERROR(VLOOKUP(VALUE(A292),WEEKLY_DATA!$A:$H,2,0),0)</f>
        <v>0</v>
      </c>
      <c r="R292" s="8">
        <f>IFERROR(VLOOKUP(VALUE(A292),WEEKLY_DATA!$A:$H,3,0),0)</f>
        <v>0</v>
      </c>
      <c r="S292" s="8">
        <f>IFERROR(VLOOKUP(VALUE(A292),WEEKLY_DATA!$A:$H,4,0),0)</f>
        <v>0</v>
      </c>
      <c r="T292" s="51">
        <f>IFERROR(VLOOKUP(VALUE(A292),WEEKLY_DATA!$A:$H,5,0),0)</f>
        <v>0</v>
      </c>
      <c r="U292" s="51">
        <f>IFERROR(VLOOKUP(VALUE(A292),WEEKLY_DATA!$A:$H,6,0),0)</f>
        <v>0</v>
      </c>
      <c r="V292" s="51">
        <f>IFERROR(VLOOKUP(VALUE(A292),WEEKLY_DATA!$A:$H,7,0),0)</f>
        <v>0</v>
      </c>
      <c r="W292" s="9" t="str">
        <f>IFERROR(IF(OR(Q292="",Q292=0),"",IF(VLOOKUP(VALUE($A292),WEEKLY_DATA!$A:$H,6,0)=0,"No Sales",Q292/(VLOOKUP(VALUE($A292),WEEKLY_DATA!$A:$H,6,0)/13))),"")</f>
        <v/>
      </c>
      <c r="X292" s="10">
        <f>IFERROR(VLOOKUP(VALUE(A292),WEEKLY_DATA!$A:$H,8,0),0)</f>
        <v>0</v>
      </c>
      <c r="Y292" s="13" t="str">
        <f t="shared" si="8"/>
        <v>—</v>
      </c>
      <c r="Z292" s="11"/>
      <c r="AA292" s="11"/>
      <c r="AB292" s="11"/>
      <c r="AC292" s="11"/>
      <c r="AD292" s="11"/>
      <c r="AE292" s="11"/>
      <c r="AF292" s="61"/>
      <c r="AG292" s="61"/>
      <c r="AH292" s="62"/>
      <c r="AI292" s="62"/>
      <c r="AJ292" s="61"/>
      <c r="AK292" s="61"/>
      <c r="AL292" s="61"/>
      <c r="AM292" s="58"/>
      <c r="AN292" s="58"/>
      <c r="AO292" s="58"/>
      <c r="AP292" s="58"/>
      <c r="AQ292" s="58"/>
      <c r="AR292" s="58"/>
      <c r="AS292" s="91"/>
      <c r="AT292" s="93"/>
      <c r="AU292" s="93"/>
      <c r="AV292" s="93"/>
      <c r="AW292" s="93"/>
    </row>
    <row r="293" spans="1:49" x14ac:dyDescent="0.25">
      <c r="A293" s="59"/>
      <c r="B293" s="12"/>
      <c r="C293" s="12"/>
      <c r="D293" s="60"/>
      <c r="E293" s="6"/>
      <c r="F293" s="6"/>
      <c r="G293" s="12"/>
      <c r="H293" s="12"/>
      <c r="I293" s="12" t="str" cm="2">
        <f t="array" ref="I293">IFERROR(INDEX(BrandList!$B$2:$B$200,MATCH(TRUE,ISNUMBER(SEARCH(BrandList!$B$2:$B$200,G293)),0)),"")</f>
        <v/>
      </c>
      <c r="J293" s="12"/>
      <c r="K293" s="12"/>
      <c r="L293" s="60"/>
      <c r="M293" s="60"/>
      <c r="N293" s="60"/>
      <c r="O293" s="60"/>
      <c r="P293" s="7" t="str">
        <f t="shared" si="9"/>
        <v/>
      </c>
      <c r="Q293" s="8">
        <f>IFERROR(VLOOKUP(VALUE(A293),WEEKLY_DATA!$A:$H,2,0),0)</f>
        <v>0</v>
      </c>
      <c r="R293" s="8">
        <f>IFERROR(VLOOKUP(VALUE(A293),WEEKLY_DATA!$A:$H,3,0),0)</f>
        <v>0</v>
      </c>
      <c r="S293" s="8">
        <f>IFERROR(VLOOKUP(VALUE(A293),WEEKLY_DATA!$A:$H,4,0),0)</f>
        <v>0</v>
      </c>
      <c r="T293" s="51">
        <f>IFERROR(VLOOKUP(VALUE(A293),WEEKLY_DATA!$A:$H,5,0),0)</f>
        <v>0</v>
      </c>
      <c r="U293" s="51">
        <f>IFERROR(VLOOKUP(VALUE(A293),WEEKLY_DATA!$A:$H,6,0),0)</f>
        <v>0</v>
      </c>
      <c r="V293" s="51">
        <f>IFERROR(VLOOKUP(VALUE(A293),WEEKLY_DATA!$A:$H,7,0),0)</f>
        <v>0</v>
      </c>
      <c r="W293" s="9" t="str">
        <f>IFERROR(IF(OR(Q293="",Q293=0),"",IF(VLOOKUP(VALUE($A293),WEEKLY_DATA!$A:$H,6,0)=0,"No Sales",Q293/(VLOOKUP(VALUE($A293),WEEKLY_DATA!$A:$H,6,0)/13))),"")</f>
        <v/>
      </c>
      <c r="X293" s="10">
        <f>IFERROR(VLOOKUP(VALUE(A293),WEEKLY_DATA!$A:$H,8,0),0)</f>
        <v>0</v>
      </c>
      <c r="Y293" s="13" t="str">
        <f t="shared" si="8"/>
        <v>—</v>
      </c>
      <c r="Z293" s="11"/>
      <c r="AA293" s="11"/>
      <c r="AB293" s="11"/>
      <c r="AC293" s="11"/>
      <c r="AD293" s="11"/>
      <c r="AE293" s="11"/>
      <c r="AF293" s="61"/>
      <c r="AG293" s="61"/>
      <c r="AH293" s="62"/>
      <c r="AI293" s="62"/>
      <c r="AJ293" s="61"/>
      <c r="AK293" s="61"/>
      <c r="AL293" s="61"/>
      <c r="AM293" s="58"/>
      <c r="AN293" s="58"/>
      <c r="AO293" s="58"/>
      <c r="AP293" s="58"/>
      <c r="AQ293" s="58"/>
      <c r="AR293" s="58"/>
      <c r="AS293" s="91"/>
      <c r="AT293" s="93"/>
      <c r="AU293" s="93"/>
      <c r="AV293" s="93"/>
      <c r="AW293" s="93"/>
    </row>
    <row r="294" spans="1:49" x14ac:dyDescent="0.25">
      <c r="A294" s="59"/>
      <c r="B294" s="12"/>
      <c r="C294" s="12"/>
      <c r="D294" s="60"/>
      <c r="E294" s="6"/>
      <c r="F294" s="6"/>
      <c r="G294" s="12"/>
      <c r="H294" s="12"/>
      <c r="I294" s="12" t="str" cm="2">
        <f t="array" ref="I294">IFERROR(INDEX(BrandList!$B$2:$B$200,MATCH(TRUE,ISNUMBER(SEARCH(BrandList!$B$2:$B$200,G294)),0)),"")</f>
        <v/>
      </c>
      <c r="J294" s="12"/>
      <c r="K294" s="12"/>
      <c r="L294" s="60"/>
      <c r="M294" s="60"/>
      <c r="N294" s="60"/>
      <c r="O294" s="60"/>
      <c r="P294" s="7" t="str">
        <f t="shared" si="9"/>
        <v/>
      </c>
      <c r="Q294" s="8">
        <f>IFERROR(VLOOKUP(VALUE(A294),WEEKLY_DATA!$A:$H,2,0),0)</f>
        <v>0</v>
      </c>
      <c r="R294" s="8">
        <f>IFERROR(VLOOKUP(VALUE(A294),WEEKLY_DATA!$A:$H,3,0),0)</f>
        <v>0</v>
      </c>
      <c r="S294" s="8">
        <f>IFERROR(VLOOKUP(VALUE(A294),WEEKLY_DATA!$A:$H,4,0),0)</f>
        <v>0</v>
      </c>
      <c r="T294" s="51">
        <f>IFERROR(VLOOKUP(VALUE(A294),WEEKLY_DATA!$A:$H,5,0),0)</f>
        <v>0</v>
      </c>
      <c r="U294" s="51">
        <f>IFERROR(VLOOKUP(VALUE(A294),WEEKLY_DATA!$A:$H,6,0),0)</f>
        <v>0</v>
      </c>
      <c r="V294" s="51">
        <f>IFERROR(VLOOKUP(VALUE(A294),WEEKLY_DATA!$A:$H,7,0),0)</f>
        <v>0</v>
      </c>
      <c r="W294" s="9" t="str">
        <f>IFERROR(IF(OR(Q294="",Q294=0),"",IF(VLOOKUP(VALUE($A294),WEEKLY_DATA!$A:$H,6,0)=0,"No Sales",Q294/(VLOOKUP(VALUE($A294),WEEKLY_DATA!$A:$H,6,0)/13))),"")</f>
        <v/>
      </c>
      <c r="X294" s="10">
        <f>IFERROR(VLOOKUP(VALUE(A294),WEEKLY_DATA!$A:$H,8,0),0)</f>
        <v>0</v>
      </c>
      <c r="Y294" s="13" t="str">
        <f t="shared" si="8"/>
        <v>—</v>
      </c>
      <c r="Z294" s="11"/>
      <c r="AA294" s="11"/>
      <c r="AB294" s="11"/>
      <c r="AC294" s="11"/>
      <c r="AD294" s="11"/>
      <c r="AE294" s="11"/>
      <c r="AF294" s="61"/>
      <c r="AG294" s="61"/>
      <c r="AH294" s="62"/>
      <c r="AI294" s="62"/>
      <c r="AJ294" s="61"/>
      <c r="AK294" s="61"/>
      <c r="AL294" s="61"/>
      <c r="AM294" s="58"/>
      <c r="AN294" s="58"/>
      <c r="AO294" s="58"/>
      <c r="AP294" s="58"/>
      <c r="AQ294" s="58"/>
      <c r="AR294" s="58"/>
      <c r="AS294" s="91"/>
      <c r="AT294" s="93"/>
      <c r="AU294" s="93"/>
      <c r="AV294" s="93"/>
      <c r="AW294" s="93"/>
    </row>
    <row r="295" spans="1:49" x14ac:dyDescent="0.25">
      <c r="A295" s="59"/>
      <c r="B295" s="12"/>
      <c r="C295" s="12"/>
      <c r="D295" s="60"/>
      <c r="E295" s="6"/>
      <c r="F295" s="6"/>
      <c r="G295" s="12"/>
      <c r="H295" s="12"/>
      <c r="I295" s="12" t="str" cm="2">
        <f t="array" ref="I295">IFERROR(INDEX(BrandList!$B$2:$B$200,MATCH(TRUE,ISNUMBER(SEARCH(BrandList!$B$2:$B$200,G295)),0)),"")</f>
        <v/>
      </c>
      <c r="J295" s="12"/>
      <c r="K295" s="12"/>
      <c r="L295" s="60"/>
      <c r="M295" s="60"/>
      <c r="N295" s="60"/>
      <c r="O295" s="60"/>
      <c r="P295" s="7" t="str">
        <f t="shared" si="9"/>
        <v/>
      </c>
      <c r="Q295" s="8">
        <f>IFERROR(VLOOKUP(VALUE(A295),WEEKLY_DATA!$A:$H,2,0),0)</f>
        <v>0</v>
      </c>
      <c r="R295" s="8">
        <f>IFERROR(VLOOKUP(VALUE(A295),WEEKLY_DATA!$A:$H,3,0),0)</f>
        <v>0</v>
      </c>
      <c r="S295" s="8">
        <f>IFERROR(VLOOKUP(VALUE(A295),WEEKLY_DATA!$A:$H,4,0),0)</f>
        <v>0</v>
      </c>
      <c r="T295" s="51">
        <f>IFERROR(VLOOKUP(VALUE(A295),WEEKLY_DATA!$A:$H,5,0),0)</f>
        <v>0</v>
      </c>
      <c r="U295" s="51">
        <f>IFERROR(VLOOKUP(VALUE(A295),WEEKLY_DATA!$A:$H,6,0),0)</f>
        <v>0</v>
      </c>
      <c r="V295" s="51">
        <f>IFERROR(VLOOKUP(VALUE(A295),WEEKLY_DATA!$A:$H,7,0),0)</f>
        <v>0</v>
      </c>
      <c r="W295" s="9" t="str">
        <f>IFERROR(IF(OR(Q295="",Q295=0),"",IF(VLOOKUP(VALUE($A295),WEEKLY_DATA!$A:$H,6,0)=0,"No Sales",Q295/(VLOOKUP(VALUE($A295),WEEKLY_DATA!$A:$H,6,0)/13))),"")</f>
        <v/>
      </c>
      <c r="X295" s="10">
        <f>IFERROR(VLOOKUP(VALUE(A295),WEEKLY_DATA!$A:$H,8,0),0)</f>
        <v>0</v>
      </c>
      <c r="Y295" s="13" t="str">
        <f t="shared" si="8"/>
        <v>—</v>
      </c>
      <c r="Z295" s="11"/>
      <c r="AA295" s="11"/>
      <c r="AB295" s="11"/>
      <c r="AC295" s="11"/>
      <c r="AD295" s="11"/>
      <c r="AE295" s="11"/>
      <c r="AF295" s="61"/>
      <c r="AG295" s="61"/>
      <c r="AH295" s="62"/>
      <c r="AI295" s="62"/>
      <c r="AJ295" s="61"/>
      <c r="AK295" s="61"/>
      <c r="AL295" s="61"/>
      <c r="AM295" s="58"/>
      <c r="AN295" s="58"/>
      <c r="AO295" s="58"/>
      <c r="AP295" s="58"/>
      <c r="AQ295" s="58"/>
      <c r="AR295" s="58"/>
      <c r="AS295" s="91"/>
      <c r="AT295" s="93"/>
      <c r="AU295" s="93"/>
      <c r="AV295" s="93"/>
      <c r="AW295" s="93"/>
    </row>
    <row r="296" spans="1:49" x14ac:dyDescent="0.25">
      <c r="A296" s="59"/>
      <c r="B296" s="12"/>
      <c r="C296" s="12"/>
      <c r="D296" s="60"/>
      <c r="E296" s="6"/>
      <c r="F296" s="6"/>
      <c r="G296" s="12"/>
      <c r="H296" s="12"/>
      <c r="I296" s="12" t="str" cm="2">
        <f t="array" ref="I296">IFERROR(INDEX(BrandList!$B$2:$B$200,MATCH(TRUE,ISNUMBER(SEARCH(BrandList!$B$2:$B$200,G296)),0)),"")</f>
        <v/>
      </c>
      <c r="J296" s="12"/>
      <c r="K296" s="12"/>
      <c r="L296" s="60"/>
      <c r="M296" s="60"/>
      <c r="N296" s="60"/>
      <c r="O296" s="60"/>
      <c r="P296" s="7" t="str">
        <f t="shared" si="9"/>
        <v/>
      </c>
      <c r="Q296" s="8">
        <f>IFERROR(VLOOKUP(VALUE(A296),WEEKLY_DATA!$A:$H,2,0),0)</f>
        <v>0</v>
      </c>
      <c r="R296" s="8">
        <f>IFERROR(VLOOKUP(VALUE(A296),WEEKLY_DATA!$A:$H,3,0),0)</f>
        <v>0</v>
      </c>
      <c r="S296" s="8">
        <f>IFERROR(VLOOKUP(VALUE(A296),WEEKLY_DATA!$A:$H,4,0),0)</f>
        <v>0</v>
      </c>
      <c r="T296" s="51">
        <f>IFERROR(VLOOKUP(VALUE(A296),WEEKLY_DATA!$A:$H,5,0),0)</f>
        <v>0</v>
      </c>
      <c r="U296" s="51">
        <f>IFERROR(VLOOKUP(VALUE(A296),WEEKLY_DATA!$A:$H,6,0),0)</f>
        <v>0</v>
      </c>
      <c r="V296" s="51">
        <f>IFERROR(VLOOKUP(VALUE(A296),WEEKLY_DATA!$A:$H,7,0),0)</f>
        <v>0</v>
      </c>
      <c r="W296" s="9" t="str">
        <f>IFERROR(IF(OR(Q296="",Q296=0),"",IF(VLOOKUP(VALUE($A296),WEEKLY_DATA!$A:$H,6,0)=0,"No Sales",Q296/(VLOOKUP(VALUE($A296),WEEKLY_DATA!$A:$H,6,0)/13))),"")</f>
        <v/>
      </c>
      <c r="X296" s="10">
        <f>IFERROR(VLOOKUP(VALUE(A296),WEEKLY_DATA!$A:$H,8,0),0)</f>
        <v>0</v>
      </c>
      <c r="Y296" s="13" t="str">
        <f t="shared" si="8"/>
        <v>—</v>
      </c>
      <c r="Z296" s="11"/>
      <c r="AA296" s="11"/>
      <c r="AB296" s="11"/>
      <c r="AC296" s="11"/>
      <c r="AD296" s="11"/>
      <c r="AE296" s="11"/>
      <c r="AF296" s="61"/>
      <c r="AG296" s="61"/>
      <c r="AH296" s="62"/>
      <c r="AI296" s="62"/>
      <c r="AJ296" s="61"/>
      <c r="AK296" s="61"/>
      <c r="AL296" s="61"/>
      <c r="AM296" s="58"/>
      <c r="AN296" s="58"/>
      <c r="AO296" s="58"/>
      <c r="AP296" s="58"/>
      <c r="AQ296" s="58"/>
      <c r="AR296" s="58"/>
      <c r="AS296" s="91"/>
      <c r="AT296" s="93"/>
      <c r="AU296" s="93"/>
      <c r="AV296" s="93"/>
      <c r="AW296" s="93"/>
    </row>
    <row r="297" spans="1:49" x14ac:dyDescent="0.25">
      <c r="A297" s="59"/>
      <c r="B297" s="12"/>
      <c r="C297" s="12"/>
      <c r="D297" s="60"/>
      <c r="E297" s="6"/>
      <c r="F297" s="6"/>
      <c r="G297" s="12"/>
      <c r="H297" s="12"/>
      <c r="I297" s="12" t="str" cm="2">
        <f t="array" ref="I297">IFERROR(INDEX(BrandList!$B$2:$B$200,MATCH(TRUE,ISNUMBER(SEARCH(BrandList!$B$2:$B$200,G297)),0)),"")</f>
        <v/>
      </c>
      <c r="J297" s="12"/>
      <c r="K297" s="12"/>
      <c r="L297" s="60"/>
      <c r="M297" s="60"/>
      <c r="N297" s="60"/>
      <c r="O297" s="60"/>
      <c r="P297" s="7" t="str">
        <f t="shared" si="9"/>
        <v/>
      </c>
      <c r="Q297" s="8">
        <f>IFERROR(VLOOKUP(VALUE(A297),WEEKLY_DATA!$A:$H,2,0),0)</f>
        <v>0</v>
      </c>
      <c r="R297" s="8">
        <f>IFERROR(VLOOKUP(VALUE(A297),WEEKLY_DATA!$A:$H,3,0),0)</f>
        <v>0</v>
      </c>
      <c r="S297" s="8">
        <f>IFERROR(VLOOKUP(VALUE(A297),WEEKLY_DATA!$A:$H,4,0),0)</f>
        <v>0</v>
      </c>
      <c r="T297" s="51">
        <f>IFERROR(VLOOKUP(VALUE(A297),WEEKLY_DATA!$A:$H,5,0),0)</f>
        <v>0</v>
      </c>
      <c r="U297" s="51">
        <f>IFERROR(VLOOKUP(VALUE(A297),WEEKLY_DATA!$A:$H,6,0),0)</f>
        <v>0</v>
      </c>
      <c r="V297" s="51">
        <f>IFERROR(VLOOKUP(VALUE(A297),WEEKLY_DATA!$A:$H,7,0),0)</f>
        <v>0</v>
      </c>
      <c r="W297" s="9" t="str">
        <f>IFERROR(IF(OR(Q297="",Q297=0),"",IF(VLOOKUP(VALUE($A297),WEEKLY_DATA!$A:$H,6,0)=0,"No Sales",Q297/(VLOOKUP(VALUE($A297),WEEKLY_DATA!$A:$H,6,0)/13))),"")</f>
        <v/>
      </c>
      <c r="X297" s="10">
        <f>IFERROR(VLOOKUP(VALUE(A297),WEEKLY_DATA!$A:$H,8,0),0)</f>
        <v>0</v>
      </c>
      <c r="Y297" s="13" t="str">
        <f t="shared" si="8"/>
        <v>—</v>
      </c>
      <c r="Z297" s="11"/>
      <c r="AA297" s="11"/>
      <c r="AB297" s="11"/>
      <c r="AC297" s="11"/>
      <c r="AD297" s="11"/>
      <c r="AE297" s="11"/>
      <c r="AF297" s="61"/>
      <c r="AG297" s="61"/>
      <c r="AH297" s="62"/>
      <c r="AI297" s="62"/>
      <c r="AJ297" s="61"/>
      <c r="AK297" s="61"/>
      <c r="AL297" s="61"/>
      <c r="AM297" s="58"/>
      <c r="AN297" s="58"/>
      <c r="AO297" s="58"/>
      <c r="AP297" s="58"/>
      <c r="AQ297" s="58"/>
      <c r="AR297" s="58"/>
      <c r="AS297" s="91"/>
      <c r="AT297" s="93"/>
      <c r="AU297" s="93"/>
      <c r="AV297" s="93"/>
      <c r="AW297" s="93"/>
    </row>
    <row r="298" spans="1:49" x14ac:dyDescent="0.25">
      <c r="A298" s="59"/>
      <c r="B298" s="12"/>
      <c r="C298" s="12"/>
      <c r="D298" s="60"/>
      <c r="E298" s="6"/>
      <c r="F298" s="6"/>
      <c r="G298" s="12"/>
      <c r="H298" s="12"/>
      <c r="I298" s="12" t="str" cm="2">
        <f t="array" ref="I298">IFERROR(INDEX(BrandList!$B$2:$B$200,MATCH(TRUE,ISNUMBER(SEARCH(BrandList!$B$2:$B$200,G298)),0)),"")</f>
        <v/>
      </c>
      <c r="J298" s="12"/>
      <c r="K298" s="12"/>
      <c r="L298" s="60"/>
      <c r="M298" s="60"/>
      <c r="N298" s="60"/>
      <c r="O298" s="60"/>
      <c r="P298" s="7" t="str">
        <f t="shared" si="9"/>
        <v/>
      </c>
      <c r="Q298" s="8">
        <f>IFERROR(VLOOKUP(VALUE(A298),WEEKLY_DATA!$A:$H,2,0),0)</f>
        <v>0</v>
      </c>
      <c r="R298" s="8">
        <f>IFERROR(VLOOKUP(VALUE(A298),WEEKLY_DATA!$A:$H,3,0),0)</f>
        <v>0</v>
      </c>
      <c r="S298" s="8">
        <f>IFERROR(VLOOKUP(VALUE(A298),WEEKLY_DATA!$A:$H,4,0),0)</f>
        <v>0</v>
      </c>
      <c r="T298" s="51">
        <f>IFERROR(VLOOKUP(VALUE(A298),WEEKLY_DATA!$A:$H,5,0),0)</f>
        <v>0</v>
      </c>
      <c r="U298" s="51">
        <f>IFERROR(VLOOKUP(VALUE(A298),WEEKLY_DATA!$A:$H,6,0),0)</f>
        <v>0</v>
      </c>
      <c r="V298" s="51">
        <f>IFERROR(VLOOKUP(VALUE(A298),WEEKLY_DATA!$A:$H,7,0),0)</f>
        <v>0</v>
      </c>
      <c r="W298" s="9" t="str">
        <f>IFERROR(IF(OR(Q298="",Q298=0),"",IF(VLOOKUP(VALUE($A298),WEEKLY_DATA!$A:$H,6,0)=0,"No Sales",Q298/(VLOOKUP(VALUE($A298),WEEKLY_DATA!$A:$H,6,0)/13))),"")</f>
        <v/>
      </c>
      <c r="X298" s="10">
        <f>IFERROR(VLOOKUP(VALUE(A298),WEEKLY_DATA!$A:$H,8,0),0)</f>
        <v>0</v>
      </c>
      <c r="Y298" s="13" t="str">
        <f t="shared" si="8"/>
        <v>—</v>
      </c>
      <c r="Z298" s="11"/>
      <c r="AA298" s="11"/>
      <c r="AB298" s="11"/>
      <c r="AC298" s="11"/>
      <c r="AD298" s="11"/>
      <c r="AE298" s="11"/>
      <c r="AF298" s="61"/>
      <c r="AG298" s="61"/>
      <c r="AH298" s="62"/>
      <c r="AI298" s="62"/>
      <c r="AJ298" s="61"/>
      <c r="AK298" s="61"/>
      <c r="AL298" s="61"/>
      <c r="AM298" s="58"/>
      <c r="AN298" s="58"/>
      <c r="AO298" s="58"/>
      <c r="AP298" s="58"/>
      <c r="AQ298" s="58"/>
      <c r="AR298" s="58"/>
      <c r="AS298" s="91"/>
      <c r="AT298" s="93"/>
      <c r="AU298" s="93"/>
      <c r="AV298" s="93"/>
      <c r="AW298" s="93"/>
    </row>
    <row r="299" spans="1:49" x14ac:dyDescent="0.25">
      <c r="A299" s="59"/>
      <c r="B299" s="12"/>
      <c r="C299" s="12"/>
      <c r="D299" s="60"/>
      <c r="E299" s="6"/>
      <c r="F299" s="6"/>
      <c r="G299" s="12"/>
      <c r="H299" s="12"/>
      <c r="I299" s="12" t="str" cm="2">
        <f t="array" ref="I299">IFERROR(INDEX(BrandList!$B$2:$B$200,MATCH(TRUE,ISNUMBER(SEARCH(BrandList!$B$2:$B$200,G299)),0)),"")</f>
        <v/>
      </c>
      <c r="J299" s="12"/>
      <c r="K299" s="12"/>
      <c r="L299" s="60"/>
      <c r="M299" s="60"/>
      <c r="N299" s="60"/>
      <c r="O299" s="60"/>
      <c r="P299" s="7" t="str">
        <f t="shared" si="9"/>
        <v/>
      </c>
      <c r="Q299" s="8">
        <f>IFERROR(VLOOKUP(VALUE(A299),WEEKLY_DATA!$A:$H,2,0),0)</f>
        <v>0</v>
      </c>
      <c r="R299" s="8">
        <f>IFERROR(VLOOKUP(VALUE(A299),WEEKLY_DATA!$A:$H,3,0),0)</f>
        <v>0</v>
      </c>
      <c r="S299" s="8">
        <f>IFERROR(VLOOKUP(VALUE(A299),WEEKLY_DATA!$A:$H,4,0),0)</f>
        <v>0</v>
      </c>
      <c r="T299" s="51">
        <f>IFERROR(VLOOKUP(VALUE(A299),WEEKLY_DATA!$A:$H,5,0),0)</f>
        <v>0</v>
      </c>
      <c r="U299" s="51">
        <f>IFERROR(VLOOKUP(VALUE(A299),WEEKLY_DATA!$A:$H,6,0),0)</f>
        <v>0</v>
      </c>
      <c r="V299" s="51">
        <f>IFERROR(VLOOKUP(VALUE(A299),WEEKLY_DATA!$A:$H,7,0),0)</f>
        <v>0</v>
      </c>
      <c r="W299" s="9" t="str">
        <f>IFERROR(IF(OR(Q299="",Q299=0),"",IF(VLOOKUP(VALUE($A299),WEEKLY_DATA!$A:$H,6,0)=0,"No Sales",Q299/(VLOOKUP(VALUE($A299),WEEKLY_DATA!$A:$H,6,0)/13))),"")</f>
        <v/>
      </c>
      <c r="X299" s="10">
        <f>IFERROR(VLOOKUP(VALUE(A299),WEEKLY_DATA!$A:$H,8,0),0)</f>
        <v>0</v>
      </c>
      <c r="Y299" s="13" t="str">
        <f t="shared" si="8"/>
        <v>—</v>
      </c>
      <c r="Z299" s="11"/>
      <c r="AA299" s="11"/>
      <c r="AB299" s="11"/>
      <c r="AC299" s="11"/>
      <c r="AD299" s="11"/>
      <c r="AE299" s="11"/>
      <c r="AF299" s="61"/>
      <c r="AG299" s="61"/>
      <c r="AH299" s="62"/>
      <c r="AI299" s="62"/>
      <c r="AJ299" s="61"/>
      <c r="AK299" s="61"/>
      <c r="AL299" s="61"/>
      <c r="AM299" s="58"/>
      <c r="AN299" s="58"/>
      <c r="AO299" s="58"/>
      <c r="AP299" s="58"/>
      <c r="AQ299" s="58"/>
      <c r="AR299" s="58"/>
      <c r="AS299" s="91"/>
      <c r="AT299" s="93"/>
      <c r="AU299" s="93"/>
      <c r="AV299" s="93"/>
      <c r="AW299" s="93"/>
    </row>
    <row r="300" spans="1:49" x14ac:dyDescent="0.25">
      <c r="A300" s="59"/>
      <c r="B300" s="12"/>
      <c r="C300" s="12"/>
      <c r="D300" s="60"/>
      <c r="E300" s="6"/>
      <c r="F300" s="6"/>
      <c r="G300" s="12"/>
      <c r="H300" s="12"/>
      <c r="I300" s="12" t="str" cm="2">
        <f t="array" ref="I300">IFERROR(INDEX(BrandList!$B$2:$B$200,MATCH(TRUE,ISNUMBER(SEARCH(BrandList!$B$2:$B$200,G300)),0)),"")</f>
        <v/>
      </c>
      <c r="J300" s="12"/>
      <c r="K300" s="12"/>
      <c r="L300" s="60"/>
      <c r="M300" s="60"/>
      <c r="N300" s="60"/>
      <c r="O300" s="60"/>
      <c r="P300" s="7" t="str">
        <f t="shared" si="9"/>
        <v/>
      </c>
      <c r="Q300" s="8">
        <f>IFERROR(VLOOKUP(VALUE(A300),WEEKLY_DATA!$A:$H,2,0),0)</f>
        <v>0</v>
      </c>
      <c r="R300" s="8">
        <f>IFERROR(VLOOKUP(VALUE(A300),WEEKLY_DATA!$A:$H,3,0),0)</f>
        <v>0</v>
      </c>
      <c r="S300" s="8">
        <f>IFERROR(VLOOKUP(VALUE(A300),WEEKLY_DATA!$A:$H,4,0),0)</f>
        <v>0</v>
      </c>
      <c r="T300" s="51">
        <f>IFERROR(VLOOKUP(VALUE(A300),WEEKLY_DATA!$A:$H,5,0),0)</f>
        <v>0</v>
      </c>
      <c r="U300" s="51">
        <f>IFERROR(VLOOKUP(VALUE(A300),WEEKLY_DATA!$A:$H,6,0),0)</f>
        <v>0</v>
      </c>
      <c r="V300" s="51">
        <f>IFERROR(VLOOKUP(VALUE(A300),WEEKLY_DATA!$A:$H,7,0),0)</f>
        <v>0</v>
      </c>
      <c r="W300" s="9" t="str">
        <f>IFERROR(IF(OR(Q300="",Q300=0),"",IF(VLOOKUP(VALUE($A300),WEEKLY_DATA!$A:$H,6,0)=0,"No Sales",Q300/(VLOOKUP(VALUE($A300),WEEKLY_DATA!$A:$H,6,0)/13))),"")</f>
        <v/>
      </c>
      <c r="X300" s="10">
        <f>IFERROR(VLOOKUP(VALUE(A300),WEEKLY_DATA!$A:$H,8,0),0)</f>
        <v>0</v>
      </c>
      <c r="Y300" s="13" t="str">
        <f t="shared" si="8"/>
        <v>—</v>
      </c>
      <c r="Z300" s="11"/>
      <c r="AA300" s="11"/>
      <c r="AB300" s="11"/>
      <c r="AC300" s="11"/>
      <c r="AD300" s="11"/>
      <c r="AE300" s="11"/>
      <c r="AF300" s="61"/>
      <c r="AG300" s="61"/>
      <c r="AH300" s="62"/>
      <c r="AI300" s="62"/>
      <c r="AJ300" s="61"/>
      <c r="AK300" s="61"/>
      <c r="AL300" s="61"/>
      <c r="AM300" s="58"/>
      <c r="AN300" s="58"/>
      <c r="AO300" s="58"/>
      <c r="AP300" s="58"/>
      <c r="AQ300" s="58"/>
      <c r="AR300" s="58"/>
      <c r="AS300" s="91"/>
      <c r="AT300" s="93"/>
      <c r="AU300" s="93"/>
      <c r="AV300" s="93"/>
      <c r="AW300" s="93"/>
    </row>
    <row r="301" spans="1:49" x14ac:dyDescent="0.25">
      <c r="A301" s="59"/>
      <c r="B301" s="12"/>
      <c r="C301" s="12"/>
      <c r="D301" s="60"/>
      <c r="E301" s="6"/>
      <c r="F301" s="6"/>
      <c r="G301" s="12"/>
      <c r="H301" s="12"/>
      <c r="I301" s="12" t="str" cm="2">
        <f t="array" ref="I301">IFERROR(INDEX(BrandList!$B$2:$B$200,MATCH(TRUE,ISNUMBER(SEARCH(BrandList!$B$2:$B$200,G301)),0)),"")</f>
        <v/>
      </c>
      <c r="J301" s="12"/>
      <c r="K301" s="12"/>
      <c r="L301" s="60"/>
      <c r="M301" s="60"/>
      <c r="N301" s="60"/>
      <c r="O301" s="60"/>
      <c r="P301" s="7" t="str">
        <f t="shared" si="9"/>
        <v/>
      </c>
      <c r="Q301" s="8">
        <f>IFERROR(VLOOKUP(VALUE(A301),WEEKLY_DATA!$A:$H,2,0),0)</f>
        <v>0</v>
      </c>
      <c r="R301" s="8">
        <f>IFERROR(VLOOKUP(VALUE(A301),WEEKLY_DATA!$A:$H,3,0),0)</f>
        <v>0</v>
      </c>
      <c r="S301" s="8">
        <f>IFERROR(VLOOKUP(VALUE(A301),WEEKLY_DATA!$A:$H,4,0),0)</f>
        <v>0</v>
      </c>
      <c r="T301" s="51">
        <f>IFERROR(VLOOKUP(VALUE(A301),WEEKLY_DATA!$A:$H,5,0),0)</f>
        <v>0</v>
      </c>
      <c r="U301" s="51">
        <f>IFERROR(VLOOKUP(VALUE(A301),WEEKLY_DATA!$A:$H,6,0),0)</f>
        <v>0</v>
      </c>
      <c r="V301" s="51">
        <f>IFERROR(VLOOKUP(VALUE(A301),WEEKLY_DATA!$A:$H,7,0),0)</f>
        <v>0</v>
      </c>
      <c r="W301" s="9" t="str">
        <f>IFERROR(IF(OR(Q301="",Q301=0),"",IF(VLOOKUP(VALUE($A301),WEEKLY_DATA!$A:$H,6,0)=0,"No Sales",Q301/(VLOOKUP(VALUE($A301),WEEKLY_DATA!$A:$H,6,0)/13))),"")</f>
        <v/>
      </c>
      <c r="X301" s="10">
        <f>IFERROR(VLOOKUP(VALUE(A301),WEEKLY_DATA!$A:$H,8,0),0)</f>
        <v>0</v>
      </c>
      <c r="Y301" s="13" t="str">
        <f t="shared" si="8"/>
        <v>—</v>
      </c>
      <c r="Z301" s="11"/>
      <c r="AA301" s="11"/>
      <c r="AB301" s="11"/>
      <c r="AC301" s="11"/>
      <c r="AD301" s="11"/>
      <c r="AE301" s="11"/>
      <c r="AF301" s="61"/>
      <c r="AG301" s="61"/>
      <c r="AH301" s="62"/>
      <c r="AI301" s="62"/>
      <c r="AJ301" s="61"/>
      <c r="AK301" s="61"/>
      <c r="AL301" s="61"/>
      <c r="AM301" s="58"/>
      <c r="AN301" s="58"/>
      <c r="AO301" s="58"/>
      <c r="AP301" s="58"/>
      <c r="AQ301" s="58"/>
      <c r="AR301" s="58"/>
      <c r="AS301" s="91"/>
      <c r="AT301" s="93"/>
      <c r="AU301" s="93"/>
      <c r="AV301" s="93"/>
      <c r="AW301" s="93"/>
    </row>
    <row r="302" spans="1:49" x14ac:dyDescent="0.25">
      <c r="A302" s="59"/>
      <c r="B302" s="12"/>
      <c r="C302" s="12"/>
      <c r="D302" s="60"/>
      <c r="E302" s="6"/>
      <c r="F302" s="6"/>
      <c r="G302" s="12"/>
      <c r="H302" s="12"/>
      <c r="I302" s="12" t="str" cm="2">
        <f t="array" ref="I302">IFERROR(INDEX(BrandList!$B$2:$B$200,MATCH(TRUE,ISNUMBER(SEARCH(BrandList!$B$2:$B$200,G302)),0)),"")</f>
        <v/>
      </c>
      <c r="J302" s="12"/>
      <c r="K302" s="12"/>
      <c r="L302" s="60"/>
      <c r="M302" s="60"/>
      <c r="N302" s="60"/>
      <c r="O302" s="60"/>
      <c r="P302" s="7" t="str">
        <f t="shared" si="9"/>
        <v/>
      </c>
      <c r="Q302" s="8">
        <f>IFERROR(VLOOKUP(VALUE(A302),WEEKLY_DATA!$A:$H,2,0),0)</f>
        <v>0</v>
      </c>
      <c r="R302" s="8">
        <f>IFERROR(VLOOKUP(VALUE(A302),WEEKLY_DATA!$A:$H,3,0),0)</f>
        <v>0</v>
      </c>
      <c r="S302" s="8">
        <f>IFERROR(VLOOKUP(VALUE(A302),WEEKLY_DATA!$A:$H,4,0),0)</f>
        <v>0</v>
      </c>
      <c r="T302" s="51">
        <f>IFERROR(VLOOKUP(VALUE(A302),WEEKLY_DATA!$A:$H,5,0),0)</f>
        <v>0</v>
      </c>
      <c r="U302" s="51">
        <f>IFERROR(VLOOKUP(VALUE(A302),WEEKLY_DATA!$A:$H,6,0),0)</f>
        <v>0</v>
      </c>
      <c r="V302" s="51">
        <f>IFERROR(VLOOKUP(VALUE(A302),WEEKLY_DATA!$A:$H,7,0),0)</f>
        <v>0</v>
      </c>
      <c r="W302" s="9" t="str">
        <f>IFERROR(IF(OR(Q302="",Q302=0),"",IF(VLOOKUP(VALUE($A302),WEEKLY_DATA!$A:$H,6,0)=0,"No Sales",Q302/(VLOOKUP(VALUE($A302),WEEKLY_DATA!$A:$H,6,0)/13))),"")</f>
        <v/>
      </c>
      <c r="X302" s="10">
        <f>IFERROR(VLOOKUP(VALUE(A302),WEEKLY_DATA!$A:$H,8,0),0)</f>
        <v>0</v>
      </c>
      <c r="Y302" s="13" t="str">
        <f t="shared" si="8"/>
        <v>—</v>
      </c>
      <c r="Z302" s="11"/>
      <c r="AA302" s="11"/>
      <c r="AB302" s="11"/>
      <c r="AC302" s="11"/>
      <c r="AD302" s="11"/>
      <c r="AE302" s="11"/>
      <c r="AF302" s="61"/>
      <c r="AG302" s="61"/>
      <c r="AH302" s="62"/>
      <c r="AI302" s="62"/>
      <c r="AJ302" s="61"/>
      <c r="AK302" s="61"/>
      <c r="AL302" s="61"/>
      <c r="AM302" s="58"/>
      <c r="AN302" s="58"/>
      <c r="AO302" s="58"/>
      <c r="AP302" s="58"/>
      <c r="AQ302" s="58"/>
      <c r="AR302" s="58"/>
      <c r="AS302" s="91"/>
      <c r="AT302" s="93"/>
      <c r="AU302" s="93"/>
      <c r="AV302" s="93"/>
      <c r="AW302" s="93"/>
    </row>
    <row r="303" spans="1:49" x14ac:dyDescent="0.25">
      <c r="A303" s="59"/>
      <c r="B303" s="12"/>
      <c r="C303" s="12"/>
      <c r="D303" s="60"/>
      <c r="E303" s="6"/>
      <c r="F303" s="6"/>
      <c r="G303" s="12"/>
      <c r="H303" s="12"/>
      <c r="I303" s="12" t="str" cm="2">
        <f t="array" ref="I303">IFERROR(INDEX(BrandList!$B$2:$B$200,MATCH(TRUE,ISNUMBER(SEARCH(BrandList!$B$2:$B$200,G303)),0)),"")</f>
        <v/>
      </c>
      <c r="J303" s="12"/>
      <c r="K303" s="12"/>
      <c r="L303" s="60"/>
      <c r="M303" s="60"/>
      <c r="N303" s="60"/>
      <c r="O303" s="60"/>
      <c r="P303" s="7" t="str">
        <f t="shared" si="9"/>
        <v/>
      </c>
      <c r="Q303" s="8">
        <f>IFERROR(VLOOKUP(VALUE(A303),WEEKLY_DATA!$A:$H,2,0),0)</f>
        <v>0</v>
      </c>
      <c r="R303" s="8">
        <f>IFERROR(VLOOKUP(VALUE(A303),WEEKLY_DATA!$A:$H,3,0),0)</f>
        <v>0</v>
      </c>
      <c r="S303" s="8">
        <f>IFERROR(VLOOKUP(VALUE(A303),WEEKLY_DATA!$A:$H,4,0),0)</f>
        <v>0</v>
      </c>
      <c r="T303" s="51">
        <f>IFERROR(VLOOKUP(VALUE(A303),WEEKLY_DATA!$A:$H,5,0),0)</f>
        <v>0</v>
      </c>
      <c r="U303" s="51">
        <f>IFERROR(VLOOKUP(VALUE(A303),WEEKLY_DATA!$A:$H,6,0),0)</f>
        <v>0</v>
      </c>
      <c r="V303" s="51">
        <f>IFERROR(VLOOKUP(VALUE(A303),WEEKLY_DATA!$A:$H,7,0),0)</f>
        <v>0</v>
      </c>
      <c r="W303" s="9" t="str">
        <f>IFERROR(IF(OR(Q303="",Q303=0),"",IF(VLOOKUP(VALUE($A303),WEEKLY_DATA!$A:$H,6,0)=0,"No Sales",Q303/(VLOOKUP(VALUE($A303),WEEKLY_DATA!$A:$H,6,0)/13))),"")</f>
        <v/>
      </c>
      <c r="X303" s="10">
        <f>IFERROR(VLOOKUP(VALUE(A303),WEEKLY_DATA!$A:$H,8,0),0)</f>
        <v>0</v>
      </c>
      <c r="Y303" s="13" t="str">
        <f t="shared" si="8"/>
        <v>—</v>
      </c>
      <c r="Z303" s="11"/>
      <c r="AA303" s="11"/>
      <c r="AB303" s="11"/>
      <c r="AC303" s="11"/>
      <c r="AD303" s="11"/>
      <c r="AE303" s="11"/>
      <c r="AF303" s="61"/>
      <c r="AG303" s="61"/>
      <c r="AH303" s="62"/>
      <c r="AI303" s="62"/>
      <c r="AJ303" s="61"/>
      <c r="AK303" s="61"/>
      <c r="AL303" s="61"/>
      <c r="AM303" s="58"/>
      <c r="AN303" s="58"/>
      <c r="AO303" s="58"/>
      <c r="AP303" s="58"/>
      <c r="AQ303" s="58"/>
      <c r="AR303" s="58"/>
      <c r="AS303" s="91"/>
      <c r="AT303" s="93"/>
      <c r="AU303" s="93"/>
      <c r="AV303" s="93"/>
      <c r="AW303" s="93"/>
    </row>
    <row r="304" spans="1:49" x14ac:dyDescent="0.25">
      <c r="A304" s="59"/>
      <c r="B304" s="12"/>
      <c r="C304" s="12"/>
      <c r="D304" s="60"/>
      <c r="E304" s="6"/>
      <c r="F304" s="6"/>
      <c r="G304" s="12"/>
      <c r="H304" s="12"/>
      <c r="I304" s="12" t="str" cm="2">
        <f t="array" ref="I304">IFERROR(INDEX(BrandList!$B$2:$B$200,MATCH(TRUE,ISNUMBER(SEARCH(BrandList!$B$2:$B$200,G304)),0)),"")</f>
        <v/>
      </c>
      <c r="J304" s="12"/>
      <c r="K304" s="12"/>
      <c r="L304" s="60"/>
      <c r="M304" s="60"/>
      <c r="N304" s="60"/>
      <c r="O304" s="60"/>
      <c r="P304" s="7" t="str">
        <f t="shared" si="9"/>
        <v/>
      </c>
      <c r="Q304" s="8">
        <f>IFERROR(VLOOKUP(VALUE(A304),WEEKLY_DATA!$A:$H,2,0),0)</f>
        <v>0</v>
      </c>
      <c r="R304" s="8">
        <f>IFERROR(VLOOKUP(VALUE(A304),WEEKLY_DATA!$A:$H,3,0),0)</f>
        <v>0</v>
      </c>
      <c r="S304" s="8">
        <f>IFERROR(VLOOKUP(VALUE(A304),WEEKLY_DATA!$A:$H,4,0),0)</f>
        <v>0</v>
      </c>
      <c r="T304" s="51">
        <f>IFERROR(VLOOKUP(VALUE(A304),WEEKLY_DATA!$A:$H,5,0),0)</f>
        <v>0</v>
      </c>
      <c r="U304" s="51">
        <f>IFERROR(VLOOKUP(VALUE(A304),WEEKLY_DATA!$A:$H,6,0),0)</f>
        <v>0</v>
      </c>
      <c r="V304" s="51">
        <f>IFERROR(VLOOKUP(VALUE(A304),WEEKLY_DATA!$A:$H,7,0),0)</f>
        <v>0</v>
      </c>
      <c r="W304" s="9" t="str">
        <f>IFERROR(IF(OR(Q304="",Q304=0),"",IF(VLOOKUP(VALUE($A304),WEEKLY_DATA!$A:$H,6,0)=0,"No Sales",Q304/(VLOOKUP(VALUE($A304),WEEKLY_DATA!$A:$H,6,0)/13))),"")</f>
        <v/>
      </c>
      <c r="X304" s="10">
        <f>IFERROR(VLOOKUP(VALUE(A304),WEEKLY_DATA!$A:$H,8,0),0)</f>
        <v>0</v>
      </c>
      <c r="Y304" s="13" t="str">
        <f t="shared" si="8"/>
        <v>—</v>
      </c>
      <c r="Z304" s="11"/>
      <c r="AA304" s="11"/>
      <c r="AB304" s="11"/>
      <c r="AC304" s="11"/>
      <c r="AD304" s="11"/>
      <c r="AE304" s="11"/>
      <c r="AF304" s="61"/>
      <c r="AG304" s="61"/>
      <c r="AH304" s="62"/>
      <c r="AI304" s="62"/>
      <c r="AJ304" s="61"/>
      <c r="AK304" s="61"/>
      <c r="AL304" s="61"/>
      <c r="AM304" s="58"/>
      <c r="AN304" s="58"/>
      <c r="AO304" s="58"/>
      <c r="AP304" s="58"/>
      <c r="AQ304" s="58"/>
      <c r="AR304" s="58"/>
      <c r="AS304" s="91"/>
      <c r="AT304" s="93"/>
      <c r="AU304" s="93"/>
      <c r="AV304" s="93"/>
      <c r="AW304" s="93"/>
    </row>
    <row r="305" spans="1:49" x14ac:dyDescent="0.25">
      <c r="A305" s="59"/>
      <c r="B305" s="12"/>
      <c r="C305" s="12"/>
      <c r="D305" s="60"/>
      <c r="E305" s="6"/>
      <c r="F305" s="6"/>
      <c r="G305" s="12"/>
      <c r="H305" s="12"/>
      <c r="I305" s="12" t="str" cm="2">
        <f t="array" ref="I305">IFERROR(INDEX(BrandList!$B$2:$B$200,MATCH(TRUE,ISNUMBER(SEARCH(BrandList!$B$2:$B$200,G305)),0)),"")</f>
        <v/>
      </c>
      <c r="J305" s="12"/>
      <c r="K305" s="12"/>
      <c r="L305" s="60"/>
      <c r="M305" s="60"/>
      <c r="N305" s="60"/>
      <c r="O305" s="60"/>
      <c r="P305" s="7" t="str">
        <f t="shared" si="9"/>
        <v/>
      </c>
      <c r="Q305" s="8">
        <f>IFERROR(VLOOKUP(VALUE(A305),WEEKLY_DATA!$A:$H,2,0),0)</f>
        <v>0</v>
      </c>
      <c r="R305" s="8">
        <f>IFERROR(VLOOKUP(VALUE(A305),WEEKLY_DATA!$A:$H,3,0),0)</f>
        <v>0</v>
      </c>
      <c r="S305" s="8">
        <f>IFERROR(VLOOKUP(VALUE(A305),WEEKLY_DATA!$A:$H,4,0),0)</f>
        <v>0</v>
      </c>
      <c r="T305" s="51">
        <f>IFERROR(VLOOKUP(VALUE(A305),WEEKLY_DATA!$A:$H,5,0),0)</f>
        <v>0</v>
      </c>
      <c r="U305" s="51">
        <f>IFERROR(VLOOKUP(VALUE(A305),WEEKLY_DATA!$A:$H,6,0),0)</f>
        <v>0</v>
      </c>
      <c r="V305" s="51">
        <f>IFERROR(VLOOKUP(VALUE(A305),WEEKLY_DATA!$A:$H,7,0),0)</f>
        <v>0</v>
      </c>
      <c r="W305" s="9" t="str">
        <f>IFERROR(IF(OR(Q305="",Q305=0),"",IF(VLOOKUP(VALUE($A305),WEEKLY_DATA!$A:$H,6,0)=0,"No Sales",Q305/(VLOOKUP(VALUE($A305),WEEKLY_DATA!$A:$H,6,0)/13))),"")</f>
        <v/>
      </c>
      <c r="X305" s="10">
        <f>IFERROR(VLOOKUP(VALUE(A305),WEEKLY_DATA!$A:$H,8,0),0)</f>
        <v>0</v>
      </c>
      <c r="Y305" s="13" t="str">
        <f t="shared" si="8"/>
        <v>—</v>
      </c>
      <c r="Z305" s="11"/>
      <c r="AA305" s="11"/>
      <c r="AB305" s="11"/>
      <c r="AC305" s="11"/>
      <c r="AD305" s="11"/>
      <c r="AE305" s="11"/>
      <c r="AF305" s="61"/>
      <c r="AG305" s="61"/>
      <c r="AH305" s="62"/>
      <c r="AI305" s="62"/>
      <c r="AJ305" s="61"/>
      <c r="AK305" s="61"/>
      <c r="AL305" s="61"/>
      <c r="AM305" s="58"/>
      <c r="AN305" s="58"/>
      <c r="AO305" s="58"/>
      <c r="AP305" s="58"/>
      <c r="AQ305" s="58"/>
      <c r="AR305" s="58"/>
      <c r="AS305" s="91"/>
      <c r="AT305" s="93"/>
      <c r="AU305" s="93"/>
      <c r="AV305" s="93"/>
      <c r="AW305" s="93"/>
    </row>
    <row r="306" spans="1:49" x14ac:dyDescent="0.25">
      <c r="A306" s="59"/>
      <c r="B306" s="12"/>
      <c r="C306" s="12"/>
      <c r="D306" s="60"/>
      <c r="E306" s="6"/>
      <c r="F306" s="6"/>
      <c r="G306" s="12"/>
      <c r="H306" s="12"/>
      <c r="I306" s="12" t="str" cm="2">
        <f t="array" ref="I306">IFERROR(INDEX(BrandList!$B$2:$B$200,MATCH(TRUE,ISNUMBER(SEARCH(BrandList!$B$2:$B$200,G306)),0)),"")</f>
        <v/>
      </c>
      <c r="J306" s="12"/>
      <c r="K306" s="12"/>
      <c r="L306" s="60"/>
      <c r="M306" s="60"/>
      <c r="N306" s="60"/>
      <c r="O306" s="60"/>
      <c r="P306" s="7" t="str">
        <f t="shared" si="9"/>
        <v/>
      </c>
      <c r="Q306" s="8">
        <f>IFERROR(VLOOKUP(VALUE(A306),WEEKLY_DATA!$A:$H,2,0),0)</f>
        <v>0</v>
      </c>
      <c r="R306" s="8">
        <f>IFERROR(VLOOKUP(VALUE(A306),WEEKLY_DATA!$A:$H,3,0),0)</f>
        <v>0</v>
      </c>
      <c r="S306" s="8">
        <f>IFERROR(VLOOKUP(VALUE(A306),WEEKLY_DATA!$A:$H,4,0),0)</f>
        <v>0</v>
      </c>
      <c r="T306" s="51">
        <f>IFERROR(VLOOKUP(VALUE(A306),WEEKLY_DATA!$A:$H,5,0),0)</f>
        <v>0</v>
      </c>
      <c r="U306" s="51">
        <f>IFERROR(VLOOKUP(VALUE(A306),WEEKLY_DATA!$A:$H,6,0),0)</f>
        <v>0</v>
      </c>
      <c r="V306" s="51">
        <f>IFERROR(VLOOKUP(VALUE(A306),WEEKLY_DATA!$A:$H,7,0),0)</f>
        <v>0</v>
      </c>
      <c r="W306" s="9" t="str">
        <f>IFERROR(IF(OR(Q306="",Q306=0),"",IF(VLOOKUP(VALUE($A306),WEEKLY_DATA!$A:$H,6,0)=0,"No Sales",Q306/(VLOOKUP(VALUE($A306),WEEKLY_DATA!$A:$H,6,0)/13))),"")</f>
        <v/>
      </c>
      <c r="X306" s="10">
        <f>IFERROR(VLOOKUP(VALUE(A306),WEEKLY_DATA!$A:$H,8,0),0)</f>
        <v>0</v>
      </c>
      <c r="Y306" s="13" t="str">
        <f t="shared" si="8"/>
        <v>—</v>
      </c>
      <c r="Z306" s="11"/>
      <c r="AA306" s="11"/>
      <c r="AB306" s="11"/>
      <c r="AC306" s="11"/>
      <c r="AD306" s="11"/>
      <c r="AE306" s="11"/>
      <c r="AF306" s="61"/>
      <c r="AG306" s="61"/>
      <c r="AH306" s="62"/>
      <c r="AI306" s="62"/>
      <c r="AJ306" s="61"/>
      <c r="AK306" s="61"/>
      <c r="AL306" s="61"/>
      <c r="AM306" s="58"/>
      <c r="AN306" s="58"/>
      <c r="AO306" s="58"/>
      <c r="AP306" s="58"/>
      <c r="AQ306" s="58"/>
      <c r="AR306" s="58"/>
      <c r="AS306" s="91"/>
      <c r="AT306" s="93"/>
      <c r="AU306" s="93"/>
      <c r="AV306" s="93"/>
      <c r="AW306" s="93"/>
    </row>
    <row r="307" spans="1:49" x14ac:dyDescent="0.25">
      <c r="A307" s="59"/>
      <c r="B307" s="12"/>
      <c r="C307" s="12"/>
      <c r="D307" s="60"/>
      <c r="E307" s="6"/>
      <c r="F307" s="6"/>
      <c r="G307" s="12"/>
      <c r="H307" s="12"/>
      <c r="I307" s="12" t="str" cm="2">
        <f t="array" ref="I307">IFERROR(INDEX(BrandList!$B$2:$B$200,MATCH(TRUE,ISNUMBER(SEARCH(BrandList!$B$2:$B$200,G307)),0)),"")</f>
        <v/>
      </c>
      <c r="J307" s="12"/>
      <c r="K307" s="12"/>
      <c r="L307" s="60"/>
      <c r="M307" s="60"/>
      <c r="N307" s="60"/>
      <c r="O307" s="60"/>
      <c r="P307" s="7" t="str">
        <f t="shared" si="9"/>
        <v/>
      </c>
      <c r="Q307" s="8">
        <f>IFERROR(VLOOKUP(VALUE(A307),WEEKLY_DATA!$A:$H,2,0),0)</f>
        <v>0</v>
      </c>
      <c r="R307" s="8">
        <f>IFERROR(VLOOKUP(VALUE(A307),WEEKLY_DATA!$A:$H,3,0),0)</f>
        <v>0</v>
      </c>
      <c r="S307" s="8">
        <f>IFERROR(VLOOKUP(VALUE(A307),WEEKLY_DATA!$A:$H,4,0),0)</f>
        <v>0</v>
      </c>
      <c r="T307" s="51">
        <f>IFERROR(VLOOKUP(VALUE(A307),WEEKLY_DATA!$A:$H,5,0),0)</f>
        <v>0</v>
      </c>
      <c r="U307" s="51">
        <f>IFERROR(VLOOKUP(VALUE(A307),WEEKLY_DATA!$A:$H,6,0),0)</f>
        <v>0</v>
      </c>
      <c r="V307" s="51">
        <f>IFERROR(VLOOKUP(VALUE(A307),WEEKLY_DATA!$A:$H,7,0),0)</f>
        <v>0</v>
      </c>
      <c r="W307" s="9" t="str">
        <f>IFERROR(IF(OR(Q307="",Q307=0),"",IF(VLOOKUP(VALUE($A307),WEEKLY_DATA!$A:$H,6,0)=0,"No Sales",Q307/(VLOOKUP(VALUE($A307),WEEKLY_DATA!$A:$H,6,0)/13))),"")</f>
        <v/>
      </c>
      <c r="X307" s="10">
        <f>IFERROR(VLOOKUP(VALUE(A307),WEEKLY_DATA!$A:$H,8,0),0)</f>
        <v>0</v>
      </c>
      <c r="Y307" s="13" t="str">
        <f t="shared" si="8"/>
        <v>—</v>
      </c>
      <c r="Z307" s="11"/>
      <c r="AA307" s="11"/>
      <c r="AB307" s="11"/>
      <c r="AC307" s="11"/>
      <c r="AD307" s="11"/>
      <c r="AE307" s="11"/>
      <c r="AF307" s="61"/>
      <c r="AG307" s="61"/>
      <c r="AH307" s="62"/>
      <c r="AI307" s="62"/>
      <c r="AJ307" s="61"/>
      <c r="AK307" s="61"/>
      <c r="AL307" s="61"/>
      <c r="AM307" s="58"/>
      <c r="AN307" s="58"/>
      <c r="AO307" s="58"/>
      <c r="AP307" s="58"/>
      <c r="AQ307" s="58"/>
      <c r="AR307" s="58"/>
      <c r="AS307" s="91"/>
      <c r="AT307" s="93"/>
      <c r="AU307" s="93"/>
      <c r="AV307" s="93"/>
      <c r="AW307" s="93"/>
    </row>
    <row r="308" spans="1:49" x14ac:dyDescent="0.25">
      <c r="A308" s="59"/>
      <c r="B308" s="12"/>
      <c r="C308" s="12"/>
      <c r="D308" s="60"/>
      <c r="E308" s="6"/>
      <c r="F308" s="6"/>
      <c r="G308" s="12"/>
      <c r="H308" s="12"/>
      <c r="I308" s="12" t="str" cm="2">
        <f t="array" ref="I308">IFERROR(INDEX(BrandList!$B$2:$B$200,MATCH(TRUE,ISNUMBER(SEARCH(BrandList!$B$2:$B$200,G308)),0)),"")</f>
        <v/>
      </c>
      <c r="J308" s="12"/>
      <c r="K308" s="12"/>
      <c r="L308" s="60"/>
      <c r="M308" s="60"/>
      <c r="N308" s="60"/>
      <c r="O308" s="60"/>
      <c r="P308" s="7" t="str">
        <f t="shared" si="9"/>
        <v/>
      </c>
      <c r="Q308" s="8">
        <f>IFERROR(VLOOKUP(VALUE(A308),WEEKLY_DATA!$A:$H,2,0),0)</f>
        <v>0</v>
      </c>
      <c r="R308" s="8">
        <f>IFERROR(VLOOKUP(VALUE(A308),WEEKLY_DATA!$A:$H,3,0),0)</f>
        <v>0</v>
      </c>
      <c r="S308" s="8">
        <f>IFERROR(VLOOKUP(VALUE(A308),WEEKLY_DATA!$A:$H,4,0),0)</f>
        <v>0</v>
      </c>
      <c r="T308" s="51">
        <f>IFERROR(VLOOKUP(VALUE(A308),WEEKLY_DATA!$A:$H,5,0),0)</f>
        <v>0</v>
      </c>
      <c r="U308" s="51">
        <f>IFERROR(VLOOKUP(VALUE(A308),WEEKLY_DATA!$A:$H,6,0),0)</f>
        <v>0</v>
      </c>
      <c r="V308" s="51">
        <f>IFERROR(VLOOKUP(VALUE(A308),WEEKLY_DATA!$A:$H,7,0),0)</f>
        <v>0</v>
      </c>
      <c r="W308" s="9" t="str">
        <f>IFERROR(IF(OR(Q308="",Q308=0),"",IF(VLOOKUP(VALUE($A308),WEEKLY_DATA!$A:$H,6,0)=0,"No Sales",Q308/(VLOOKUP(VALUE($A308),WEEKLY_DATA!$A:$H,6,0)/13))),"")</f>
        <v/>
      </c>
      <c r="X308" s="10">
        <f>IFERROR(VLOOKUP(VALUE(A308),WEEKLY_DATA!$A:$H,8,0),0)</f>
        <v>0</v>
      </c>
      <c r="Y308" s="13" t="str">
        <f t="shared" si="8"/>
        <v>—</v>
      </c>
      <c r="Z308" s="11"/>
      <c r="AA308" s="11"/>
      <c r="AB308" s="11"/>
      <c r="AC308" s="11"/>
      <c r="AD308" s="11"/>
      <c r="AE308" s="11"/>
      <c r="AF308" s="61"/>
      <c r="AG308" s="61"/>
      <c r="AH308" s="62"/>
      <c r="AI308" s="62"/>
      <c r="AJ308" s="61"/>
      <c r="AK308" s="61"/>
      <c r="AL308" s="61"/>
      <c r="AM308" s="58"/>
      <c r="AN308" s="58"/>
      <c r="AO308" s="58"/>
      <c r="AP308" s="58"/>
      <c r="AQ308" s="58"/>
      <c r="AR308" s="58"/>
      <c r="AS308" s="91"/>
      <c r="AT308" s="93"/>
      <c r="AU308" s="93"/>
      <c r="AV308" s="93"/>
      <c r="AW308" s="93"/>
    </row>
    <row r="309" spans="1:49" x14ac:dyDescent="0.25">
      <c r="A309" s="59"/>
      <c r="B309" s="12"/>
      <c r="C309" s="12"/>
      <c r="D309" s="60"/>
      <c r="E309" s="6"/>
      <c r="F309" s="6"/>
      <c r="G309" s="12"/>
      <c r="H309" s="12"/>
      <c r="I309" s="12" t="str" cm="2">
        <f t="array" ref="I309">IFERROR(INDEX(BrandList!$B$2:$B$200,MATCH(TRUE,ISNUMBER(SEARCH(BrandList!$B$2:$B$200,G309)),0)),"")</f>
        <v/>
      </c>
      <c r="J309" s="12"/>
      <c r="K309" s="12"/>
      <c r="L309" s="60"/>
      <c r="M309" s="60"/>
      <c r="N309" s="60"/>
      <c r="O309" s="60"/>
      <c r="P309" s="7" t="str">
        <f t="shared" si="9"/>
        <v/>
      </c>
      <c r="Q309" s="8">
        <f>IFERROR(VLOOKUP(VALUE(A309),WEEKLY_DATA!$A:$H,2,0),0)</f>
        <v>0</v>
      </c>
      <c r="R309" s="8">
        <f>IFERROR(VLOOKUP(VALUE(A309),WEEKLY_DATA!$A:$H,3,0),0)</f>
        <v>0</v>
      </c>
      <c r="S309" s="8">
        <f>IFERROR(VLOOKUP(VALUE(A309),WEEKLY_DATA!$A:$H,4,0),0)</f>
        <v>0</v>
      </c>
      <c r="T309" s="51">
        <f>IFERROR(VLOOKUP(VALUE(A309),WEEKLY_DATA!$A:$H,5,0),0)</f>
        <v>0</v>
      </c>
      <c r="U309" s="51">
        <f>IFERROR(VLOOKUP(VALUE(A309),WEEKLY_DATA!$A:$H,6,0),0)</f>
        <v>0</v>
      </c>
      <c r="V309" s="51">
        <f>IFERROR(VLOOKUP(VALUE(A309),WEEKLY_DATA!$A:$H,7,0),0)</f>
        <v>0</v>
      </c>
      <c r="W309" s="9" t="str">
        <f>IFERROR(IF(OR(Q309="",Q309=0),"",IF(VLOOKUP(VALUE($A309),WEEKLY_DATA!$A:$H,6,0)=0,"No Sales",Q309/(VLOOKUP(VALUE($A309),WEEKLY_DATA!$A:$H,6,0)/13))),"")</f>
        <v/>
      </c>
      <c r="X309" s="10">
        <f>IFERROR(VLOOKUP(VALUE(A309),WEEKLY_DATA!$A:$H,8,0),0)</f>
        <v>0</v>
      </c>
      <c r="Y309" s="13" t="str">
        <f t="shared" si="8"/>
        <v>—</v>
      </c>
      <c r="Z309" s="11"/>
      <c r="AA309" s="11"/>
      <c r="AB309" s="11"/>
      <c r="AC309" s="11"/>
      <c r="AD309" s="11"/>
      <c r="AE309" s="11"/>
      <c r="AF309" s="61"/>
      <c r="AG309" s="61"/>
      <c r="AH309" s="62"/>
      <c r="AI309" s="62"/>
      <c r="AJ309" s="61"/>
      <c r="AK309" s="61"/>
      <c r="AL309" s="61"/>
      <c r="AM309" s="58"/>
      <c r="AN309" s="58"/>
      <c r="AO309" s="58"/>
      <c r="AP309" s="58"/>
      <c r="AQ309" s="58"/>
      <c r="AR309" s="58"/>
      <c r="AS309" s="91"/>
      <c r="AT309" s="93"/>
      <c r="AU309" s="93"/>
      <c r="AV309" s="93"/>
      <c r="AW309" s="93"/>
    </row>
    <row r="310" spans="1:49" x14ac:dyDescent="0.25">
      <c r="A310" s="59"/>
      <c r="B310" s="12"/>
      <c r="C310" s="12"/>
      <c r="D310" s="60"/>
      <c r="E310" s="6"/>
      <c r="F310" s="6"/>
      <c r="G310" s="12"/>
      <c r="H310" s="12"/>
      <c r="I310" s="12" t="str" cm="2">
        <f t="array" ref="I310">IFERROR(INDEX(BrandList!$B$2:$B$200,MATCH(TRUE,ISNUMBER(SEARCH(BrandList!$B$2:$B$200,G310)),0)),"")</f>
        <v/>
      </c>
      <c r="J310" s="12"/>
      <c r="K310" s="12"/>
      <c r="L310" s="60"/>
      <c r="M310" s="60"/>
      <c r="N310" s="60"/>
      <c r="O310" s="60"/>
      <c r="P310" s="7" t="str">
        <f t="shared" si="9"/>
        <v/>
      </c>
      <c r="Q310" s="8">
        <f>IFERROR(VLOOKUP(VALUE(A310),WEEKLY_DATA!$A:$H,2,0),0)</f>
        <v>0</v>
      </c>
      <c r="R310" s="8">
        <f>IFERROR(VLOOKUP(VALUE(A310),WEEKLY_DATA!$A:$H,3,0),0)</f>
        <v>0</v>
      </c>
      <c r="S310" s="8">
        <f>IFERROR(VLOOKUP(VALUE(A310),WEEKLY_DATA!$A:$H,4,0),0)</f>
        <v>0</v>
      </c>
      <c r="T310" s="51">
        <f>IFERROR(VLOOKUP(VALUE(A310),WEEKLY_DATA!$A:$H,5,0),0)</f>
        <v>0</v>
      </c>
      <c r="U310" s="51">
        <f>IFERROR(VLOOKUP(VALUE(A310),WEEKLY_DATA!$A:$H,6,0),0)</f>
        <v>0</v>
      </c>
      <c r="V310" s="51">
        <f>IFERROR(VLOOKUP(VALUE(A310),WEEKLY_DATA!$A:$H,7,0),0)</f>
        <v>0</v>
      </c>
      <c r="W310" s="9" t="str">
        <f>IFERROR(IF(OR(Q310="",Q310=0),"",IF(VLOOKUP(VALUE($A310),WEEKLY_DATA!$A:$H,6,0)=0,"No Sales",Q310/(VLOOKUP(VALUE($A310),WEEKLY_DATA!$A:$H,6,0)/13))),"")</f>
        <v/>
      </c>
      <c r="X310" s="10">
        <f>IFERROR(VLOOKUP(VALUE(A310),WEEKLY_DATA!$A:$H,8,0),0)</f>
        <v>0</v>
      </c>
      <c r="Y310" s="13" t="str">
        <f t="shared" si="8"/>
        <v>—</v>
      </c>
      <c r="Z310" s="11"/>
      <c r="AA310" s="11"/>
      <c r="AB310" s="11"/>
      <c r="AC310" s="11"/>
      <c r="AD310" s="11"/>
      <c r="AE310" s="11"/>
      <c r="AF310" s="61"/>
      <c r="AG310" s="61"/>
      <c r="AH310" s="62"/>
      <c r="AI310" s="62"/>
      <c r="AJ310" s="61"/>
      <c r="AK310" s="61"/>
      <c r="AL310" s="61"/>
      <c r="AM310" s="58"/>
      <c r="AN310" s="58"/>
      <c r="AO310" s="58"/>
      <c r="AP310" s="58"/>
      <c r="AQ310" s="58"/>
      <c r="AR310" s="58"/>
      <c r="AS310" s="91"/>
      <c r="AT310" s="93"/>
      <c r="AU310" s="93"/>
      <c r="AV310" s="93"/>
      <c r="AW310" s="93"/>
    </row>
    <row r="311" spans="1:49" x14ac:dyDescent="0.25">
      <c r="A311" s="59"/>
      <c r="B311" s="12"/>
      <c r="C311" s="12"/>
      <c r="D311" s="60"/>
      <c r="E311" s="6"/>
      <c r="F311" s="6"/>
      <c r="G311" s="12"/>
      <c r="H311" s="12"/>
      <c r="I311" s="12" t="str" cm="2">
        <f t="array" ref="I311">IFERROR(INDEX(BrandList!$B$2:$B$200,MATCH(TRUE,ISNUMBER(SEARCH(BrandList!$B$2:$B$200,G311)),0)),"")</f>
        <v/>
      </c>
      <c r="J311" s="12"/>
      <c r="K311" s="12"/>
      <c r="L311" s="60"/>
      <c r="M311" s="60"/>
      <c r="N311" s="60"/>
      <c r="O311" s="60"/>
      <c r="P311" s="7" t="str">
        <f t="shared" si="9"/>
        <v/>
      </c>
      <c r="Q311" s="8">
        <f>IFERROR(VLOOKUP(VALUE(A311),WEEKLY_DATA!$A:$H,2,0),0)</f>
        <v>0</v>
      </c>
      <c r="R311" s="8">
        <f>IFERROR(VLOOKUP(VALUE(A311),WEEKLY_DATA!$A:$H,3,0),0)</f>
        <v>0</v>
      </c>
      <c r="S311" s="8">
        <f>IFERROR(VLOOKUP(VALUE(A311),WEEKLY_DATA!$A:$H,4,0),0)</f>
        <v>0</v>
      </c>
      <c r="T311" s="51">
        <f>IFERROR(VLOOKUP(VALUE(A311),WEEKLY_DATA!$A:$H,5,0),0)</f>
        <v>0</v>
      </c>
      <c r="U311" s="51">
        <f>IFERROR(VLOOKUP(VALUE(A311),WEEKLY_DATA!$A:$H,6,0),0)</f>
        <v>0</v>
      </c>
      <c r="V311" s="51">
        <f>IFERROR(VLOOKUP(VALUE(A311),WEEKLY_DATA!$A:$H,7,0),0)</f>
        <v>0</v>
      </c>
      <c r="W311" s="9" t="str">
        <f>IFERROR(IF(OR(Q311="",Q311=0),"",IF(VLOOKUP(VALUE($A311),WEEKLY_DATA!$A:$H,6,0)=0,"No Sales",Q311/(VLOOKUP(VALUE($A311),WEEKLY_DATA!$A:$H,6,0)/13))),"")</f>
        <v/>
      </c>
      <c r="X311" s="10">
        <f>IFERROR(VLOOKUP(VALUE(A311),WEEKLY_DATA!$A:$H,8,0),0)</f>
        <v>0</v>
      </c>
      <c r="Y311" s="13" t="str">
        <f t="shared" si="8"/>
        <v>—</v>
      </c>
      <c r="Z311" s="11"/>
      <c r="AA311" s="11"/>
      <c r="AB311" s="11"/>
      <c r="AC311" s="11"/>
      <c r="AD311" s="11"/>
      <c r="AE311" s="11"/>
      <c r="AF311" s="61"/>
      <c r="AG311" s="61"/>
      <c r="AH311" s="62"/>
      <c r="AI311" s="62"/>
      <c r="AJ311" s="61"/>
      <c r="AK311" s="61"/>
      <c r="AL311" s="61"/>
      <c r="AM311" s="58"/>
      <c r="AN311" s="58"/>
      <c r="AO311" s="58"/>
      <c r="AP311" s="58"/>
      <c r="AQ311" s="58"/>
      <c r="AR311" s="58"/>
      <c r="AS311" s="91"/>
      <c r="AT311" s="93"/>
      <c r="AU311" s="93"/>
      <c r="AV311" s="93"/>
      <c r="AW311" s="93"/>
    </row>
    <row r="312" spans="1:49" x14ac:dyDescent="0.25">
      <c r="A312" s="59"/>
      <c r="B312" s="12"/>
      <c r="C312" s="12"/>
      <c r="D312" s="60"/>
      <c r="E312" s="6"/>
      <c r="F312" s="6"/>
      <c r="G312" s="12"/>
      <c r="H312" s="12"/>
      <c r="I312" s="12" t="str" cm="2">
        <f t="array" ref="I312">IFERROR(INDEX(BrandList!$B$2:$B$200,MATCH(TRUE,ISNUMBER(SEARCH(BrandList!$B$2:$B$200,G312)),0)),"")</f>
        <v/>
      </c>
      <c r="J312" s="12"/>
      <c r="K312" s="12"/>
      <c r="L312" s="60"/>
      <c r="M312" s="60"/>
      <c r="N312" s="60"/>
      <c r="O312" s="60"/>
      <c r="P312" s="7" t="str">
        <f t="shared" si="9"/>
        <v/>
      </c>
      <c r="Q312" s="8">
        <f>IFERROR(VLOOKUP(VALUE(A312),WEEKLY_DATA!$A:$H,2,0),0)</f>
        <v>0</v>
      </c>
      <c r="R312" s="8">
        <f>IFERROR(VLOOKUP(VALUE(A312),WEEKLY_DATA!$A:$H,3,0),0)</f>
        <v>0</v>
      </c>
      <c r="S312" s="8">
        <f>IFERROR(VLOOKUP(VALUE(A312),WEEKLY_DATA!$A:$H,4,0),0)</f>
        <v>0</v>
      </c>
      <c r="T312" s="51">
        <f>IFERROR(VLOOKUP(VALUE(A312),WEEKLY_DATA!$A:$H,5,0),0)</f>
        <v>0</v>
      </c>
      <c r="U312" s="51">
        <f>IFERROR(VLOOKUP(VALUE(A312),WEEKLY_DATA!$A:$H,6,0),0)</f>
        <v>0</v>
      </c>
      <c r="V312" s="51">
        <f>IFERROR(VLOOKUP(VALUE(A312),WEEKLY_DATA!$A:$H,7,0),0)</f>
        <v>0</v>
      </c>
      <c r="W312" s="9" t="str">
        <f>IFERROR(IF(OR(Q312="",Q312=0),"",IF(VLOOKUP(VALUE($A312),WEEKLY_DATA!$A:$H,6,0)=0,"No Sales",Q312/(VLOOKUP(VALUE($A312),WEEKLY_DATA!$A:$H,6,0)/13))),"")</f>
        <v/>
      </c>
      <c r="X312" s="10">
        <f>IFERROR(VLOOKUP(VALUE(A312),WEEKLY_DATA!$A:$H,8,0),0)</f>
        <v>0</v>
      </c>
      <c r="Y312" s="13" t="str">
        <f t="shared" si="8"/>
        <v>—</v>
      </c>
      <c r="Z312" s="11"/>
      <c r="AA312" s="11"/>
      <c r="AB312" s="11"/>
      <c r="AC312" s="11"/>
      <c r="AD312" s="11"/>
      <c r="AE312" s="11"/>
      <c r="AF312" s="61"/>
      <c r="AG312" s="61"/>
      <c r="AH312" s="62"/>
      <c r="AI312" s="62"/>
      <c r="AJ312" s="61"/>
      <c r="AK312" s="61"/>
      <c r="AL312" s="61"/>
      <c r="AM312" s="58"/>
      <c r="AN312" s="58"/>
      <c r="AO312" s="58"/>
      <c r="AP312" s="58"/>
      <c r="AQ312" s="58"/>
      <c r="AR312" s="58"/>
      <c r="AS312" s="91"/>
      <c r="AT312" s="93"/>
      <c r="AU312" s="93"/>
      <c r="AV312" s="93"/>
      <c r="AW312" s="93"/>
    </row>
    <row r="313" spans="1:49" x14ac:dyDescent="0.25">
      <c r="A313" s="59"/>
      <c r="B313" s="12"/>
      <c r="C313" s="12"/>
      <c r="D313" s="60"/>
      <c r="E313" s="6"/>
      <c r="F313" s="6"/>
      <c r="G313" s="12"/>
      <c r="H313" s="12"/>
      <c r="I313" s="12" t="str" cm="2">
        <f t="array" ref="I313">IFERROR(INDEX(BrandList!$B$2:$B$200,MATCH(TRUE,ISNUMBER(SEARCH(BrandList!$B$2:$B$200,G313)),0)),"")</f>
        <v/>
      </c>
      <c r="J313" s="12"/>
      <c r="K313" s="12"/>
      <c r="L313" s="60"/>
      <c r="M313" s="60"/>
      <c r="N313" s="60"/>
      <c r="O313" s="60"/>
      <c r="P313" s="7" t="str">
        <f t="shared" si="9"/>
        <v/>
      </c>
      <c r="Q313" s="8">
        <f>IFERROR(VLOOKUP(VALUE(A313),WEEKLY_DATA!$A:$H,2,0),0)</f>
        <v>0</v>
      </c>
      <c r="R313" s="8">
        <f>IFERROR(VLOOKUP(VALUE(A313),WEEKLY_DATA!$A:$H,3,0),0)</f>
        <v>0</v>
      </c>
      <c r="S313" s="8">
        <f>IFERROR(VLOOKUP(VALUE(A313),WEEKLY_DATA!$A:$H,4,0),0)</f>
        <v>0</v>
      </c>
      <c r="T313" s="51">
        <f>IFERROR(VLOOKUP(VALUE(A313),WEEKLY_DATA!$A:$H,5,0),0)</f>
        <v>0</v>
      </c>
      <c r="U313" s="51">
        <f>IFERROR(VLOOKUP(VALUE(A313),WEEKLY_DATA!$A:$H,6,0),0)</f>
        <v>0</v>
      </c>
      <c r="V313" s="51">
        <f>IFERROR(VLOOKUP(VALUE(A313),WEEKLY_DATA!$A:$H,7,0),0)</f>
        <v>0</v>
      </c>
      <c r="W313" s="9" t="str">
        <f>IFERROR(IF(OR(Q313="",Q313=0),"",IF(VLOOKUP(VALUE($A313),WEEKLY_DATA!$A:$H,6,0)=0,"No Sales",Q313/(VLOOKUP(VALUE($A313),WEEKLY_DATA!$A:$H,6,0)/13))),"")</f>
        <v/>
      </c>
      <c r="X313" s="10">
        <f>IFERROR(VLOOKUP(VALUE(A313),WEEKLY_DATA!$A:$H,8,0),0)</f>
        <v>0</v>
      </c>
      <c r="Y313" s="13" t="str">
        <f t="shared" si="8"/>
        <v>—</v>
      </c>
      <c r="Z313" s="11"/>
      <c r="AA313" s="11"/>
      <c r="AB313" s="11"/>
      <c r="AC313" s="11"/>
      <c r="AD313" s="11"/>
      <c r="AE313" s="11"/>
      <c r="AF313" s="61"/>
      <c r="AG313" s="61"/>
      <c r="AH313" s="62"/>
      <c r="AI313" s="62"/>
      <c r="AJ313" s="61"/>
      <c r="AK313" s="61"/>
      <c r="AL313" s="61"/>
      <c r="AM313" s="58"/>
      <c r="AN313" s="58"/>
      <c r="AO313" s="58"/>
      <c r="AP313" s="58"/>
      <c r="AQ313" s="58"/>
      <c r="AR313" s="58"/>
      <c r="AS313" s="91"/>
      <c r="AT313" s="93"/>
      <c r="AU313" s="93"/>
      <c r="AV313" s="93"/>
      <c r="AW313" s="93"/>
    </row>
    <row r="314" spans="1:49" x14ac:dyDescent="0.25">
      <c r="A314" s="59"/>
      <c r="B314" s="12"/>
      <c r="C314" s="12"/>
      <c r="D314" s="60"/>
      <c r="E314" s="6"/>
      <c r="F314" s="6"/>
      <c r="G314" s="12"/>
      <c r="H314" s="12"/>
      <c r="I314" s="12" t="str" cm="2">
        <f t="array" ref="I314">IFERROR(INDEX(BrandList!$B$2:$B$200,MATCH(TRUE,ISNUMBER(SEARCH(BrandList!$B$2:$B$200,G314)),0)),"")</f>
        <v/>
      </c>
      <c r="J314" s="12"/>
      <c r="K314" s="12"/>
      <c r="L314" s="60"/>
      <c r="M314" s="60"/>
      <c r="N314" s="60"/>
      <c r="O314" s="60"/>
      <c r="P314" s="7" t="str">
        <f t="shared" si="9"/>
        <v/>
      </c>
      <c r="Q314" s="8">
        <f>IFERROR(VLOOKUP(VALUE(A314),WEEKLY_DATA!$A:$H,2,0),0)</f>
        <v>0</v>
      </c>
      <c r="R314" s="8">
        <f>IFERROR(VLOOKUP(VALUE(A314),WEEKLY_DATA!$A:$H,3,0),0)</f>
        <v>0</v>
      </c>
      <c r="S314" s="8">
        <f>IFERROR(VLOOKUP(VALUE(A314),WEEKLY_DATA!$A:$H,4,0),0)</f>
        <v>0</v>
      </c>
      <c r="T314" s="51">
        <f>IFERROR(VLOOKUP(VALUE(A314),WEEKLY_DATA!$A:$H,5,0),0)</f>
        <v>0</v>
      </c>
      <c r="U314" s="51">
        <f>IFERROR(VLOOKUP(VALUE(A314),WEEKLY_DATA!$A:$H,6,0),0)</f>
        <v>0</v>
      </c>
      <c r="V314" s="51">
        <f>IFERROR(VLOOKUP(VALUE(A314),WEEKLY_DATA!$A:$H,7,0),0)</f>
        <v>0</v>
      </c>
      <c r="W314" s="9" t="str">
        <f>IFERROR(IF(OR(Q314="",Q314=0),"",IF(VLOOKUP(VALUE($A314),WEEKLY_DATA!$A:$H,6,0)=0,"No Sales",Q314/(VLOOKUP(VALUE($A314),WEEKLY_DATA!$A:$H,6,0)/13))),"")</f>
        <v/>
      </c>
      <c r="X314" s="10">
        <f>IFERROR(VLOOKUP(VALUE(A314),WEEKLY_DATA!$A:$H,8,0),0)</f>
        <v>0</v>
      </c>
      <c r="Y314" s="13" t="str">
        <f t="shared" si="8"/>
        <v>—</v>
      </c>
      <c r="Z314" s="11"/>
      <c r="AA314" s="11"/>
      <c r="AB314" s="11"/>
      <c r="AC314" s="11"/>
      <c r="AD314" s="11"/>
      <c r="AE314" s="11"/>
      <c r="AF314" s="61"/>
      <c r="AG314" s="61"/>
      <c r="AH314" s="62"/>
      <c r="AI314" s="62"/>
      <c r="AJ314" s="61"/>
      <c r="AK314" s="61"/>
      <c r="AL314" s="61"/>
      <c r="AM314" s="58"/>
      <c r="AN314" s="58"/>
      <c r="AO314" s="58"/>
      <c r="AP314" s="58"/>
      <c r="AQ314" s="58"/>
      <c r="AR314" s="58"/>
      <c r="AS314" s="91"/>
      <c r="AT314" s="93"/>
      <c r="AU314" s="93"/>
      <c r="AV314" s="93"/>
      <c r="AW314" s="93"/>
    </row>
    <row r="315" spans="1:49" x14ac:dyDescent="0.25">
      <c r="A315" s="59"/>
      <c r="B315" s="12"/>
      <c r="C315" s="12"/>
      <c r="D315" s="60"/>
      <c r="E315" s="6"/>
      <c r="F315" s="6"/>
      <c r="G315" s="12"/>
      <c r="H315" s="12"/>
      <c r="I315" s="12" t="str" cm="2">
        <f t="array" ref="I315">IFERROR(INDEX(BrandList!$B$2:$B$200,MATCH(TRUE,ISNUMBER(SEARCH(BrandList!$B$2:$B$200,G315)),0)),"")</f>
        <v/>
      </c>
      <c r="J315" s="12"/>
      <c r="K315" s="12"/>
      <c r="L315" s="60"/>
      <c r="M315" s="60"/>
      <c r="N315" s="60"/>
      <c r="O315" s="60"/>
      <c r="P315" s="7" t="str">
        <f t="shared" si="9"/>
        <v/>
      </c>
      <c r="Q315" s="8">
        <f>IFERROR(VLOOKUP(VALUE(A315),WEEKLY_DATA!$A:$H,2,0),0)</f>
        <v>0</v>
      </c>
      <c r="R315" s="8">
        <f>IFERROR(VLOOKUP(VALUE(A315),WEEKLY_DATA!$A:$H,3,0),0)</f>
        <v>0</v>
      </c>
      <c r="S315" s="8">
        <f>IFERROR(VLOOKUP(VALUE(A315),WEEKLY_DATA!$A:$H,4,0),0)</f>
        <v>0</v>
      </c>
      <c r="T315" s="51">
        <f>IFERROR(VLOOKUP(VALUE(A315),WEEKLY_DATA!$A:$H,5,0),0)</f>
        <v>0</v>
      </c>
      <c r="U315" s="51">
        <f>IFERROR(VLOOKUP(VALUE(A315),WEEKLY_DATA!$A:$H,6,0),0)</f>
        <v>0</v>
      </c>
      <c r="V315" s="51">
        <f>IFERROR(VLOOKUP(VALUE(A315),WEEKLY_DATA!$A:$H,7,0),0)</f>
        <v>0</v>
      </c>
      <c r="W315" s="9" t="str">
        <f>IFERROR(IF(OR(Q315="",Q315=0),"",IF(VLOOKUP(VALUE($A315),WEEKLY_DATA!$A:$H,6,0)=0,"No Sales",Q315/(VLOOKUP(VALUE($A315),WEEKLY_DATA!$A:$H,6,0)/13))),"")</f>
        <v/>
      </c>
      <c r="X315" s="10">
        <f>IFERROR(VLOOKUP(VALUE(A315),WEEKLY_DATA!$A:$H,8,0),0)</f>
        <v>0</v>
      </c>
      <c r="Y315" s="13" t="str">
        <f t="shared" si="8"/>
        <v>—</v>
      </c>
      <c r="Z315" s="11"/>
      <c r="AA315" s="11"/>
      <c r="AB315" s="11"/>
      <c r="AC315" s="11"/>
      <c r="AD315" s="11"/>
      <c r="AE315" s="11"/>
      <c r="AF315" s="61"/>
      <c r="AG315" s="61"/>
      <c r="AH315" s="62"/>
      <c r="AI315" s="62"/>
      <c r="AJ315" s="61"/>
      <c r="AK315" s="61"/>
      <c r="AL315" s="61"/>
      <c r="AM315" s="58"/>
      <c r="AN315" s="58"/>
      <c r="AO315" s="58"/>
      <c r="AP315" s="58"/>
      <c r="AQ315" s="58"/>
      <c r="AR315" s="58"/>
      <c r="AS315" s="91"/>
      <c r="AT315" s="93"/>
      <c r="AU315" s="93"/>
      <c r="AV315" s="93"/>
      <c r="AW315" s="93"/>
    </row>
    <row r="316" spans="1:49" x14ac:dyDescent="0.25">
      <c r="A316" s="59"/>
      <c r="B316" s="12"/>
      <c r="C316" s="12"/>
      <c r="D316" s="60"/>
      <c r="E316" s="6"/>
      <c r="F316" s="6"/>
      <c r="G316" s="12"/>
      <c r="H316" s="12"/>
      <c r="I316" s="12" t="str" cm="2">
        <f t="array" ref="I316">IFERROR(INDEX(BrandList!$B$2:$B$200,MATCH(TRUE,ISNUMBER(SEARCH(BrandList!$B$2:$B$200,G316)),0)),"")</f>
        <v/>
      </c>
      <c r="J316" s="12"/>
      <c r="K316" s="12"/>
      <c r="L316" s="60"/>
      <c r="M316" s="60"/>
      <c r="N316" s="60"/>
      <c r="O316" s="60"/>
      <c r="P316" s="7" t="str">
        <f t="shared" si="9"/>
        <v/>
      </c>
      <c r="Q316" s="8">
        <f>IFERROR(VLOOKUP(VALUE(A316),WEEKLY_DATA!$A:$H,2,0),0)</f>
        <v>0</v>
      </c>
      <c r="R316" s="8">
        <f>IFERROR(VLOOKUP(VALUE(A316),WEEKLY_DATA!$A:$H,3,0),0)</f>
        <v>0</v>
      </c>
      <c r="S316" s="8">
        <f>IFERROR(VLOOKUP(VALUE(A316),WEEKLY_DATA!$A:$H,4,0),0)</f>
        <v>0</v>
      </c>
      <c r="T316" s="51">
        <f>IFERROR(VLOOKUP(VALUE(A316),WEEKLY_DATA!$A:$H,5,0),0)</f>
        <v>0</v>
      </c>
      <c r="U316" s="51">
        <f>IFERROR(VLOOKUP(VALUE(A316),WEEKLY_DATA!$A:$H,6,0),0)</f>
        <v>0</v>
      </c>
      <c r="V316" s="51">
        <f>IFERROR(VLOOKUP(VALUE(A316),WEEKLY_DATA!$A:$H,7,0),0)</f>
        <v>0</v>
      </c>
      <c r="W316" s="9" t="str">
        <f>IFERROR(IF(OR(Q316="",Q316=0),"",IF(VLOOKUP(VALUE($A316),WEEKLY_DATA!$A:$H,6,0)=0,"No Sales",Q316/(VLOOKUP(VALUE($A316),WEEKLY_DATA!$A:$H,6,0)/13))),"")</f>
        <v/>
      </c>
      <c r="X316" s="10">
        <f>IFERROR(VLOOKUP(VALUE(A316),WEEKLY_DATA!$A:$H,8,0),0)</f>
        <v>0</v>
      </c>
      <c r="Y316" s="13" t="str">
        <f t="shared" si="8"/>
        <v>—</v>
      </c>
      <c r="Z316" s="11"/>
      <c r="AA316" s="11"/>
      <c r="AB316" s="11"/>
      <c r="AC316" s="11"/>
      <c r="AD316" s="11"/>
      <c r="AE316" s="11"/>
      <c r="AF316" s="61"/>
      <c r="AG316" s="61"/>
      <c r="AH316" s="62"/>
      <c r="AI316" s="62"/>
      <c r="AJ316" s="61"/>
      <c r="AK316" s="61"/>
      <c r="AL316" s="61"/>
      <c r="AM316" s="58"/>
      <c r="AN316" s="58"/>
      <c r="AO316" s="58"/>
      <c r="AP316" s="58"/>
      <c r="AQ316" s="58"/>
      <c r="AR316" s="58"/>
      <c r="AS316" s="91"/>
      <c r="AT316" s="93"/>
      <c r="AU316" s="93"/>
      <c r="AV316" s="93"/>
      <c r="AW316" s="93"/>
    </row>
    <row r="317" spans="1:49" x14ac:dyDescent="0.25">
      <c r="A317" s="59"/>
      <c r="B317" s="12"/>
      <c r="C317" s="12"/>
      <c r="D317" s="60"/>
      <c r="E317" s="6"/>
      <c r="F317" s="6"/>
      <c r="G317" s="12"/>
      <c r="H317" s="12"/>
      <c r="I317" s="12" t="str" cm="2">
        <f t="array" ref="I317">IFERROR(INDEX(BrandList!$B$2:$B$200,MATCH(TRUE,ISNUMBER(SEARCH(BrandList!$B$2:$B$200,G317)),0)),"")</f>
        <v/>
      </c>
      <c r="J317" s="12"/>
      <c r="K317" s="12"/>
      <c r="L317" s="60"/>
      <c r="M317" s="60"/>
      <c r="N317" s="60"/>
      <c r="O317" s="60"/>
      <c r="P317" s="7" t="str">
        <f t="shared" si="9"/>
        <v/>
      </c>
      <c r="Q317" s="8">
        <f>IFERROR(VLOOKUP(VALUE(A317),WEEKLY_DATA!$A:$H,2,0),0)</f>
        <v>0</v>
      </c>
      <c r="R317" s="8">
        <f>IFERROR(VLOOKUP(VALUE(A317),WEEKLY_DATA!$A:$H,3,0),0)</f>
        <v>0</v>
      </c>
      <c r="S317" s="8">
        <f>IFERROR(VLOOKUP(VALUE(A317),WEEKLY_DATA!$A:$H,4,0),0)</f>
        <v>0</v>
      </c>
      <c r="T317" s="51">
        <f>IFERROR(VLOOKUP(VALUE(A317),WEEKLY_DATA!$A:$H,5,0),0)</f>
        <v>0</v>
      </c>
      <c r="U317" s="51">
        <f>IFERROR(VLOOKUP(VALUE(A317),WEEKLY_DATA!$A:$H,6,0),0)</f>
        <v>0</v>
      </c>
      <c r="V317" s="51">
        <f>IFERROR(VLOOKUP(VALUE(A317),WEEKLY_DATA!$A:$H,7,0),0)</f>
        <v>0</v>
      </c>
      <c r="W317" s="9" t="str">
        <f>IFERROR(IF(OR(Q317="",Q317=0),"",IF(VLOOKUP(VALUE($A317),WEEKLY_DATA!$A:$H,6,0)=0,"No Sales",Q317/(VLOOKUP(VALUE($A317),WEEKLY_DATA!$A:$H,6,0)/13))),"")</f>
        <v/>
      </c>
      <c r="X317" s="10">
        <f>IFERROR(VLOOKUP(VALUE(A317),WEEKLY_DATA!$A:$H,8,0),0)</f>
        <v>0</v>
      </c>
      <c r="Y317" s="13" t="str">
        <f t="shared" si="8"/>
        <v>—</v>
      </c>
      <c r="Z317" s="11"/>
      <c r="AA317" s="11"/>
      <c r="AB317" s="11"/>
      <c r="AC317" s="11"/>
      <c r="AD317" s="11"/>
      <c r="AE317" s="11"/>
      <c r="AF317" s="61"/>
      <c r="AG317" s="61"/>
      <c r="AH317" s="62"/>
      <c r="AI317" s="62"/>
      <c r="AJ317" s="61"/>
      <c r="AK317" s="61"/>
      <c r="AL317" s="61"/>
      <c r="AM317" s="58"/>
      <c r="AN317" s="58"/>
      <c r="AO317" s="58"/>
      <c r="AP317" s="58"/>
      <c r="AQ317" s="58"/>
      <c r="AR317" s="58"/>
      <c r="AS317" s="91"/>
      <c r="AT317" s="93"/>
      <c r="AU317" s="93"/>
      <c r="AV317" s="93"/>
      <c r="AW317" s="93"/>
    </row>
    <row r="318" spans="1:49" x14ac:dyDescent="0.25">
      <c r="A318" s="59"/>
      <c r="B318" s="12"/>
      <c r="C318" s="12"/>
      <c r="D318" s="60"/>
      <c r="E318" s="6"/>
      <c r="F318" s="6"/>
      <c r="G318" s="12"/>
      <c r="H318" s="12"/>
      <c r="I318" s="12" t="str" cm="2">
        <f t="array" ref="I318">IFERROR(INDEX(BrandList!$B$2:$B$200,MATCH(TRUE,ISNUMBER(SEARCH(BrandList!$B$2:$B$200,G318)),0)),"")</f>
        <v/>
      </c>
      <c r="J318" s="12"/>
      <c r="K318" s="12"/>
      <c r="L318" s="60"/>
      <c r="M318" s="60"/>
      <c r="N318" s="60"/>
      <c r="O318" s="60"/>
      <c r="P318" s="7" t="str">
        <f t="shared" si="9"/>
        <v/>
      </c>
      <c r="Q318" s="8">
        <f>IFERROR(VLOOKUP(VALUE(A318),WEEKLY_DATA!$A:$H,2,0),0)</f>
        <v>0</v>
      </c>
      <c r="R318" s="8">
        <f>IFERROR(VLOOKUP(VALUE(A318),WEEKLY_DATA!$A:$H,3,0),0)</f>
        <v>0</v>
      </c>
      <c r="S318" s="8">
        <f>IFERROR(VLOOKUP(VALUE(A318),WEEKLY_DATA!$A:$H,4,0),0)</f>
        <v>0</v>
      </c>
      <c r="T318" s="51">
        <f>IFERROR(VLOOKUP(VALUE(A318),WEEKLY_DATA!$A:$H,5,0),0)</f>
        <v>0</v>
      </c>
      <c r="U318" s="51">
        <f>IFERROR(VLOOKUP(VALUE(A318),WEEKLY_DATA!$A:$H,6,0),0)</f>
        <v>0</v>
      </c>
      <c r="V318" s="51">
        <f>IFERROR(VLOOKUP(VALUE(A318),WEEKLY_DATA!$A:$H,7,0),0)</f>
        <v>0</v>
      </c>
      <c r="W318" s="9" t="str">
        <f>IFERROR(IF(OR(Q318="",Q318=0),"",IF(VLOOKUP(VALUE($A318),WEEKLY_DATA!$A:$H,6,0)=0,"No Sales",Q318/(VLOOKUP(VALUE($A318),WEEKLY_DATA!$A:$H,6,0)/13))),"")</f>
        <v/>
      </c>
      <c r="X318" s="10">
        <f>IFERROR(VLOOKUP(VALUE(A318),WEEKLY_DATA!$A:$H,8,0),0)</f>
        <v>0</v>
      </c>
      <c r="Y318" s="13" t="str">
        <f t="shared" si="8"/>
        <v>—</v>
      </c>
      <c r="Z318" s="11"/>
      <c r="AA318" s="11"/>
      <c r="AB318" s="11"/>
      <c r="AC318" s="11"/>
      <c r="AD318" s="11"/>
      <c r="AE318" s="11"/>
      <c r="AF318" s="61"/>
      <c r="AG318" s="61"/>
      <c r="AH318" s="62"/>
      <c r="AI318" s="62"/>
      <c r="AJ318" s="61"/>
      <c r="AK318" s="61"/>
      <c r="AL318" s="61"/>
      <c r="AM318" s="58"/>
      <c r="AN318" s="58"/>
      <c r="AO318" s="58"/>
      <c r="AP318" s="58"/>
      <c r="AQ318" s="58"/>
      <c r="AR318" s="58"/>
      <c r="AS318" s="91"/>
      <c r="AT318" s="93"/>
      <c r="AU318" s="93"/>
      <c r="AV318" s="93"/>
      <c r="AW318" s="93"/>
    </row>
    <row r="319" spans="1:49" x14ac:dyDescent="0.25">
      <c r="A319" s="59"/>
      <c r="B319" s="12"/>
      <c r="C319" s="12"/>
      <c r="D319" s="60"/>
      <c r="E319" s="6"/>
      <c r="F319" s="6"/>
      <c r="G319" s="12"/>
      <c r="H319" s="12"/>
      <c r="I319" s="12" t="str" cm="2">
        <f t="array" ref="I319">IFERROR(INDEX(BrandList!$B$2:$B$200,MATCH(TRUE,ISNUMBER(SEARCH(BrandList!$B$2:$B$200,G319)),0)),"")</f>
        <v/>
      </c>
      <c r="J319" s="12"/>
      <c r="K319" s="12"/>
      <c r="L319" s="60"/>
      <c r="M319" s="60"/>
      <c r="N319" s="60"/>
      <c r="O319" s="60"/>
      <c r="P319" s="7" t="str">
        <f t="shared" si="9"/>
        <v/>
      </c>
      <c r="Q319" s="8">
        <f>IFERROR(VLOOKUP(VALUE(A319),WEEKLY_DATA!$A:$H,2,0),0)</f>
        <v>0</v>
      </c>
      <c r="R319" s="8">
        <f>IFERROR(VLOOKUP(VALUE(A319),WEEKLY_DATA!$A:$H,3,0),0)</f>
        <v>0</v>
      </c>
      <c r="S319" s="8">
        <f>IFERROR(VLOOKUP(VALUE(A319),WEEKLY_DATA!$A:$H,4,0),0)</f>
        <v>0</v>
      </c>
      <c r="T319" s="51">
        <f>IFERROR(VLOOKUP(VALUE(A319),WEEKLY_DATA!$A:$H,5,0),0)</f>
        <v>0</v>
      </c>
      <c r="U319" s="51">
        <f>IFERROR(VLOOKUP(VALUE(A319),WEEKLY_DATA!$A:$H,6,0),0)</f>
        <v>0</v>
      </c>
      <c r="V319" s="51">
        <f>IFERROR(VLOOKUP(VALUE(A319),WEEKLY_DATA!$A:$H,7,0),0)</f>
        <v>0</v>
      </c>
      <c r="W319" s="9" t="str">
        <f>IFERROR(IF(OR(Q319="",Q319=0),"",IF(VLOOKUP(VALUE($A319),WEEKLY_DATA!$A:$H,6,0)=0,"No Sales",Q319/(VLOOKUP(VALUE($A319),WEEKLY_DATA!$A:$H,6,0)/13))),"")</f>
        <v/>
      </c>
      <c r="X319" s="10">
        <f>IFERROR(VLOOKUP(VALUE(A319),WEEKLY_DATA!$A:$H,8,0),0)</f>
        <v>0</v>
      </c>
      <c r="Y319" s="13" t="str">
        <f t="shared" si="8"/>
        <v>—</v>
      </c>
      <c r="Z319" s="11"/>
      <c r="AA319" s="11"/>
      <c r="AB319" s="11"/>
      <c r="AC319" s="11"/>
      <c r="AD319" s="11"/>
      <c r="AE319" s="11"/>
      <c r="AF319" s="61"/>
      <c r="AG319" s="61"/>
      <c r="AH319" s="62"/>
      <c r="AI319" s="62"/>
      <c r="AJ319" s="61"/>
      <c r="AK319" s="61"/>
      <c r="AL319" s="61"/>
      <c r="AM319" s="58"/>
      <c r="AN319" s="58"/>
      <c r="AO319" s="58"/>
      <c r="AP319" s="58"/>
      <c r="AQ319" s="58"/>
      <c r="AR319" s="58"/>
      <c r="AS319" s="91"/>
      <c r="AT319" s="93"/>
      <c r="AU319" s="93"/>
      <c r="AV319" s="93"/>
      <c r="AW319" s="93"/>
    </row>
    <row r="320" spans="1:49" x14ac:dyDescent="0.25">
      <c r="A320" s="59"/>
      <c r="B320" s="12"/>
      <c r="C320" s="12"/>
      <c r="D320" s="60"/>
      <c r="E320" s="6"/>
      <c r="F320" s="6"/>
      <c r="G320" s="12"/>
      <c r="H320" s="12"/>
      <c r="I320" s="12" t="str" cm="2">
        <f t="array" ref="I320">IFERROR(INDEX(BrandList!$B$2:$B$200,MATCH(TRUE,ISNUMBER(SEARCH(BrandList!$B$2:$B$200,G320)),0)),"")</f>
        <v/>
      </c>
      <c r="J320" s="12"/>
      <c r="K320" s="12"/>
      <c r="L320" s="60"/>
      <c r="M320" s="60"/>
      <c r="N320" s="60"/>
      <c r="O320" s="60"/>
      <c r="P320" s="7" t="str">
        <f t="shared" si="9"/>
        <v/>
      </c>
      <c r="Q320" s="8">
        <f>IFERROR(VLOOKUP(VALUE(A320),WEEKLY_DATA!$A:$H,2,0),0)</f>
        <v>0</v>
      </c>
      <c r="R320" s="8">
        <f>IFERROR(VLOOKUP(VALUE(A320),WEEKLY_DATA!$A:$H,3,0),0)</f>
        <v>0</v>
      </c>
      <c r="S320" s="8">
        <f>IFERROR(VLOOKUP(VALUE(A320),WEEKLY_DATA!$A:$H,4,0),0)</f>
        <v>0</v>
      </c>
      <c r="T320" s="51">
        <f>IFERROR(VLOOKUP(VALUE(A320),WEEKLY_DATA!$A:$H,5,0),0)</f>
        <v>0</v>
      </c>
      <c r="U320" s="51">
        <f>IFERROR(VLOOKUP(VALUE(A320),WEEKLY_DATA!$A:$H,6,0),0)</f>
        <v>0</v>
      </c>
      <c r="V320" s="51">
        <f>IFERROR(VLOOKUP(VALUE(A320),WEEKLY_DATA!$A:$H,7,0),0)</f>
        <v>0</v>
      </c>
      <c r="W320" s="9" t="str">
        <f>IFERROR(IF(OR(Q320="",Q320=0),"",IF(VLOOKUP(VALUE($A320),WEEKLY_DATA!$A:$H,6,0)=0,"No Sales",Q320/(VLOOKUP(VALUE($A320),WEEKLY_DATA!$A:$H,6,0)/13))),"")</f>
        <v/>
      </c>
      <c r="X320" s="10">
        <f>IFERROR(VLOOKUP(VALUE(A320),WEEKLY_DATA!$A:$H,8,0),0)</f>
        <v>0</v>
      </c>
      <c r="Y320" s="13" t="str">
        <f t="shared" si="8"/>
        <v>—</v>
      </c>
      <c r="Z320" s="11"/>
      <c r="AA320" s="11"/>
      <c r="AB320" s="11"/>
      <c r="AC320" s="11"/>
      <c r="AD320" s="11"/>
      <c r="AE320" s="11"/>
      <c r="AF320" s="61"/>
      <c r="AG320" s="61"/>
      <c r="AH320" s="62"/>
      <c r="AI320" s="62"/>
      <c r="AJ320" s="61"/>
      <c r="AK320" s="61"/>
      <c r="AL320" s="61"/>
      <c r="AM320" s="58"/>
      <c r="AN320" s="58"/>
      <c r="AO320" s="58"/>
      <c r="AP320" s="58"/>
      <c r="AQ320" s="58"/>
      <c r="AR320" s="58"/>
      <c r="AS320" s="91"/>
      <c r="AT320" s="93"/>
      <c r="AU320" s="93"/>
      <c r="AV320" s="93"/>
      <c r="AW320" s="93"/>
    </row>
    <row r="321" spans="1:49" x14ac:dyDescent="0.25">
      <c r="A321" s="59"/>
      <c r="B321" s="12"/>
      <c r="C321" s="12"/>
      <c r="D321" s="60"/>
      <c r="E321" s="6"/>
      <c r="F321" s="6"/>
      <c r="G321" s="12"/>
      <c r="H321" s="12"/>
      <c r="I321" s="12" t="str" cm="2">
        <f t="array" ref="I321">IFERROR(INDEX(BrandList!$B$2:$B$200,MATCH(TRUE,ISNUMBER(SEARCH(BrandList!$B$2:$B$200,G321)),0)),"")</f>
        <v/>
      </c>
      <c r="J321" s="12"/>
      <c r="K321" s="12"/>
      <c r="L321" s="60"/>
      <c r="M321" s="60"/>
      <c r="N321" s="60"/>
      <c r="O321" s="60"/>
      <c r="P321" s="7" t="str">
        <f t="shared" si="9"/>
        <v/>
      </c>
      <c r="Q321" s="8">
        <f>IFERROR(VLOOKUP(VALUE(A321),WEEKLY_DATA!$A:$H,2,0),0)</f>
        <v>0</v>
      </c>
      <c r="R321" s="8">
        <f>IFERROR(VLOOKUP(VALUE(A321),WEEKLY_DATA!$A:$H,3,0),0)</f>
        <v>0</v>
      </c>
      <c r="S321" s="8">
        <f>IFERROR(VLOOKUP(VALUE(A321),WEEKLY_DATA!$A:$H,4,0),0)</f>
        <v>0</v>
      </c>
      <c r="T321" s="51">
        <f>IFERROR(VLOOKUP(VALUE(A321),WEEKLY_DATA!$A:$H,5,0),0)</f>
        <v>0</v>
      </c>
      <c r="U321" s="51">
        <f>IFERROR(VLOOKUP(VALUE(A321),WEEKLY_DATA!$A:$H,6,0),0)</f>
        <v>0</v>
      </c>
      <c r="V321" s="51">
        <f>IFERROR(VLOOKUP(VALUE(A321),WEEKLY_DATA!$A:$H,7,0),0)</f>
        <v>0</v>
      </c>
      <c r="W321" s="9" t="str">
        <f>IFERROR(IF(OR(Q321="",Q321=0),"",IF(VLOOKUP(VALUE($A321),WEEKLY_DATA!$A:$H,6,0)=0,"No Sales",Q321/(VLOOKUP(VALUE($A321),WEEKLY_DATA!$A:$H,6,0)/13))),"")</f>
        <v/>
      </c>
      <c r="X321" s="10">
        <f>IFERROR(VLOOKUP(VALUE(A321),WEEKLY_DATA!$A:$H,8,0),0)</f>
        <v>0</v>
      </c>
      <c r="Y321" s="13" t="str">
        <f t="shared" si="8"/>
        <v>—</v>
      </c>
      <c r="Z321" s="11"/>
      <c r="AA321" s="11"/>
      <c r="AB321" s="11"/>
      <c r="AC321" s="11"/>
      <c r="AD321" s="11"/>
      <c r="AE321" s="11"/>
      <c r="AF321" s="61"/>
      <c r="AG321" s="61"/>
      <c r="AH321" s="62"/>
      <c r="AI321" s="62"/>
      <c r="AJ321" s="61"/>
      <c r="AK321" s="61"/>
      <c r="AL321" s="61"/>
      <c r="AM321" s="58"/>
      <c r="AN321" s="58"/>
      <c r="AO321" s="58"/>
      <c r="AP321" s="58"/>
      <c r="AQ321" s="58"/>
      <c r="AR321" s="58"/>
      <c r="AS321" s="91"/>
      <c r="AT321" s="93"/>
      <c r="AU321" s="93"/>
      <c r="AV321" s="93"/>
      <c r="AW321" s="93"/>
    </row>
    <row r="322" spans="1:49" x14ac:dyDescent="0.25">
      <c r="A322" s="59"/>
      <c r="B322" s="12"/>
      <c r="C322" s="12"/>
      <c r="D322" s="60"/>
      <c r="E322" s="6"/>
      <c r="F322" s="6"/>
      <c r="G322" s="12"/>
      <c r="H322" s="12"/>
      <c r="I322" s="12" t="str" cm="2">
        <f t="array" ref="I322">IFERROR(INDEX(BrandList!$B$2:$B$200,MATCH(TRUE,ISNUMBER(SEARCH(BrandList!$B$2:$B$200,G322)),0)),"")</f>
        <v/>
      </c>
      <c r="J322" s="12"/>
      <c r="K322" s="12"/>
      <c r="L322" s="60"/>
      <c r="M322" s="60"/>
      <c r="N322" s="60"/>
      <c r="O322" s="60"/>
      <c r="P322" s="7" t="str">
        <f t="shared" si="9"/>
        <v/>
      </c>
      <c r="Q322" s="8">
        <f>IFERROR(VLOOKUP(VALUE(A322),WEEKLY_DATA!$A:$H,2,0),0)</f>
        <v>0</v>
      </c>
      <c r="R322" s="8">
        <f>IFERROR(VLOOKUP(VALUE(A322),WEEKLY_DATA!$A:$H,3,0),0)</f>
        <v>0</v>
      </c>
      <c r="S322" s="8">
        <f>IFERROR(VLOOKUP(VALUE(A322),WEEKLY_DATA!$A:$H,4,0),0)</f>
        <v>0</v>
      </c>
      <c r="T322" s="51">
        <f>IFERROR(VLOOKUP(VALUE(A322),WEEKLY_DATA!$A:$H,5,0),0)</f>
        <v>0</v>
      </c>
      <c r="U322" s="51">
        <f>IFERROR(VLOOKUP(VALUE(A322),WEEKLY_DATA!$A:$H,6,0),0)</f>
        <v>0</v>
      </c>
      <c r="V322" s="51">
        <f>IFERROR(VLOOKUP(VALUE(A322),WEEKLY_DATA!$A:$H,7,0),0)</f>
        <v>0</v>
      </c>
      <c r="W322" s="9" t="str">
        <f>IFERROR(IF(OR(Q322="",Q322=0),"",IF(VLOOKUP(VALUE($A322),WEEKLY_DATA!$A:$H,6,0)=0,"No Sales",Q322/(VLOOKUP(VALUE($A322),WEEKLY_DATA!$A:$H,6,0)/13))),"")</f>
        <v/>
      </c>
      <c r="X322" s="10">
        <f>IFERROR(VLOOKUP(VALUE(A322),WEEKLY_DATA!$A:$H,8,0),0)</f>
        <v>0</v>
      </c>
      <c r="Y322" s="13" t="str">
        <f t="shared" si="8"/>
        <v>—</v>
      </c>
      <c r="Z322" s="11"/>
      <c r="AA322" s="11"/>
      <c r="AB322" s="11"/>
      <c r="AC322" s="11"/>
      <c r="AD322" s="11"/>
      <c r="AE322" s="11"/>
      <c r="AF322" s="61"/>
      <c r="AG322" s="61"/>
      <c r="AH322" s="62"/>
      <c r="AI322" s="62"/>
      <c r="AJ322" s="61"/>
      <c r="AK322" s="61"/>
      <c r="AL322" s="61"/>
      <c r="AM322" s="58"/>
      <c r="AN322" s="58"/>
      <c r="AO322" s="58"/>
      <c r="AP322" s="58"/>
      <c r="AQ322" s="58"/>
      <c r="AR322" s="58"/>
      <c r="AS322" s="91"/>
      <c r="AT322" s="93"/>
      <c r="AU322" s="93"/>
      <c r="AV322" s="93"/>
      <c r="AW322" s="93"/>
    </row>
    <row r="323" spans="1:49" x14ac:dyDescent="0.25">
      <c r="A323" s="59"/>
      <c r="B323" s="12"/>
      <c r="C323" s="12"/>
      <c r="D323" s="60"/>
      <c r="E323" s="6"/>
      <c r="F323" s="6"/>
      <c r="G323" s="12"/>
      <c r="H323" s="12"/>
      <c r="I323" s="12" t="str" cm="2">
        <f t="array" ref="I323">IFERROR(INDEX(BrandList!$B$2:$B$200,MATCH(TRUE,ISNUMBER(SEARCH(BrandList!$B$2:$B$200,G323)),0)),"")</f>
        <v/>
      </c>
      <c r="J323" s="12"/>
      <c r="K323" s="12"/>
      <c r="L323" s="60"/>
      <c r="M323" s="60"/>
      <c r="N323" s="60"/>
      <c r="O323" s="60"/>
      <c r="P323" s="7" t="str">
        <f t="shared" si="9"/>
        <v/>
      </c>
      <c r="Q323" s="8">
        <f>IFERROR(VLOOKUP(VALUE(A323),WEEKLY_DATA!$A:$H,2,0),0)</f>
        <v>0</v>
      </c>
      <c r="R323" s="8">
        <f>IFERROR(VLOOKUP(VALUE(A323),WEEKLY_DATA!$A:$H,3,0),0)</f>
        <v>0</v>
      </c>
      <c r="S323" s="8">
        <f>IFERROR(VLOOKUP(VALUE(A323),WEEKLY_DATA!$A:$H,4,0),0)</f>
        <v>0</v>
      </c>
      <c r="T323" s="51">
        <f>IFERROR(VLOOKUP(VALUE(A323),WEEKLY_DATA!$A:$H,5,0),0)</f>
        <v>0</v>
      </c>
      <c r="U323" s="51">
        <f>IFERROR(VLOOKUP(VALUE(A323),WEEKLY_DATA!$A:$H,6,0),0)</f>
        <v>0</v>
      </c>
      <c r="V323" s="51">
        <f>IFERROR(VLOOKUP(VALUE(A323),WEEKLY_DATA!$A:$H,7,0),0)</f>
        <v>0</v>
      </c>
      <c r="W323" s="9" t="str">
        <f>IFERROR(IF(OR(Q323="",Q323=0),"",IF(VLOOKUP(VALUE($A323),WEEKLY_DATA!$A:$H,6,0)=0,"No Sales",Q323/(VLOOKUP(VALUE($A323),WEEKLY_DATA!$A:$H,6,0)/13))),"")</f>
        <v/>
      </c>
      <c r="X323" s="10">
        <f>IFERROR(VLOOKUP(VALUE(A323),WEEKLY_DATA!$A:$H,8,0),0)</f>
        <v>0</v>
      </c>
      <c r="Y323" s="13" t="str">
        <f t="shared" si="8"/>
        <v>—</v>
      </c>
      <c r="Z323" s="11"/>
      <c r="AA323" s="11"/>
      <c r="AB323" s="11"/>
      <c r="AC323" s="11"/>
      <c r="AD323" s="11"/>
      <c r="AE323" s="11"/>
      <c r="AF323" s="61"/>
      <c r="AG323" s="61"/>
      <c r="AH323" s="62"/>
      <c r="AI323" s="62"/>
      <c r="AJ323" s="61"/>
      <c r="AK323" s="61"/>
      <c r="AL323" s="61"/>
      <c r="AM323" s="58"/>
      <c r="AN323" s="58"/>
      <c r="AO323" s="58"/>
      <c r="AP323" s="58"/>
      <c r="AQ323" s="58"/>
      <c r="AR323" s="58"/>
      <c r="AS323" s="91"/>
      <c r="AT323" s="93"/>
      <c r="AU323" s="93"/>
      <c r="AV323" s="93"/>
      <c r="AW323" s="93"/>
    </row>
    <row r="324" spans="1:49" x14ac:dyDescent="0.25">
      <c r="A324" s="59"/>
      <c r="B324" s="12"/>
      <c r="C324" s="12"/>
      <c r="D324" s="60"/>
      <c r="E324" s="6"/>
      <c r="F324" s="6"/>
      <c r="G324" s="12"/>
      <c r="H324" s="12"/>
      <c r="I324" s="12" t="str" cm="2">
        <f t="array" ref="I324">IFERROR(INDEX(BrandList!$B$2:$B$200,MATCH(TRUE,ISNUMBER(SEARCH(BrandList!$B$2:$B$200,G324)),0)),"")</f>
        <v/>
      </c>
      <c r="J324" s="12"/>
      <c r="K324" s="12"/>
      <c r="L324" s="60"/>
      <c r="M324" s="60"/>
      <c r="N324" s="60"/>
      <c r="O324" s="60"/>
      <c r="P324" s="7" t="str">
        <f t="shared" si="9"/>
        <v/>
      </c>
      <c r="Q324" s="8">
        <f>IFERROR(VLOOKUP(VALUE(A324),WEEKLY_DATA!$A:$H,2,0),0)</f>
        <v>0</v>
      </c>
      <c r="R324" s="8">
        <f>IFERROR(VLOOKUP(VALUE(A324),WEEKLY_DATA!$A:$H,3,0),0)</f>
        <v>0</v>
      </c>
      <c r="S324" s="8">
        <f>IFERROR(VLOOKUP(VALUE(A324),WEEKLY_DATA!$A:$H,4,0),0)</f>
        <v>0</v>
      </c>
      <c r="T324" s="51">
        <f>IFERROR(VLOOKUP(VALUE(A324),WEEKLY_DATA!$A:$H,5,0),0)</f>
        <v>0</v>
      </c>
      <c r="U324" s="51">
        <f>IFERROR(VLOOKUP(VALUE(A324),WEEKLY_DATA!$A:$H,6,0),0)</f>
        <v>0</v>
      </c>
      <c r="V324" s="51">
        <f>IFERROR(VLOOKUP(VALUE(A324),WEEKLY_DATA!$A:$H,7,0),0)</f>
        <v>0</v>
      </c>
      <c r="W324" s="9" t="str">
        <f>IFERROR(IF(OR(Q324="",Q324=0),"",IF(VLOOKUP(VALUE($A324),WEEKLY_DATA!$A:$H,6,0)=0,"No Sales",Q324/(VLOOKUP(VALUE($A324),WEEKLY_DATA!$A:$H,6,0)/13))),"")</f>
        <v/>
      </c>
      <c r="X324" s="10">
        <f>IFERROR(VLOOKUP(VALUE(A324),WEEKLY_DATA!$A:$H,8,0),0)</f>
        <v>0</v>
      </c>
      <c r="Y324" s="13" t="str">
        <f t="shared" si="8"/>
        <v>—</v>
      </c>
      <c r="Z324" s="11"/>
      <c r="AA324" s="11"/>
      <c r="AB324" s="11"/>
      <c r="AC324" s="11"/>
      <c r="AD324" s="11"/>
      <c r="AE324" s="11"/>
      <c r="AF324" s="61"/>
      <c r="AG324" s="61"/>
      <c r="AH324" s="62"/>
      <c r="AI324" s="62"/>
      <c r="AJ324" s="61"/>
      <c r="AK324" s="61"/>
      <c r="AL324" s="61"/>
      <c r="AM324" s="58"/>
      <c r="AN324" s="58"/>
      <c r="AO324" s="58"/>
      <c r="AP324" s="58"/>
      <c r="AQ324" s="58"/>
      <c r="AR324" s="58"/>
      <c r="AS324" s="91"/>
      <c r="AT324" s="93"/>
      <c r="AU324" s="93"/>
      <c r="AV324" s="93"/>
      <c r="AW324" s="93"/>
    </row>
    <row r="325" spans="1:49" x14ac:dyDescent="0.25">
      <c r="A325" s="59"/>
      <c r="B325" s="12"/>
      <c r="C325" s="12"/>
      <c r="D325" s="60"/>
      <c r="E325" s="6"/>
      <c r="F325" s="6"/>
      <c r="G325" s="12"/>
      <c r="H325" s="12"/>
      <c r="I325" s="12" t="str" cm="2">
        <f t="array" ref="I325">IFERROR(INDEX(BrandList!$B$2:$B$200,MATCH(TRUE,ISNUMBER(SEARCH(BrandList!$B$2:$B$200,G325)),0)),"")</f>
        <v/>
      </c>
      <c r="J325" s="12"/>
      <c r="K325" s="12"/>
      <c r="L325" s="60"/>
      <c r="M325" s="60"/>
      <c r="N325" s="60"/>
      <c r="O325" s="60"/>
      <c r="P325" s="7" t="str">
        <f t="shared" si="9"/>
        <v/>
      </c>
      <c r="Q325" s="8">
        <f>IFERROR(VLOOKUP(VALUE(A325),WEEKLY_DATA!$A:$H,2,0),0)</f>
        <v>0</v>
      </c>
      <c r="R325" s="8">
        <f>IFERROR(VLOOKUP(VALUE(A325),WEEKLY_DATA!$A:$H,3,0),0)</f>
        <v>0</v>
      </c>
      <c r="S325" s="8">
        <f>IFERROR(VLOOKUP(VALUE(A325),WEEKLY_DATA!$A:$H,4,0),0)</f>
        <v>0</v>
      </c>
      <c r="T325" s="51">
        <f>IFERROR(VLOOKUP(VALUE(A325),WEEKLY_DATA!$A:$H,5,0),0)</f>
        <v>0</v>
      </c>
      <c r="U325" s="51">
        <f>IFERROR(VLOOKUP(VALUE(A325),WEEKLY_DATA!$A:$H,6,0),0)</f>
        <v>0</v>
      </c>
      <c r="V325" s="51">
        <f>IFERROR(VLOOKUP(VALUE(A325),WEEKLY_DATA!$A:$H,7,0),0)</f>
        <v>0</v>
      </c>
      <c r="W325" s="9" t="str">
        <f>IFERROR(IF(OR(Q325="",Q325=0),"",IF(VLOOKUP(VALUE($A325),WEEKLY_DATA!$A:$H,6,0)=0,"No Sales",Q325/(VLOOKUP(VALUE($A325),WEEKLY_DATA!$A:$H,6,0)/13))),"")</f>
        <v/>
      </c>
      <c r="X325" s="10">
        <f>IFERROR(VLOOKUP(VALUE(A325),WEEKLY_DATA!$A:$H,8,0),0)</f>
        <v>0</v>
      </c>
      <c r="Y325" s="13" t="str">
        <f t="shared" si="8"/>
        <v>—</v>
      </c>
      <c r="Z325" s="11"/>
      <c r="AA325" s="11"/>
      <c r="AB325" s="11"/>
      <c r="AC325" s="11"/>
      <c r="AD325" s="11"/>
      <c r="AE325" s="11"/>
      <c r="AF325" s="61"/>
      <c r="AG325" s="61"/>
      <c r="AH325" s="62"/>
      <c r="AI325" s="62"/>
      <c r="AJ325" s="61"/>
      <c r="AK325" s="61"/>
      <c r="AL325" s="61"/>
      <c r="AM325" s="58"/>
      <c r="AN325" s="58"/>
      <c r="AO325" s="58"/>
      <c r="AP325" s="58"/>
      <c r="AQ325" s="58"/>
      <c r="AR325" s="58"/>
      <c r="AS325" s="91"/>
      <c r="AT325" s="93"/>
      <c r="AU325" s="93"/>
      <c r="AV325" s="93"/>
      <c r="AW325" s="93"/>
    </row>
    <row r="326" spans="1:49" x14ac:dyDescent="0.25">
      <c r="A326" s="59"/>
      <c r="B326" s="12"/>
      <c r="C326" s="12"/>
      <c r="D326" s="60"/>
      <c r="E326" s="6"/>
      <c r="F326" s="6"/>
      <c r="G326" s="12"/>
      <c r="H326" s="12"/>
      <c r="I326" s="12" t="str" cm="2">
        <f t="array" ref="I326">IFERROR(INDEX(BrandList!$B$2:$B$200,MATCH(TRUE,ISNUMBER(SEARCH(BrandList!$B$2:$B$200,G326)),0)),"")</f>
        <v/>
      </c>
      <c r="J326" s="12"/>
      <c r="K326" s="12"/>
      <c r="L326" s="60"/>
      <c r="M326" s="60"/>
      <c r="N326" s="60"/>
      <c r="O326" s="60"/>
      <c r="P326" s="7" t="str">
        <f t="shared" si="9"/>
        <v/>
      </c>
      <c r="Q326" s="8">
        <f>IFERROR(VLOOKUP(VALUE(A326),WEEKLY_DATA!$A:$H,2,0),0)</f>
        <v>0</v>
      </c>
      <c r="R326" s="8">
        <f>IFERROR(VLOOKUP(VALUE(A326),WEEKLY_DATA!$A:$H,3,0),0)</f>
        <v>0</v>
      </c>
      <c r="S326" s="8">
        <f>IFERROR(VLOOKUP(VALUE(A326),WEEKLY_DATA!$A:$H,4,0),0)</f>
        <v>0</v>
      </c>
      <c r="T326" s="51">
        <f>IFERROR(VLOOKUP(VALUE(A326),WEEKLY_DATA!$A:$H,5,0),0)</f>
        <v>0</v>
      </c>
      <c r="U326" s="51">
        <f>IFERROR(VLOOKUP(VALUE(A326),WEEKLY_DATA!$A:$H,6,0),0)</f>
        <v>0</v>
      </c>
      <c r="V326" s="51">
        <f>IFERROR(VLOOKUP(VALUE(A326),WEEKLY_DATA!$A:$H,7,0),0)</f>
        <v>0</v>
      </c>
      <c r="W326" s="9" t="str">
        <f>IFERROR(IF(OR(Q326="",Q326=0),"",IF(VLOOKUP(VALUE($A326),WEEKLY_DATA!$A:$H,6,0)=0,"No Sales",Q326/(VLOOKUP(VALUE($A326),WEEKLY_DATA!$A:$H,6,0)/13))),"")</f>
        <v/>
      </c>
      <c r="X326" s="10">
        <f>IFERROR(VLOOKUP(VALUE(A326),WEEKLY_DATA!$A:$H,8,0),0)</f>
        <v>0</v>
      </c>
      <c r="Y326" s="13" t="str">
        <f t="shared" ref="Y326:Y389" si="10">IFERROR(
IF(J326="Discontinued","🔴 EOL",
IF(J326="Drop Ship","📦 Drop Ship",
IF(J326="New","🆕 New",
IF(W326="","—",
IF(W326&lt;2,"🔴 Critical",
IF(W326&lt;4,"🟡 Low",
IF(W326&gt;26,"🔵 Overstock","🟢 Healthy")
)))))),"")</f>
        <v>—</v>
      </c>
      <c r="Z326" s="11"/>
      <c r="AA326" s="11"/>
      <c r="AB326" s="11"/>
      <c r="AC326" s="11"/>
      <c r="AD326" s="11"/>
      <c r="AE326" s="11"/>
      <c r="AF326" s="61"/>
      <c r="AG326" s="61"/>
      <c r="AH326" s="62"/>
      <c r="AI326" s="62"/>
      <c r="AJ326" s="61"/>
      <c r="AK326" s="61"/>
      <c r="AL326" s="61"/>
      <c r="AM326" s="58"/>
      <c r="AN326" s="58"/>
      <c r="AO326" s="58"/>
      <c r="AP326" s="58"/>
      <c r="AQ326" s="58"/>
      <c r="AR326" s="58"/>
      <c r="AS326" s="91"/>
      <c r="AT326" s="93"/>
      <c r="AU326" s="93"/>
      <c r="AV326" s="93"/>
      <c r="AW326" s="93"/>
    </row>
    <row r="327" spans="1:49" x14ac:dyDescent="0.25">
      <c r="A327" s="59"/>
      <c r="B327" s="12"/>
      <c r="C327" s="12"/>
      <c r="D327" s="60"/>
      <c r="E327" s="6"/>
      <c r="F327" s="6"/>
      <c r="G327" s="12"/>
      <c r="H327" s="12"/>
      <c r="I327" s="12" t="str" cm="2">
        <f t="array" ref="I327">IFERROR(INDEX(BrandList!$B$2:$B$200,MATCH(TRUE,ISNUMBER(SEARCH(BrandList!$B$2:$B$200,G327)),0)),"")</f>
        <v/>
      </c>
      <c r="J327" s="12"/>
      <c r="K327" s="12"/>
      <c r="L327" s="60"/>
      <c r="M327" s="60"/>
      <c r="N327" s="60"/>
      <c r="O327" s="60"/>
      <c r="P327" s="7" t="str">
        <f t="shared" ref="P327:P390" si="11">IFERROR(IF(OR(E327="",F327="",F327=0),"",(F327-E327)/F327),"")</f>
        <v/>
      </c>
      <c r="Q327" s="8">
        <f>IFERROR(VLOOKUP(VALUE(A327),WEEKLY_DATA!$A:$H,2,0),0)</f>
        <v>0</v>
      </c>
      <c r="R327" s="8">
        <f>IFERROR(VLOOKUP(VALUE(A327),WEEKLY_DATA!$A:$H,3,0),0)</f>
        <v>0</v>
      </c>
      <c r="S327" s="8">
        <f>IFERROR(VLOOKUP(VALUE(A327),WEEKLY_DATA!$A:$H,4,0),0)</f>
        <v>0</v>
      </c>
      <c r="T327" s="51">
        <f>IFERROR(VLOOKUP(VALUE(A327),WEEKLY_DATA!$A:$H,5,0),0)</f>
        <v>0</v>
      </c>
      <c r="U327" s="51">
        <f>IFERROR(VLOOKUP(VALUE(A327),WEEKLY_DATA!$A:$H,6,0),0)</f>
        <v>0</v>
      </c>
      <c r="V327" s="51">
        <f>IFERROR(VLOOKUP(VALUE(A327),WEEKLY_DATA!$A:$H,7,0),0)</f>
        <v>0</v>
      </c>
      <c r="W327" s="9" t="str">
        <f>IFERROR(IF(OR(Q327="",Q327=0),"",IF(VLOOKUP(VALUE($A327),WEEKLY_DATA!$A:$H,6,0)=0,"No Sales",Q327/(VLOOKUP(VALUE($A327),WEEKLY_DATA!$A:$H,6,0)/13))),"")</f>
        <v/>
      </c>
      <c r="X327" s="10">
        <f>IFERROR(VLOOKUP(VALUE(A327),WEEKLY_DATA!$A:$H,8,0),0)</f>
        <v>0</v>
      </c>
      <c r="Y327" s="13" t="str">
        <f t="shared" si="10"/>
        <v>—</v>
      </c>
      <c r="Z327" s="11"/>
      <c r="AA327" s="11"/>
      <c r="AB327" s="11"/>
      <c r="AC327" s="11"/>
      <c r="AD327" s="11"/>
      <c r="AE327" s="11"/>
      <c r="AF327" s="61"/>
      <c r="AG327" s="61"/>
      <c r="AH327" s="62"/>
      <c r="AI327" s="62"/>
      <c r="AJ327" s="61"/>
      <c r="AK327" s="61"/>
      <c r="AL327" s="61"/>
      <c r="AM327" s="58"/>
      <c r="AN327" s="58"/>
      <c r="AO327" s="58"/>
      <c r="AP327" s="58"/>
      <c r="AQ327" s="58"/>
      <c r="AR327" s="58"/>
      <c r="AS327" s="91"/>
      <c r="AT327" s="93"/>
      <c r="AU327" s="93"/>
      <c r="AV327" s="93"/>
      <c r="AW327" s="93"/>
    </row>
    <row r="328" spans="1:49" x14ac:dyDescent="0.25">
      <c r="A328" s="59"/>
      <c r="B328" s="12"/>
      <c r="C328" s="12"/>
      <c r="D328" s="60"/>
      <c r="E328" s="6"/>
      <c r="F328" s="6"/>
      <c r="G328" s="12"/>
      <c r="H328" s="12"/>
      <c r="I328" s="12" t="str" cm="2">
        <f t="array" ref="I328">IFERROR(INDEX(BrandList!$B$2:$B$200,MATCH(TRUE,ISNUMBER(SEARCH(BrandList!$B$2:$B$200,G328)),0)),"")</f>
        <v/>
      </c>
      <c r="J328" s="12"/>
      <c r="K328" s="12"/>
      <c r="L328" s="60"/>
      <c r="M328" s="60"/>
      <c r="N328" s="60"/>
      <c r="O328" s="60"/>
      <c r="P328" s="7" t="str">
        <f t="shared" si="11"/>
        <v/>
      </c>
      <c r="Q328" s="8">
        <f>IFERROR(VLOOKUP(VALUE(A328),WEEKLY_DATA!$A:$H,2,0),0)</f>
        <v>0</v>
      </c>
      <c r="R328" s="8">
        <f>IFERROR(VLOOKUP(VALUE(A328),WEEKLY_DATA!$A:$H,3,0),0)</f>
        <v>0</v>
      </c>
      <c r="S328" s="8">
        <f>IFERROR(VLOOKUP(VALUE(A328),WEEKLY_DATA!$A:$H,4,0),0)</f>
        <v>0</v>
      </c>
      <c r="T328" s="51">
        <f>IFERROR(VLOOKUP(VALUE(A328),WEEKLY_DATA!$A:$H,5,0),0)</f>
        <v>0</v>
      </c>
      <c r="U328" s="51">
        <f>IFERROR(VLOOKUP(VALUE(A328),WEEKLY_DATA!$A:$H,6,0),0)</f>
        <v>0</v>
      </c>
      <c r="V328" s="51">
        <f>IFERROR(VLOOKUP(VALUE(A328),WEEKLY_DATA!$A:$H,7,0),0)</f>
        <v>0</v>
      </c>
      <c r="W328" s="9" t="str">
        <f>IFERROR(IF(OR(Q328="",Q328=0),"",IF(VLOOKUP(VALUE($A328),WEEKLY_DATA!$A:$H,6,0)=0,"No Sales",Q328/(VLOOKUP(VALUE($A328),WEEKLY_DATA!$A:$H,6,0)/13))),"")</f>
        <v/>
      </c>
      <c r="X328" s="10">
        <f>IFERROR(VLOOKUP(VALUE(A328),WEEKLY_DATA!$A:$H,8,0),0)</f>
        <v>0</v>
      </c>
      <c r="Y328" s="13" t="str">
        <f t="shared" si="10"/>
        <v>—</v>
      </c>
      <c r="Z328" s="11"/>
      <c r="AA328" s="11"/>
      <c r="AB328" s="11"/>
      <c r="AC328" s="11"/>
      <c r="AD328" s="11"/>
      <c r="AE328" s="11"/>
      <c r="AF328" s="61"/>
      <c r="AG328" s="61"/>
      <c r="AH328" s="62"/>
      <c r="AI328" s="62"/>
      <c r="AJ328" s="61"/>
      <c r="AK328" s="61"/>
      <c r="AL328" s="61"/>
      <c r="AM328" s="58"/>
      <c r="AN328" s="58"/>
      <c r="AO328" s="58"/>
      <c r="AP328" s="58"/>
      <c r="AQ328" s="58"/>
      <c r="AR328" s="58"/>
      <c r="AS328" s="91"/>
      <c r="AT328" s="93"/>
      <c r="AU328" s="93"/>
      <c r="AV328" s="93"/>
      <c r="AW328" s="93"/>
    </row>
    <row r="329" spans="1:49" x14ac:dyDescent="0.25">
      <c r="A329" s="59"/>
      <c r="B329" s="12"/>
      <c r="C329" s="12"/>
      <c r="D329" s="60"/>
      <c r="E329" s="6"/>
      <c r="F329" s="6"/>
      <c r="G329" s="12"/>
      <c r="H329" s="12"/>
      <c r="I329" s="12" t="str" cm="2">
        <f t="array" ref="I329">IFERROR(INDEX(BrandList!$B$2:$B$200,MATCH(TRUE,ISNUMBER(SEARCH(BrandList!$B$2:$B$200,G329)),0)),"")</f>
        <v/>
      </c>
      <c r="J329" s="12"/>
      <c r="K329" s="12"/>
      <c r="L329" s="60"/>
      <c r="M329" s="60"/>
      <c r="N329" s="60"/>
      <c r="O329" s="60"/>
      <c r="P329" s="7" t="str">
        <f t="shared" si="11"/>
        <v/>
      </c>
      <c r="Q329" s="8">
        <f>IFERROR(VLOOKUP(VALUE(A329),WEEKLY_DATA!$A:$H,2,0),0)</f>
        <v>0</v>
      </c>
      <c r="R329" s="8">
        <f>IFERROR(VLOOKUP(VALUE(A329),WEEKLY_DATA!$A:$H,3,0),0)</f>
        <v>0</v>
      </c>
      <c r="S329" s="8">
        <f>IFERROR(VLOOKUP(VALUE(A329),WEEKLY_DATA!$A:$H,4,0),0)</f>
        <v>0</v>
      </c>
      <c r="T329" s="51">
        <f>IFERROR(VLOOKUP(VALUE(A329),WEEKLY_DATA!$A:$H,5,0),0)</f>
        <v>0</v>
      </c>
      <c r="U329" s="51">
        <f>IFERROR(VLOOKUP(VALUE(A329),WEEKLY_DATA!$A:$H,6,0),0)</f>
        <v>0</v>
      </c>
      <c r="V329" s="51">
        <f>IFERROR(VLOOKUP(VALUE(A329),WEEKLY_DATA!$A:$H,7,0),0)</f>
        <v>0</v>
      </c>
      <c r="W329" s="9" t="str">
        <f>IFERROR(IF(OR(Q329="",Q329=0),"",IF(VLOOKUP(VALUE($A329),WEEKLY_DATA!$A:$H,6,0)=0,"No Sales",Q329/(VLOOKUP(VALUE($A329),WEEKLY_DATA!$A:$H,6,0)/13))),"")</f>
        <v/>
      </c>
      <c r="X329" s="10">
        <f>IFERROR(VLOOKUP(VALUE(A329),WEEKLY_DATA!$A:$H,8,0),0)</f>
        <v>0</v>
      </c>
      <c r="Y329" s="13" t="str">
        <f t="shared" si="10"/>
        <v>—</v>
      </c>
      <c r="Z329" s="11"/>
      <c r="AA329" s="11"/>
      <c r="AB329" s="11"/>
      <c r="AC329" s="11"/>
      <c r="AD329" s="11"/>
      <c r="AE329" s="11"/>
      <c r="AF329" s="61"/>
      <c r="AG329" s="61"/>
      <c r="AH329" s="62"/>
      <c r="AI329" s="62"/>
      <c r="AJ329" s="61"/>
      <c r="AK329" s="61"/>
      <c r="AL329" s="61"/>
      <c r="AM329" s="58"/>
      <c r="AN329" s="58"/>
      <c r="AO329" s="58"/>
      <c r="AP329" s="58"/>
      <c r="AQ329" s="58"/>
      <c r="AR329" s="58"/>
      <c r="AS329" s="91"/>
      <c r="AT329" s="93"/>
      <c r="AU329" s="93"/>
      <c r="AV329" s="93"/>
      <c r="AW329" s="93"/>
    </row>
    <row r="330" spans="1:49" x14ac:dyDescent="0.25">
      <c r="A330" s="59"/>
      <c r="B330" s="12"/>
      <c r="C330" s="12"/>
      <c r="D330" s="60"/>
      <c r="E330" s="6"/>
      <c r="F330" s="6"/>
      <c r="G330" s="12"/>
      <c r="H330" s="12"/>
      <c r="I330" s="12" t="str" cm="2">
        <f t="array" ref="I330">IFERROR(INDEX(BrandList!$B$2:$B$200,MATCH(TRUE,ISNUMBER(SEARCH(BrandList!$B$2:$B$200,G330)),0)),"")</f>
        <v/>
      </c>
      <c r="J330" s="12"/>
      <c r="K330" s="12"/>
      <c r="L330" s="60"/>
      <c r="M330" s="60"/>
      <c r="N330" s="60"/>
      <c r="O330" s="60"/>
      <c r="P330" s="7" t="str">
        <f t="shared" si="11"/>
        <v/>
      </c>
      <c r="Q330" s="8">
        <f>IFERROR(VLOOKUP(VALUE(A330),WEEKLY_DATA!$A:$H,2,0),0)</f>
        <v>0</v>
      </c>
      <c r="R330" s="8">
        <f>IFERROR(VLOOKUP(VALUE(A330),WEEKLY_DATA!$A:$H,3,0),0)</f>
        <v>0</v>
      </c>
      <c r="S330" s="8">
        <f>IFERROR(VLOOKUP(VALUE(A330),WEEKLY_DATA!$A:$H,4,0),0)</f>
        <v>0</v>
      </c>
      <c r="T330" s="51">
        <f>IFERROR(VLOOKUP(VALUE(A330),WEEKLY_DATA!$A:$H,5,0),0)</f>
        <v>0</v>
      </c>
      <c r="U330" s="51">
        <f>IFERROR(VLOOKUP(VALUE(A330),WEEKLY_DATA!$A:$H,6,0),0)</f>
        <v>0</v>
      </c>
      <c r="V330" s="51">
        <f>IFERROR(VLOOKUP(VALUE(A330),WEEKLY_DATA!$A:$H,7,0),0)</f>
        <v>0</v>
      </c>
      <c r="W330" s="9" t="str">
        <f>IFERROR(IF(OR(Q330="",Q330=0),"",IF(VLOOKUP(VALUE($A330),WEEKLY_DATA!$A:$H,6,0)=0,"No Sales",Q330/(VLOOKUP(VALUE($A330),WEEKLY_DATA!$A:$H,6,0)/13))),"")</f>
        <v/>
      </c>
      <c r="X330" s="10">
        <f>IFERROR(VLOOKUP(VALUE(A330),WEEKLY_DATA!$A:$H,8,0),0)</f>
        <v>0</v>
      </c>
      <c r="Y330" s="13" t="str">
        <f t="shared" si="10"/>
        <v>—</v>
      </c>
      <c r="Z330" s="11"/>
      <c r="AA330" s="11"/>
      <c r="AB330" s="11"/>
      <c r="AC330" s="11"/>
      <c r="AD330" s="11"/>
      <c r="AE330" s="11"/>
      <c r="AF330" s="61"/>
      <c r="AG330" s="61"/>
      <c r="AH330" s="62"/>
      <c r="AI330" s="62"/>
      <c r="AJ330" s="61"/>
      <c r="AK330" s="61"/>
      <c r="AL330" s="61"/>
      <c r="AM330" s="58"/>
      <c r="AN330" s="58"/>
      <c r="AO330" s="58"/>
      <c r="AP330" s="58"/>
      <c r="AQ330" s="58"/>
      <c r="AR330" s="58"/>
      <c r="AS330" s="91"/>
      <c r="AT330" s="93"/>
      <c r="AU330" s="93"/>
      <c r="AV330" s="93"/>
      <c r="AW330" s="93"/>
    </row>
    <row r="331" spans="1:49" x14ac:dyDescent="0.25">
      <c r="A331" s="59"/>
      <c r="B331" s="12"/>
      <c r="C331" s="12"/>
      <c r="D331" s="60"/>
      <c r="E331" s="6"/>
      <c r="F331" s="6"/>
      <c r="G331" s="12"/>
      <c r="H331" s="12"/>
      <c r="I331" s="12" t="str" cm="2">
        <f t="array" ref="I331">IFERROR(INDEX(BrandList!$B$2:$B$200,MATCH(TRUE,ISNUMBER(SEARCH(BrandList!$B$2:$B$200,G331)),0)),"")</f>
        <v/>
      </c>
      <c r="J331" s="12"/>
      <c r="K331" s="12"/>
      <c r="L331" s="60"/>
      <c r="M331" s="60"/>
      <c r="N331" s="60"/>
      <c r="O331" s="60"/>
      <c r="P331" s="7" t="str">
        <f t="shared" si="11"/>
        <v/>
      </c>
      <c r="Q331" s="8">
        <f>IFERROR(VLOOKUP(VALUE(A331),WEEKLY_DATA!$A:$H,2,0),0)</f>
        <v>0</v>
      </c>
      <c r="R331" s="8">
        <f>IFERROR(VLOOKUP(VALUE(A331),WEEKLY_DATA!$A:$H,3,0),0)</f>
        <v>0</v>
      </c>
      <c r="S331" s="8">
        <f>IFERROR(VLOOKUP(VALUE(A331),WEEKLY_DATA!$A:$H,4,0),0)</f>
        <v>0</v>
      </c>
      <c r="T331" s="51">
        <f>IFERROR(VLOOKUP(VALUE(A331),WEEKLY_DATA!$A:$H,5,0),0)</f>
        <v>0</v>
      </c>
      <c r="U331" s="51">
        <f>IFERROR(VLOOKUP(VALUE(A331),WEEKLY_DATA!$A:$H,6,0),0)</f>
        <v>0</v>
      </c>
      <c r="V331" s="51">
        <f>IFERROR(VLOOKUP(VALUE(A331),WEEKLY_DATA!$A:$H,7,0),0)</f>
        <v>0</v>
      </c>
      <c r="W331" s="9" t="str">
        <f>IFERROR(IF(OR(Q331="",Q331=0),"",IF(VLOOKUP(VALUE($A331),WEEKLY_DATA!$A:$H,6,0)=0,"No Sales",Q331/(VLOOKUP(VALUE($A331),WEEKLY_DATA!$A:$H,6,0)/13))),"")</f>
        <v/>
      </c>
      <c r="X331" s="10">
        <f>IFERROR(VLOOKUP(VALUE(A331),WEEKLY_DATA!$A:$H,8,0),0)</f>
        <v>0</v>
      </c>
      <c r="Y331" s="13" t="str">
        <f t="shared" si="10"/>
        <v>—</v>
      </c>
      <c r="Z331" s="11"/>
      <c r="AA331" s="11"/>
      <c r="AB331" s="11"/>
      <c r="AC331" s="11"/>
      <c r="AD331" s="11"/>
      <c r="AE331" s="11"/>
      <c r="AF331" s="61"/>
      <c r="AG331" s="61"/>
      <c r="AH331" s="62"/>
      <c r="AI331" s="62"/>
      <c r="AJ331" s="61"/>
      <c r="AK331" s="61"/>
      <c r="AL331" s="61"/>
      <c r="AM331" s="58"/>
      <c r="AN331" s="58"/>
      <c r="AO331" s="58"/>
      <c r="AP331" s="58"/>
      <c r="AQ331" s="58"/>
      <c r="AR331" s="58"/>
      <c r="AS331" s="91"/>
      <c r="AT331" s="93"/>
      <c r="AU331" s="93"/>
      <c r="AV331" s="93"/>
      <c r="AW331" s="93"/>
    </row>
    <row r="332" spans="1:49" x14ac:dyDescent="0.25">
      <c r="A332" s="59"/>
      <c r="B332" s="12"/>
      <c r="C332" s="12"/>
      <c r="D332" s="60"/>
      <c r="E332" s="6"/>
      <c r="F332" s="6"/>
      <c r="G332" s="12"/>
      <c r="H332" s="12"/>
      <c r="I332" s="12" t="str" cm="2">
        <f t="array" ref="I332">IFERROR(INDEX(BrandList!$B$2:$B$200,MATCH(TRUE,ISNUMBER(SEARCH(BrandList!$B$2:$B$200,G332)),0)),"")</f>
        <v/>
      </c>
      <c r="J332" s="12"/>
      <c r="K332" s="12"/>
      <c r="L332" s="60"/>
      <c r="M332" s="60"/>
      <c r="N332" s="60"/>
      <c r="O332" s="60"/>
      <c r="P332" s="7" t="str">
        <f t="shared" si="11"/>
        <v/>
      </c>
      <c r="Q332" s="8">
        <f>IFERROR(VLOOKUP(VALUE(A332),WEEKLY_DATA!$A:$H,2,0),0)</f>
        <v>0</v>
      </c>
      <c r="R332" s="8">
        <f>IFERROR(VLOOKUP(VALUE(A332),WEEKLY_DATA!$A:$H,3,0),0)</f>
        <v>0</v>
      </c>
      <c r="S332" s="8">
        <f>IFERROR(VLOOKUP(VALUE(A332),WEEKLY_DATA!$A:$H,4,0),0)</f>
        <v>0</v>
      </c>
      <c r="T332" s="51">
        <f>IFERROR(VLOOKUP(VALUE(A332),WEEKLY_DATA!$A:$H,5,0),0)</f>
        <v>0</v>
      </c>
      <c r="U332" s="51">
        <f>IFERROR(VLOOKUP(VALUE(A332),WEEKLY_DATA!$A:$H,6,0),0)</f>
        <v>0</v>
      </c>
      <c r="V332" s="51">
        <f>IFERROR(VLOOKUP(VALUE(A332),WEEKLY_DATA!$A:$H,7,0),0)</f>
        <v>0</v>
      </c>
      <c r="W332" s="9" t="str">
        <f>IFERROR(IF(OR(Q332="",Q332=0),"",IF(VLOOKUP(VALUE($A332),WEEKLY_DATA!$A:$H,6,0)=0,"No Sales",Q332/(VLOOKUP(VALUE($A332),WEEKLY_DATA!$A:$H,6,0)/13))),"")</f>
        <v/>
      </c>
      <c r="X332" s="10">
        <f>IFERROR(VLOOKUP(VALUE(A332),WEEKLY_DATA!$A:$H,8,0),0)</f>
        <v>0</v>
      </c>
      <c r="Y332" s="13" t="str">
        <f t="shared" si="10"/>
        <v>—</v>
      </c>
      <c r="Z332" s="11"/>
      <c r="AA332" s="11"/>
      <c r="AB332" s="11"/>
      <c r="AC332" s="11"/>
      <c r="AD332" s="11"/>
      <c r="AE332" s="11"/>
      <c r="AF332" s="61"/>
      <c r="AG332" s="61"/>
      <c r="AH332" s="62"/>
      <c r="AI332" s="62"/>
      <c r="AJ332" s="61"/>
      <c r="AK332" s="61"/>
      <c r="AL332" s="61"/>
      <c r="AM332" s="58"/>
      <c r="AN332" s="58"/>
      <c r="AO332" s="58"/>
      <c r="AP332" s="58"/>
      <c r="AQ332" s="58"/>
      <c r="AR332" s="58"/>
      <c r="AS332" s="91"/>
      <c r="AT332" s="93"/>
      <c r="AU332" s="93"/>
      <c r="AV332" s="93"/>
      <c r="AW332" s="93"/>
    </row>
    <row r="333" spans="1:49" x14ac:dyDescent="0.25">
      <c r="A333" s="59"/>
      <c r="B333" s="12"/>
      <c r="C333" s="12"/>
      <c r="D333" s="60"/>
      <c r="E333" s="6"/>
      <c r="F333" s="6"/>
      <c r="G333" s="12"/>
      <c r="H333" s="12"/>
      <c r="I333" s="12" t="str" cm="2">
        <f t="array" ref="I333">IFERROR(INDEX(BrandList!$B$2:$B$200,MATCH(TRUE,ISNUMBER(SEARCH(BrandList!$B$2:$B$200,G333)),0)),"")</f>
        <v/>
      </c>
      <c r="J333" s="12"/>
      <c r="K333" s="12"/>
      <c r="L333" s="60"/>
      <c r="M333" s="60"/>
      <c r="N333" s="60"/>
      <c r="O333" s="60"/>
      <c r="P333" s="7" t="str">
        <f t="shared" si="11"/>
        <v/>
      </c>
      <c r="Q333" s="8">
        <f>IFERROR(VLOOKUP(VALUE(A333),WEEKLY_DATA!$A:$H,2,0),0)</f>
        <v>0</v>
      </c>
      <c r="R333" s="8">
        <f>IFERROR(VLOOKUP(VALUE(A333),WEEKLY_DATA!$A:$H,3,0),0)</f>
        <v>0</v>
      </c>
      <c r="S333" s="8">
        <f>IFERROR(VLOOKUP(VALUE(A333),WEEKLY_DATA!$A:$H,4,0),0)</f>
        <v>0</v>
      </c>
      <c r="T333" s="51">
        <f>IFERROR(VLOOKUP(VALUE(A333),WEEKLY_DATA!$A:$H,5,0),0)</f>
        <v>0</v>
      </c>
      <c r="U333" s="51">
        <f>IFERROR(VLOOKUP(VALUE(A333),WEEKLY_DATA!$A:$H,6,0),0)</f>
        <v>0</v>
      </c>
      <c r="V333" s="51">
        <f>IFERROR(VLOOKUP(VALUE(A333),WEEKLY_DATA!$A:$H,7,0),0)</f>
        <v>0</v>
      </c>
      <c r="W333" s="9" t="str">
        <f>IFERROR(IF(OR(Q333="",Q333=0),"",IF(VLOOKUP(VALUE($A333),WEEKLY_DATA!$A:$H,6,0)=0,"No Sales",Q333/(VLOOKUP(VALUE($A333),WEEKLY_DATA!$A:$H,6,0)/13))),"")</f>
        <v/>
      </c>
      <c r="X333" s="10">
        <f>IFERROR(VLOOKUP(VALUE(A333),WEEKLY_DATA!$A:$H,8,0),0)</f>
        <v>0</v>
      </c>
      <c r="Y333" s="13" t="str">
        <f t="shared" si="10"/>
        <v>—</v>
      </c>
      <c r="Z333" s="11"/>
      <c r="AA333" s="11"/>
      <c r="AB333" s="11"/>
      <c r="AC333" s="11"/>
      <c r="AD333" s="11"/>
      <c r="AE333" s="11"/>
      <c r="AF333" s="61"/>
      <c r="AG333" s="61"/>
      <c r="AH333" s="62"/>
      <c r="AI333" s="62"/>
      <c r="AJ333" s="61"/>
      <c r="AK333" s="61"/>
      <c r="AL333" s="61"/>
      <c r="AM333" s="58"/>
      <c r="AN333" s="58"/>
      <c r="AO333" s="58"/>
      <c r="AP333" s="58"/>
      <c r="AQ333" s="58"/>
      <c r="AR333" s="58"/>
      <c r="AS333" s="91"/>
      <c r="AT333" s="93"/>
      <c r="AU333" s="93"/>
      <c r="AV333" s="93"/>
      <c r="AW333" s="93"/>
    </row>
    <row r="334" spans="1:49" x14ac:dyDescent="0.25">
      <c r="A334" s="59"/>
      <c r="B334" s="12"/>
      <c r="C334" s="12"/>
      <c r="D334" s="60"/>
      <c r="E334" s="6"/>
      <c r="F334" s="6"/>
      <c r="G334" s="12"/>
      <c r="H334" s="12"/>
      <c r="I334" s="12" t="str" cm="2">
        <f t="array" ref="I334">IFERROR(INDEX(BrandList!$B$2:$B$200,MATCH(TRUE,ISNUMBER(SEARCH(BrandList!$B$2:$B$200,G334)),0)),"")</f>
        <v/>
      </c>
      <c r="J334" s="12"/>
      <c r="K334" s="12"/>
      <c r="L334" s="60"/>
      <c r="M334" s="60"/>
      <c r="N334" s="60"/>
      <c r="O334" s="60"/>
      <c r="P334" s="7" t="str">
        <f t="shared" si="11"/>
        <v/>
      </c>
      <c r="Q334" s="8">
        <f>IFERROR(VLOOKUP(VALUE(A334),WEEKLY_DATA!$A:$H,2,0),0)</f>
        <v>0</v>
      </c>
      <c r="R334" s="8">
        <f>IFERROR(VLOOKUP(VALUE(A334),WEEKLY_DATA!$A:$H,3,0),0)</f>
        <v>0</v>
      </c>
      <c r="S334" s="8">
        <f>IFERROR(VLOOKUP(VALUE(A334),WEEKLY_DATA!$A:$H,4,0),0)</f>
        <v>0</v>
      </c>
      <c r="T334" s="51">
        <f>IFERROR(VLOOKUP(VALUE(A334),WEEKLY_DATA!$A:$H,5,0),0)</f>
        <v>0</v>
      </c>
      <c r="U334" s="51">
        <f>IFERROR(VLOOKUP(VALUE(A334),WEEKLY_DATA!$A:$H,6,0),0)</f>
        <v>0</v>
      </c>
      <c r="V334" s="51">
        <f>IFERROR(VLOOKUP(VALUE(A334),WEEKLY_DATA!$A:$H,7,0),0)</f>
        <v>0</v>
      </c>
      <c r="W334" s="9" t="str">
        <f>IFERROR(IF(OR(Q334="",Q334=0),"",IF(VLOOKUP(VALUE($A334),WEEKLY_DATA!$A:$H,6,0)=0,"No Sales",Q334/(VLOOKUP(VALUE($A334),WEEKLY_DATA!$A:$H,6,0)/13))),"")</f>
        <v/>
      </c>
      <c r="X334" s="10">
        <f>IFERROR(VLOOKUP(VALUE(A334),WEEKLY_DATA!$A:$H,8,0),0)</f>
        <v>0</v>
      </c>
      <c r="Y334" s="13" t="str">
        <f t="shared" si="10"/>
        <v>—</v>
      </c>
      <c r="Z334" s="11"/>
      <c r="AA334" s="11"/>
      <c r="AB334" s="11"/>
      <c r="AC334" s="11"/>
      <c r="AD334" s="11"/>
      <c r="AE334" s="11"/>
      <c r="AF334" s="61"/>
      <c r="AG334" s="61"/>
      <c r="AH334" s="62"/>
      <c r="AI334" s="62"/>
      <c r="AJ334" s="61"/>
      <c r="AK334" s="61"/>
      <c r="AL334" s="61"/>
      <c r="AM334" s="58"/>
      <c r="AN334" s="58"/>
      <c r="AO334" s="58"/>
      <c r="AP334" s="58"/>
      <c r="AQ334" s="58"/>
      <c r="AR334" s="58"/>
      <c r="AS334" s="91"/>
      <c r="AT334" s="93"/>
      <c r="AU334" s="93"/>
      <c r="AV334" s="93"/>
      <c r="AW334" s="93"/>
    </row>
    <row r="335" spans="1:49" x14ac:dyDescent="0.25">
      <c r="A335" s="59"/>
      <c r="B335" s="12"/>
      <c r="C335" s="12"/>
      <c r="D335" s="60"/>
      <c r="E335" s="6"/>
      <c r="F335" s="6"/>
      <c r="G335" s="12"/>
      <c r="H335" s="12"/>
      <c r="I335" s="12" t="str" cm="2">
        <f t="array" ref="I335">IFERROR(INDEX(BrandList!$B$2:$B$200,MATCH(TRUE,ISNUMBER(SEARCH(BrandList!$B$2:$B$200,G335)),0)),"")</f>
        <v/>
      </c>
      <c r="J335" s="12"/>
      <c r="K335" s="12"/>
      <c r="L335" s="60"/>
      <c r="M335" s="60"/>
      <c r="N335" s="60"/>
      <c r="O335" s="60"/>
      <c r="P335" s="7" t="str">
        <f t="shared" si="11"/>
        <v/>
      </c>
      <c r="Q335" s="8">
        <f>IFERROR(VLOOKUP(VALUE(A335),WEEKLY_DATA!$A:$H,2,0),0)</f>
        <v>0</v>
      </c>
      <c r="R335" s="8">
        <f>IFERROR(VLOOKUP(VALUE(A335),WEEKLY_DATA!$A:$H,3,0),0)</f>
        <v>0</v>
      </c>
      <c r="S335" s="8">
        <f>IFERROR(VLOOKUP(VALUE(A335),WEEKLY_DATA!$A:$H,4,0),0)</f>
        <v>0</v>
      </c>
      <c r="T335" s="51">
        <f>IFERROR(VLOOKUP(VALUE(A335),WEEKLY_DATA!$A:$H,5,0),0)</f>
        <v>0</v>
      </c>
      <c r="U335" s="51">
        <f>IFERROR(VLOOKUP(VALUE(A335),WEEKLY_DATA!$A:$H,6,0),0)</f>
        <v>0</v>
      </c>
      <c r="V335" s="51">
        <f>IFERROR(VLOOKUP(VALUE(A335),WEEKLY_DATA!$A:$H,7,0),0)</f>
        <v>0</v>
      </c>
      <c r="W335" s="9" t="str">
        <f>IFERROR(IF(OR(Q335="",Q335=0),"",IF(VLOOKUP(VALUE($A335),WEEKLY_DATA!$A:$H,6,0)=0,"No Sales",Q335/(VLOOKUP(VALUE($A335),WEEKLY_DATA!$A:$H,6,0)/13))),"")</f>
        <v/>
      </c>
      <c r="X335" s="10">
        <f>IFERROR(VLOOKUP(VALUE(A335),WEEKLY_DATA!$A:$H,8,0),0)</f>
        <v>0</v>
      </c>
      <c r="Y335" s="13" t="str">
        <f t="shared" si="10"/>
        <v>—</v>
      </c>
      <c r="Z335" s="11"/>
      <c r="AA335" s="11"/>
      <c r="AB335" s="11"/>
      <c r="AC335" s="11"/>
      <c r="AD335" s="11"/>
      <c r="AE335" s="11"/>
      <c r="AF335" s="61"/>
      <c r="AG335" s="61"/>
      <c r="AH335" s="62"/>
      <c r="AI335" s="62"/>
      <c r="AJ335" s="61"/>
      <c r="AK335" s="61"/>
      <c r="AL335" s="61"/>
      <c r="AM335" s="58"/>
      <c r="AN335" s="58"/>
      <c r="AO335" s="58"/>
      <c r="AP335" s="58"/>
      <c r="AQ335" s="58"/>
      <c r="AR335" s="58"/>
      <c r="AS335" s="91"/>
      <c r="AT335" s="93"/>
      <c r="AU335" s="93"/>
      <c r="AV335" s="93"/>
      <c r="AW335" s="93"/>
    </row>
    <row r="336" spans="1:49" x14ac:dyDescent="0.25">
      <c r="A336" s="59"/>
      <c r="B336" s="12"/>
      <c r="C336" s="12"/>
      <c r="D336" s="60"/>
      <c r="E336" s="6"/>
      <c r="F336" s="6"/>
      <c r="G336" s="12"/>
      <c r="H336" s="12"/>
      <c r="I336" s="12" t="str" cm="2">
        <f t="array" ref="I336">IFERROR(INDEX(BrandList!$B$2:$B$200,MATCH(TRUE,ISNUMBER(SEARCH(BrandList!$B$2:$B$200,G336)),0)),"")</f>
        <v/>
      </c>
      <c r="J336" s="12"/>
      <c r="K336" s="12"/>
      <c r="L336" s="60"/>
      <c r="M336" s="60"/>
      <c r="N336" s="60"/>
      <c r="O336" s="60"/>
      <c r="P336" s="7" t="str">
        <f t="shared" si="11"/>
        <v/>
      </c>
      <c r="Q336" s="8">
        <f>IFERROR(VLOOKUP(VALUE(A336),WEEKLY_DATA!$A:$H,2,0),0)</f>
        <v>0</v>
      </c>
      <c r="R336" s="8">
        <f>IFERROR(VLOOKUP(VALUE(A336),WEEKLY_DATA!$A:$H,3,0),0)</f>
        <v>0</v>
      </c>
      <c r="S336" s="8">
        <f>IFERROR(VLOOKUP(VALUE(A336),WEEKLY_DATA!$A:$H,4,0),0)</f>
        <v>0</v>
      </c>
      <c r="T336" s="51">
        <f>IFERROR(VLOOKUP(VALUE(A336),WEEKLY_DATA!$A:$H,5,0),0)</f>
        <v>0</v>
      </c>
      <c r="U336" s="51">
        <f>IFERROR(VLOOKUP(VALUE(A336),WEEKLY_DATA!$A:$H,6,0),0)</f>
        <v>0</v>
      </c>
      <c r="V336" s="51">
        <f>IFERROR(VLOOKUP(VALUE(A336),WEEKLY_DATA!$A:$H,7,0),0)</f>
        <v>0</v>
      </c>
      <c r="W336" s="9" t="str">
        <f>IFERROR(IF(OR(Q336="",Q336=0),"",IF(VLOOKUP(VALUE($A336),WEEKLY_DATA!$A:$H,6,0)=0,"No Sales",Q336/(VLOOKUP(VALUE($A336),WEEKLY_DATA!$A:$H,6,0)/13))),"")</f>
        <v/>
      </c>
      <c r="X336" s="10">
        <f>IFERROR(VLOOKUP(VALUE(A336),WEEKLY_DATA!$A:$H,8,0),0)</f>
        <v>0</v>
      </c>
      <c r="Y336" s="13" t="str">
        <f t="shared" si="10"/>
        <v>—</v>
      </c>
      <c r="Z336" s="11"/>
      <c r="AA336" s="11"/>
      <c r="AB336" s="11"/>
      <c r="AC336" s="11"/>
      <c r="AD336" s="11"/>
      <c r="AE336" s="11"/>
      <c r="AF336" s="61"/>
      <c r="AG336" s="61"/>
      <c r="AH336" s="62"/>
      <c r="AI336" s="62"/>
      <c r="AJ336" s="61"/>
      <c r="AK336" s="61"/>
      <c r="AL336" s="61"/>
      <c r="AM336" s="58"/>
      <c r="AN336" s="58"/>
      <c r="AO336" s="58"/>
      <c r="AP336" s="58"/>
      <c r="AQ336" s="58"/>
      <c r="AR336" s="58"/>
      <c r="AS336" s="91"/>
      <c r="AT336" s="93"/>
      <c r="AU336" s="93"/>
      <c r="AV336" s="93"/>
      <c r="AW336" s="93"/>
    </row>
    <row r="337" spans="1:49" x14ac:dyDescent="0.25">
      <c r="A337" s="59"/>
      <c r="B337" s="12"/>
      <c r="C337" s="12"/>
      <c r="D337" s="60"/>
      <c r="E337" s="6"/>
      <c r="F337" s="6"/>
      <c r="G337" s="12"/>
      <c r="H337" s="12"/>
      <c r="I337" s="12" t="str" cm="2">
        <f t="array" ref="I337">IFERROR(INDEX(BrandList!$B$2:$B$200,MATCH(TRUE,ISNUMBER(SEARCH(BrandList!$B$2:$B$200,G337)),0)),"")</f>
        <v/>
      </c>
      <c r="J337" s="12"/>
      <c r="K337" s="12"/>
      <c r="L337" s="60"/>
      <c r="M337" s="60"/>
      <c r="N337" s="60"/>
      <c r="O337" s="60"/>
      <c r="P337" s="7" t="str">
        <f t="shared" si="11"/>
        <v/>
      </c>
      <c r="Q337" s="8">
        <f>IFERROR(VLOOKUP(VALUE(A337),WEEKLY_DATA!$A:$H,2,0),0)</f>
        <v>0</v>
      </c>
      <c r="R337" s="8">
        <f>IFERROR(VLOOKUP(VALUE(A337),WEEKLY_DATA!$A:$H,3,0),0)</f>
        <v>0</v>
      </c>
      <c r="S337" s="8">
        <f>IFERROR(VLOOKUP(VALUE(A337),WEEKLY_DATA!$A:$H,4,0),0)</f>
        <v>0</v>
      </c>
      <c r="T337" s="51">
        <f>IFERROR(VLOOKUP(VALUE(A337),WEEKLY_DATA!$A:$H,5,0),0)</f>
        <v>0</v>
      </c>
      <c r="U337" s="51">
        <f>IFERROR(VLOOKUP(VALUE(A337),WEEKLY_DATA!$A:$H,6,0),0)</f>
        <v>0</v>
      </c>
      <c r="V337" s="51">
        <f>IFERROR(VLOOKUP(VALUE(A337),WEEKLY_DATA!$A:$H,7,0),0)</f>
        <v>0</v>
      </c>
      <c r="W337" s="9" t="str">
        <f>IFERROR(IF(OR(Q337="",Q337=0),"",IF(VLOOKUP(VALUE($A337),WEEKLY_DATA!$A:$H,6,0)=0,"No Sales",Q337/(VLOOKUP(VALUE($A337),WEEKLY_DATA!$A:$H,6,0)/13))),"")</f>
        <v/>
      </c>
      <c r="X337" s="10">
        <f>IFERROR(VLOOKUP(VALUE(A337),WEEKLY_DATA!$A:$H,8,0),0)</f>
        <v>0</v>
      </c>
      <c r="Y337" s="13" t="str">
        <f t="shared" si="10"/>
        <v>—</v>
      </c>
      <c r="Z337" s="11"/>
      <c r="AA337" s="11"/>
      <c r="AB337" s="11"/>
      <c r="AC337" s="11"/>
      <c r="AD337" s="11"/>
      <c r="AE337" s="11"/>
      <c r="AF337" s="61"/>
      <c r="AG337" s="61"/>
      <c r="AH337" s="62"/>
      <c r="AI337" s="62"/>
      <c r="AJ337" s="61"/>
      <c r="AK337" s="61"/>
      <c r="AL337" s="61"/>
      <c r="AM337" s="58"/>
      <c r="AN337" s="58"/>
      <c r="AO337" s="58"/>
      <c r="AP337" s="58"/>
      <c r="AQ337" s="58"/>
      <c r="AR337" s="58"/>
      <c r="AS337" s="91"/>
      <c r="AT337" s="93"/>
      <c r="AU337" s="93"/>
      <c r="AV337" s="93"/>
      <c r="AW337" s="93"/>
    </row>
    <row r="338" spans="1:49" x14ac:dyDescent="0.25">
      <c r="A338" s="59"/>
      <c r="B338" s="12"/>
      <c r="C338" s="12"/>
      <c r="D338" s="60"/>
      <c r="E338" s="6"/>
      <c r="F338" s="6"/>
      <c r="G338" s="12"/>
      <c r="H338" s="12"/>
      <c r="I338" s="12" t="str" cm="2">
        <f t="array" ref="I338">IFERROR(INDEX(BrandList!$B$2:$B$200,MATCH(TRUE,ISNUMBER(SEARCH(BrandList!$B$2:$B$200,G338)),0)),"")</f>
        <v/>
      </c>
      <c r="J338" s="12"/>
      <c r="K338" s="12"/>
      <c r="L338" s="60"/>
      <c r="M338" s="60"/>
      <c r="N338" s="60"/>
      <c r="O338" s="60"/>
      <c r="P338" s="7" t="str">
        <f t="shared" si="11"/>
        <v/>
      </c>
      <c r="Q338" s="8">
        <f>IFERROR(VLOOKUP(VALUE(A338),WEEKLY_DATA!$A:$H,2,0),0)</f>
        <v>0</v>
      </c>
      <c r="R338" s="8">
        <f>IFERROR(VLOOKUP(VALUE(A338),WEEKLY_DATA!$A:$H,3,0),0)</f>
        <v>0</v>
      </c>
      <c r="S338" s="8">
        <f>IFERROR(VLOOKUP(VALUE(A338),WEEKLY_DATA!$A:$H,4,0),0)</f>
        <v>0</v>
      </c>
      <c r="T338" s="51">
        <f>IFERROR(VLOOKUP(VALUE(A338),WEEKLY_DATA!$A:$H,5,0),0)</f>
        <v>0</v>
      </c>
      <c r="U338" s="51">
        <f>IFERROR(VLOOKUP(VALUE(A338),WEEKLY_DATA!$A:$H,6,0),0)</f>
        <v>0</v>
      </c>
      <c r="V338" s="51">
        <f>IFERROR(VLOOKUP(VALUE(A338),WEEKLY_DATA!$A:$H,7,0),0)</f>
        <v>0</v>
      </c>
      <c r="W338" s="9" t="str">
        <f>IFERROR(IF(OR(Q338="",Q338=0),"",IF(VLOOKUP(VALUE($A338),WEEKLY_DATA!$A:$H,6,0)=0,"No Sales",Q338/(VLOOKUP(VALUE($A338),WEEKLY_DATA!$A:$H,6,0)/13))),"")</f>
        <v/>
      </c>
      <c r="X338" s="10">
        <f>IFERROR(VLOOKUP(VALUE(A338),WEEKLY_DATA!$A:$H,8,0),0)</f>
        <v>0</v>
      </c>
      <c r="Y338" s="13" t="str">
        <f t="shared" si="10"/>
        <v>—</v>
      </c>
      <c r="Z338" s="11"/>
      <c r="AA338" s="11"/>
      <c r="AB338" s="11"/>
      <c r="AC338" s="11"/>
      <c r="AD338" s="11"/>
      <c r="AE338" s="11"/>
      <c r="AF338" s="61"/>
      <c r="AG338" s="61"/>
      <c r="AH338" s="62"/>
      <c r="AI338" s="62"/>
      <c r="AJ338" s="61"/>
      <c r="AK338" s="61"/>
      <c r="AL338" s="61"/>
      <c r="AM338" s="58"/>
      <c r="AN338" s="58"/>
      <c r="AO338" s="58"/>
      <c r="AP338" s="58"/>
      <c r="AQ338" s="58"/>
      <c r="AR338" s="58"/>
      <c r="AS338" s="91"/>
      <c r="AT338" s="93"/>
      <c r="AU338" s="93"/>
      <c r="AV338" s="93"/>
      <c r="AW338" s="93"/>
    </row>
    <row r="339" spans="1:49" x14ac:dyDescent="0.25">
      <c r="A339" s="59"/>
      <c r="B339" s="12"/>
      <c r="C339" s="12"/>
      <c r="D339" s="60"/>
      <c r="E339" s="6"/>
      <c r="F339" s="6"/>
      <c r="G339" s="12"/>
      <c r="H339" s="12"/>
      <c r="I339" s="12" t="str" cm="2">
        <f t="array" ref="I339">IFERROR(INDEX(BrandList!$B$2:$B$200,MATCH(TRUE,ISNUMBER(SEARCH(BrandList!$B$2:$B$200,G339)),0)),"")</f>
        <v/>
      </c>
      <c r="J339" s="12"/>
      <c r="K339" s="12"/>
      <c r="L339" s="60"/>
      <c r="M339" s="60"/>
      <c r="N339" s="60"/>
      <c r="O339" s="60"/>
      <c r="P339" s="7" t="str">
        <f t="shared" si="11"/>
        <v/>
      </c>
      <c r="Q339" s="8">
        <f>IFERROR(VLOOKUP(VALUE(A339),WEEKLY_DATA!$A:$H,2,0),0)</f>
        <v>0</v>
      </c>
      <c r="R339" s="8">
        <f>IFERROR(VLOOKUP(VALUE(A339),WEEKLY_DATA!$A:$H,3,0),0)</f>
        <v>0</v>
      </c>
      <c r="S339" s="8">
        <f>IFERROR(VLOOKUP(VALUE(A339),WEEKLY_DATA!$A:$H,4,0),0)</f>
        <v>0</v>
      </c>
      <c r="T339" s="51">
        <f>IFERROR(VLOOKUP(VALUE(A339),WEEKLY_DATA!$A:$H,5,0),0)</f>
        <v>0</v>
      </c>
      <c r="U339" s="51">
        <f>IFERROR(VLOOKUP(VALUE(A339),WEEKLY_DATA!$A:$H,6,0),0)</f>
        <v>0</v>
      </c>
      <c r="V339" s="51">
        <f>IFERROR(VLOOKUP(VALUE(A339),WEEKLY_DATA!$A:$H,7,0),0)</f>
        <v>0</v>
      </c>
      <c r="W339" s="9" t="str">
        <f>IFERROR(IF(OR(Q339="",Q339=0),"",IF(VLOOKUP(VALUE($A339),WEEKLY_DATA!$A:$H,6,0)=0,"No Sales",Q339/(VLOOKUP(VALUE($A339),WEEKLY_DATA!$A:$H,6,0)/13))),"")</f>
        <v/>
      </c>
      <c r="X339" s="10">
        <f>IFERROR(VLOOKUP(VALUE(A339),WEEKLY_DATA!$A:$H,8,0),0)</f>
        <v>0</v>
      </c>
      <c r="Y339" s="13" t="str">
        <f t="shared" si="10"/>
        <v>—</v>
      </c>
      <c r="Z339" s="11"/>
      <c r="AA339" s="11"/>
      <c r="AB339" s="11"/>
      <c r="AC339" s="11"/>
      <c r="AD339" s="11"/>
      <c r="AE339" s="11"/>
      <c r="AF339" s="61"/>
      <c r="AG339" s="61"/>
      <c r="AH339" s="62"/>
      <c r="AI339" s="62"/>
      <c r="AJ339" s="61"/>
      <c r="AK339" s="61"/>
      <c r="AL339" s="61"/>
      <c r="AM339" s="58"/>
      <c r="AN339" s="58"/>
      <c r="AO339" s="58"/>
      <c r="AP339" s="58"/>
      <c r="AQ339" s="58"/>
      <c r="AR339" s="58"/>
      <c r="AS339" s="91"/>
      <c r="AT339" s="93"/>
      <c r="AU339" s="93"/>
      <c r="AV339" s="93"/>
      <c r="AW339" s="93"/>
    </row>
    <row r="340" spans="1:49" x14ac:dyDescent="0.25">
      <c r="A340" s="59"/>
      <c r="B340" s="12"/>
      <c r="C340" s="12"/>
      <c r="D340" s="60"/>
      <c r="E340" s="6"/>
      <c r="F340" s="6"/>
      <c r="G340" s="12"/>
      <c r="H340" s="12"/>
      <c r="I340" s="12" t="str" cm="2">
        <f t="array" ref="I340">IFERROR(INDEX(BrandList!$B$2:$B$200,MATCH(TRUE,ISNUMBER(SEARCH(BrandList!$B$2:$B$200,G340)),0)),"")</f>
        <v/>
      </c>
      <c r="J340" s="12"/>
      <c r="K340" s="12"/>
      <c r="L340" s="60"/>
      <c r="M340" s="60"/>
      <c r="N340" s="60"/>
      <c r="O340" s="60"/>
      <c r="P340" s="7" t="str">
        <f t="shared" si="11"/>
        <v/>
      </c>
      <c r="Q340" s="8">
        <f>IFERROR(VLOOKUP(VALUE(A340),WEEKLY_DATA!$A:$H,2,0),0)</f>
        <v>0</v>
      </c>
      <c r="R340" s="8">
        <f>IFERROR(VLOOKUP(VALUE(A340),WEEKLY_DATA!$A:$H,3,0),0)</f>
        <v>0</v>
      </c>
      <c r="S340" s="8">
        <f>IFERROR(VLOOKUP(VALUE(A340),WEEKLY_DATA!$A:$H,4,0),0)</f>
        <v>0</v>
      </c>
      <c r="T340" s="51">
        <f>IFERROR(VLOOKUP(VALUE(A340),WEEKLY_DATA!$A:$H,5,0),0)</f>
        <v>0</v>
      </c>
      <c r="U340" s="51">
        <f>IFERROR(VLOOKUP(VALUE(A340),WEEKLY_DATA!$A:$H,6,0),0)</f>
        <v>0</v>
      </c>
      <c r="V340" s="51">
        <f>IFERROR(VLOOKUP(VALUE(A340),WEEKLY_DATA!$A:$H,7,0),0)</f>
        <v>0</v>
      </c>
      <c r="W340" s="9" t="str">
        <f>IFERROR(IF(OR(Q340="",Q340=0),"",IF(VLOOKUP(VALUE($A340),WEEKLY_DATA!$A:$H,6,0)=0,"No Sales",Q340/(VLOOKUP(VALUE($A340),WEEKLY_DATA!$A:$H,6,0)/13))),"")</f>
        <v/>
      </c>
      <c r="X340" s="10">
        <f>IFERROR(VLOOKUP(VALUE(A340),WEEKLY_DATA!$A:$H,8,0),0)</f>
        <v>0</v>
      </c>
      <c r="Y340" s="13" t="str">
        <f t="shared" si="10"/>
        <v>—</v>
      </c>
      <c r="Z340" s="11"/>
      <c r="AA340" s="11"/>
      <c r="AB340" s="11"/>
      <c r="AC340" s="11"/>
      <c r="AD340" s="11"/>
      <c r="AE340" s="11"/>
      <c r="AF340" s="61"/>
      <c r="AG340" s="61"/>
      <c r="AH340" s="62"/>
      <c r="AI340" s="62"/>
      <c r="AJ340" s="61"/>
      <c r="AK340" s="61"/>
      <c r="AL340" s="61"/>
      <c r="AM340" s="58"/>
      <c r="AN340" s="58"/>
      <c r="AO340" s="58"/>
      <c r="AP340" s="58"/>
      <c r="AQ340" s="58"/>
      <c r="AR340" s="58"/>
      <c r="AS340" s="91"/>
      <c r="AT340" s="93"/>
      <c r="AU340" s="93"/>
      <c r="AV340" s="93"/>
      <c r="AW340" s="93"/>
    </row>
    <row r="341" spans="1:49" x14ac:dyDescent="0.25">
      <c r="A341" s="59"/>
      <c r="B341" s="12"/>
      <c r="C341" s="12"/>
      <c r="D341" s="60"/>
      <c r="E341" s="6"/>
      <c r="F341" s="6"/>
      <c r="G341" s="12"/>
      <c r="H341" s="12"/>
      <c r="I341" s="12" t="str" cm="2">
        <f t="array" ref="I341">IFERROR(INDEX(BrandList!$B$2:$B$200,MATCH(TRUE,ISNUMBER(SEARCH(BrandList!$B$2:$B$200,G341)),0)),"")</f>
        <v/>
      </c>
      <c r="J341" s="12"/>
      <c r="K341" s="12"/>
      <c r="L341" s="60"/>
      <c r="M341" s="60"/>
      <c r="N341" s="60"/>
      <c r="O341" s="60"/>
      <c r="P341" s="7" t="str">
        <f t="shared" si="11"/>
        <v/>
      </c>
      <c r="Q341" s="8">
        <f>IFERROR(VLOOKUP(VALUE(A341),WEEKLY_DATA!$A:$H,2,0),0)</f>
        <v>0</v>
      </c>
      <c r="R341" s="8">
        <f>IFERROR(VLOOKUP(VALUE(A341),WEEKLY_DATA!$A:$H,3,0),0)</f>
        <v>0</v>
      </c>
      <c r="S341" s="8">
        <f>IFERROR(VLOOKUP(VALUE(A341),WEEKLY_DATA!$A:$H,4,0),0)</f>
        <v>0</v>
      </c>
      <c r="T341" s="51">
        <f>IFERROR(VLOOKUP(VALUE(A341),WEEKLY_DATA!$A:$H,5,0),0)</f>
        <v>0</v>
      </c>
      <c r="U341" s="51">
        <f>IFERROR(VLOOKUP(VALUE(A341),WEEKLY_DATA!$A:$H,6,0),0)</f>
        <v>0</v>
      </c>
      <c r="V341" s="51">
        <f>IFERROR(VLOOKUP(VALUE(A341),WEEKLY_DATA!$A:$H,7,0),0)</f>
        <v>0</v>
      </c>
      <c r="W341" s="9" t="str">
        <f>IFERROR(IF(OR(Q341="",Q341=0),"",IF(VLOOKUP(VALUE($A341),WEEKLY_DATA!$A:$H,6,0)=0,"No Sales",Q341/(VLOOKUP(VALUE($A341),WEEKLY_DATA!$A:$H,6,0)/13))),"")</f>
        <v/>
      </c>
      <c r="X341" s="10">
        <f>IFERROR(VLOOKUP(VALUE(A341),WEEKLY_DATA!$A:$H,8,0),0)</f>
        <v>0</v>
      </c>
      <c r="Y341" s="13" t="str">
        <f t="shared" si="10"/>
        <v>—</v>
      </c>
      <c r="Z341" s="11"/>
      <c r="AA341" s="11"/>
      <c r="AB341" s="11"/>
      <c r="AC341" s="11"/>
      <c r="AD341" s="11"/>
      <c r="AE341" s="11"/>
      <c r="AF341" s="61"/>
      <c r="AG341" s="61"/>
      <c r="AH341" s="62"/>
      <c r="AI341" s="62"/>
      <c r="AJ341" s="61"/>
      <c r="AK341" s="61"/>
      <c r="AL341" s="61"/>
      <c r="AM341" s="58"/>
      <c r="AN341" s="58"/>
      <c r="AO341" s="58"/>
      <c r="AP341" s="58"/>
      <c r="AQ341" s="58"/>
      <c r="AR341" s="58"/>
      <c r="AS341" s="91"/>
      <c r="AT341" s="93"/>
      <c r="AU341" s="93"/>
      <c r="AV341" s="93"/>
      <c r="AW341" s="93"/>
    </row>
    <row r="342" spans="1:49" x14ac:dyDescent="0.25">
      <c r="A342" s="59"/>
      <c r="B342" s="12"/>
      <c r="C342" s="12"/>
      <c r="D342" s="60"/>
      <c r="E342" s="6"/>
      <c r="F342" s="6"/>
      <c r="G342" s="12"/>
      <c r="H342" s="12"/>
      <c r="I342" s="12" t="str" cm="2">
        <f t="array" ref="I342">IFERROR(INDEX(BrandList!$B$2:$B$200,MATCH(TRUE,ISNUMBER(SEARCH(BrandList!$B$2:$B$200,G342)),0)),"")</f>
        <v/>
      </c>
      <c r="J342" s="12"/>
      <c r="K342" s="12"/>
      <c r="L342" s="60"/>
      <c r="M342" s="60"/>
      <c r="N342" s="60"/>
      <c r="O342" s="60"/>
      <c r="P342" s="7" t="str">
        <f t="shared" si="11"/>
        <v/>
      </c>
      <c r="Q342" s="8">
        <f>IFERROR(VLOOKUP(VALUE(A342),WEEKLY_DATA!$A:$H,2,0),0)</f>
        <v>0</v>
      </c>
      <c r="R342" s="8">
        <f>IFERROR(VLOOKUP(VALUE(A342),WEEKLY_DATA!$A:$H,3,0),0)</f>
        <v>0</v>
      </c>
      <c r="S342" s="8">
        <f>IFERROR(VLOOKUP(VALUE(A342),WEEKLY_DATA!$A:$H,4,0),0)</f>
        <v>0</v>
      </c>
      <c r="T342" s="51">
        <f>IFERROR(VLOOKUP(VALUE(A342),WEEKLY_DATA!$A:$H,5,0),0)</f>
        <v>0</v>
      </c>
      <c r="U342" s="51">
        <f>IFERROR(VLOOKUP(VALUE(A342),WEEKLY_DATA!$A:$H,6,0),0)</f>
        <v>0</v>
      </c>
      <c r="V342" s="51">
        <f>IFERROR(VLOOKUP(VALUE(A342),WEEKLY_DATA!$A:$H,7,0),0)</f>
        <v>0</v>
      </c>
      <c r="W342" s="9" t="str">
        <f>IFERROR(IF(OR(Q342="",Q342=0),"",IF(VLOOKUP(VALUE($A342),WEEKLY_DATA!$A:$H,6,0)=0,"No Sales",Q342/(VLOOKUP(VALUE($A342),WEEKLY_DATA!$A:$H,6,0)/13))),"")</f>
        <v/>
      </c>
      <c r="X342" s="10">
        <f>IFERROR(VLOOKUP(VALUE(A342),WEEKLY_DATA!$A:$H,8,0),0)</f>
        <v>0</v>
      </c>
      <c r="Y342" s="13" t="str">
        <f t="shared" si="10"/>
        <v>—</v>
      </c>
      <c r="Z342" s="11"/>
      <c r="AA342" s="11"/>
      <c r="AB342" s="11"/>
      <c r="AC342" s="11"/>
      <c r="AD342" s="11"/>
      <c r="AE342" s="11"/>
      <c r="AF342" s="61"/>
      <c r="AG342" s="61"/>
      <c r="AH342" s="62"/>
      <c r="AI342" s="62"/>
      <c r="AJ342" s="61"/>
      <c r="AK342" s="61"/>
      <c r="AL342" s="61"/>
      <c r="AM342" s="58"/>
      <c r="AN342" s="58"/>
      <c r="AO342" s="58"/>
      <c r="AP342" s="58"/>
      <c r="AQ342" s="58"/>
      <c r="AR342" s="58"/>
      <c r="AS342" s="91"/>
      <c r="AT342" s="93"/>
      <c r="AU342" s="93"/>
      <c r="AV342" s="93"/>
      <c r="AW342" s="93"/>
    </row>
    <row r="343" spans="1:49" x14ac:dyDescent="0.25">
      <c r="A343" s="59"/>
      <c r="B343" s="12"/>
      <c r="C343" s="12"/>
      <c r="D343" s="60"/>
      <c r="E343" s="6"/>
      <c r="F343" s="6"/>
      <c r="G343" s="12"/>
      <c r="H343" s="12"/>
      <c r="I343" s="12" t="str" cm="2">
        <f t="array" ref="I343">IFERROR(INDEX(BrandList!$B$2:$B$200,MATCH(TRUE,ISNUMBER(SEARCH(BrandList!$B$2:$B$200,G343)),0)),"")</f>
        <v/>
      </c>
      <c r="J343" s="12"/>
      <c r="K343" s="12"/>
      <c r="L343" s="60"/>
      <c r="M343" s="60"/>
      <c r="N343" s="60"/>
      <c r="O343" s="60"/>
      <c r="P343" s="7" t="str">
        <f t="shared" si="11"/>
        <v/>
      </c>
      <c r="Q343" s="8">
        <f>IFERROR(VLOOKUP(VALUE(A343),WEEKLY_DATA!$A:$H,2,0),0)</f>
        <v>0</v>
      </c>
      <c r="R343" s="8">
        <f>IFERROR(VLOOKUP(VALUE(A343),WEEKLY_DATA!$A:$H,3,0),0)</f>
        <v>0</v>
      </c>
      <c r="S343" s="8">
        <f>IFERROR(VLOOKUP(VALUE(A343),WEEKLY_DATA!$A:$H,4,0),0)</f>
        <v>0</v>
      </c>
      <c r="T343" s="51">
        <f>IFERROR(VLOOKUP(VALUE(A343),WEEKLY_DATA!$A:$H,5,0),0)</f>
        <v>0</v>
      </c>
      <c r="U343" s="51">
        <f>IFERROR(VLOOKUP(VALUE(A343),WEEKLY_DATA!$A:$H,6,0),0)</f>
        <v>0</v>
      </c>
      <c r="V343" s="51">
        <f>IFERROR(VLOOKUP(VALUE(A343),WEEKLY_DATA!$A:$H,7,0),0)</f>
        <v>0</v>
      </c>
      <c r="W343" s="9" t="str">
        <f>IFERROR(IF(OR(Q343="",Q343=0),"",IF(VLOOKUP(VALUE($A343),WEEKLY_DATA!$A:$H,6,0)=0,"No Sales",Q343/(VLOOKUP(VALUE($A343),WEEKLY_DATA!$A:$H,6,0)/13))),"")</f>
        <v/>
      </c>
      <c r="X343" s="10">
        <f>IFERROR(VLOOKUP(VALUE(A343),WEEKLY_DATA!$A:$H,8,0),0)</f>
        <v>0</v>
      </c>
      <c r="Y343" s="13" t="str">
        <f t="shared" si="10"/>
        <v>—</v>
      </c>
      <c r="Z343" s="11"/>
      <c r="AA343" s="11"/>
      <c r="AB343" s="11"/>
      <c r="AC343" s="11"/>
      <c r="AD343" s="11"/>
      <c r="AE343" s="11"/>
      <c r="AF343" s="61"/>
      <c r="AG343" s="61"/>
      <c r="AH343" s="62"/>
      <c r="AI343" s="62"/>
      <c r="AJ343" s="61"/>
      <c r="AK343" s="61"/>
      <c r="AL343" s="61"/>
      <c r="AM343" s="58"/>
      <c r="AN343" s="58"/>
      <c r="AO343" s="58"/>
      <c r="AP343" s="58"/>
      <c r="AQ343" s="58"/>
      <c r="AR343" s="58"/>
      <c r="AS343" s="91"/>
      <c r="AT343" s="93"/>
      <c r="AU343" s="93"/>
      <c r="AV343" s="93"/>
      <c r="AW343" s="93"/>
    </row>
    <row r="344" spans="1:49" x14ac:dyDescent="0.25">
      <c r="A344" s="59"/>
      <c r="B344" s="12"/>
      <c r="C344" s="12"/>
      <c r="D344" s="60"/>
      <c r="E344" s="6"/>
      <c r="F344" s="6"/>
      <c r="G344" s="12"/>
      <c r="H344" s="12"/>
      <c r="I344" s="12" t="str" cm="2">
        <f t="array" ref="I344">IFERROR(INDEX(BrandList!$B$2:$B$200,MATCH(TRUE,ISNUMBER(SEARCH(BrandList!$B$2:$B$200,G344)),0)),"")</f>
        <v/>
      </c>
      <c r="J344" s="12"/>
      <c r="K344" s="12"/>
      <c r="L344" s="60"/>
      <c r="M344" s="60"/>
      <c r="N344" s="60"/>
      <c r="O344" s="60"/>
      <c r="P344" s="7" t="str">
        <f t="shared" si="11"/>
        <v/>
      </c>
      <c r="Q344" s="8">
        <f>IFERROR(VLOOKUP(VALUE(A344),WEEKLY_DATA!$A:$H,2,0),0)</f>
        <v>0</v>
      </c>
      <c r="R344" s="8">
        <f>IFERROR(VLOOKUP(VALUE(A344),WEEKLY_DATA!$A:$H,3,0),0)</f>
        <v>0</v>
      </c>
      <c r="S344" s="8">
        <f>IFERROR(VLOOKUP(VALUE(A344),WEEKLY_DATA!$A:$H,4,0),0)</f>
        <v>0</v>
      </c>
      <c r="T344" s="51">
        <f>IFERROR(VLOOKUP(VALUE(A344),WEEKLY_DATA!$A:$H,5,0),0)</f>
        <v>0</v>
      </c>
      <c r="U344" s="51">
        <f>IFERROR(VLOOKUP(VALUE(A344),WEEKLY_DATA!$A:$H,6,0),0)</f>
        <v>0</v>
      </c>
      <c r="V344" s="51">
        <f>IFERROR(VLOOKUP(VALUE(A344),WEEKLY_DATA!$A:$H,7,0),0)</f>
        <v>0</v>
      </c>
      <c r="W344" s="9" t="str">
        <f>IFERROR(IF(OR(Q344="",Q344=0),"",IF(VLOOKUP(VALUE($A344),WEEKLY_DATA!$A:$H,6,0)=0,"No Sales",Q344/(VLOOKUP(VALUE($A344),WEEKLY_DATA!$A:$H,6,0)/13))),"")</f>
        <v/>
      </c>
      <c r="X344" s="10">
        <f>IFERROR(VLOOKUP(VALUE(A344),WEEKLY_DATA!$A:$H,8,0),0)</f>
        <v>0</v>
      </c>
      <c r="Y344" s="13" t="str">
        <f t="shared" si="10"/>
        <v>—</v>
      </c>
      <c r="Z344" s="11"/>
      <c r="AA344" s="11"/>
      <c r="AB344" s="11"/>
      <c r="AC344" s="11"/>
      <c r="AD344" s="11"/>
      <c r="AE344" s="11"/>
      <c r="AF344" s="61"/>
      <c r="AG344" s="61"/>
      <c r="AH344" s="62"/>
      <c r="AI344" s="62"/>
      <c r="AJ344" s="61"/>
      <c r="AK344" s="61"/>
      <c r="AL344" s="61"/>
      <c r="AM344" s="58"/>
      <c r="AN344" s="58"/>
      <c r="AO344" s="58"/>
      <c r="AP344" s="58"/>
      <c r="AQ344" s="58"/>
      <c r="AR344" s="58"/>
      <c r="AS344" s="91"/>
      <c r="AT344" s="93"/>
      <c r="AU344" s="93"/>
      <c r="AV344" s="93"/>
      <c r="AW344" s="93"/>
    </row>
    <row r="345" spans="1:49" x14ac:dyDescent="0.25">
      <c r="A345" s="59"/>
      <c r="B345" s="12"/>
      <c r="C345" s="12"/>
      <c r="D345" s="60"/>
      <c r="E345" s="6"/>
      <c r="F345" s="6"/>
      <c r="G345" s="12"/>
      <c r="H345" s="12"/>
      <c r="I345" s="12" t="str" cm="2">
        <f t="array" ref="I345">IFERROR(INDEX(BrandList!$B$2:$B$200,MATCH(TRUE,ISNUMBER(SEARCH(BrandList!$B$2:$B$200,G345)),0)),"")</f>
        <v/>
      </c>
      <c r="J345" s="12"/>
      <c r="K345" s="12"/>
      <c r="L345" s="60"/>
      <c r="M345" s="60"/>
      <c r="N345" s="60"/>
      <c r="O345" s="60"/>
      <c r="P345" s="7" t="str">
        <f t="shared" si="11"/>
        <v/>
      </c>
      <c r="Q345" s="8">
        <f>IFERROR(VLOOKUP(VALUE(A345),WEEKLY_DATA!$A:$H,2,0),0)</f>
        <v>0</v>
      </c>
      <c r="R345" s="8">
        <f>IFERROR(VLOOKUP(VALUE(A345),WEEKLY_DATA!$A:$H,3,0),0)</f>
        <v>0</v>
      </c>
      <c r="S345" s="8">
        <f>IFERROR(VLOOKUP(VALUE(A345),WEEKLY_DATA!$A:$H,4,0),0)</f>
        <v>0</v>
      </c>
      <c r="T345" s="51">
        <f>IFERROR(VLOOKUP(VALUE(A345),WEEKLY_DATA!$A:$H,5,0),0)</f>
        <v>0</v>
      </c>
      <c r="U345" s="51">
        <f>IFERROR(VLOOKUP(VALUE(A345),WEEKLY_DATA!$A:$H,6,0),0)</f>
        <v>0</v>
      </c>
      <c r="V345" s="51">
        <f>IFERROR(VLOOKUP(VALUE(A345),WEEKLY_DATA!$A:$H,7,0),0)</f>
        <v>0</v>
      </c>
      <c r="W345" s="9" t="str">
        <f>IFERROR(IF(OR(Q345="",Q345=0),"",IF(VLOOKUP(VALUE($A345),WEEKLY_DATA!$A:$H,6,0)=0,"No Sales",Q345/(VLOOKUP(VALUE($A345),WEEKLY_DATA!$A:$H,6,0)/13))),"")</f>
        <v/>
      </c>
      <c r="X345" s="10">
        <f>IFERROR(VLOOKUP(VALUE(A345),WEEKLY_DATA!$A:$H,8,0),0)</f>
        <v>0</v>
      </c>
      <c r="Y345" s="13" t="str">
        <f t="shared" si="10"/>
        <v>—</v>
      </c>
      <c r="Z345" s="11"/>
      <c r="AA345" s="11"/>
      <c r="AB345" s="11"/>
      <c r="AC345" s="11"/>
      <c r="AD345" s="11"/>
      <c r="AE345" s="11"/>
      <c r="AF345" s="61"/>
      <c r="AG345" s="61"/>
      <c r="AH345" s="62"/>
      <c r="AI345" s="62"/>
      <c r="AJ345" s="61"/>
      <c r="AK345" s="61"/>
      <c r="AL345" s="61"/>
      <c r="AM345" s="58"/>
      <c r="AN345" s="58"/>
      <c r="AO345" s="58"/>
      <c r="AP345" s="58"/>
      <c r="AQ345" s="58"/>
      <c r="AR345" s="58"/>
      <c r="AS345" s="91"/>
      <c r="AT345" s="93"/>
      <c r="AU345" s="93"/>
      <c r="AV345" s="93"/>
      <c r="AW345" s="93"/>
    </row>
    <row r="346" spans="1:49" x14ac:dyDescent="0.25">
      <c r="A346" s="59"/>
      <c r="B346" s="12"/>
      <c r="C346" s="12"/>
      <c r="D346" s="60"/>
      <c r="E346" s="6"/>
      <c r="F346" s="6"/>
      <c r="G346" s="12"/>
      <c r="H346" s="12"/>
      <c r="I346" s="12" t="str" cm="2">
        <f t="array" ref="I346">IFERROR(INDEX(BrandList!$B$2:$B$200,MATCH(TRUE,ISNUMBER(SEARCH(BrandList!$B$2:$B$200,G346)),0)),"")</f>
        <v/>
      </c>
      <c r="J346" s="12"/>
      <c r="K346" s="12"/>
      <c r="L346" s="60"/>
      <c r="M346" s="60"/>
      <c r="N346" s="60"/>
      <c r="O346" s="60"/>
      <c r="P346" s="7" t="str">
        <f t="shared" si="11"/>
        <v/>
      </c>
      <c r="Q346" s="8">
        <f>IFERROR(VLOOKUP(VALUE(A346),WEEKLY_DATA!$A:$H,2,0),0)</f>
        <v>0</v>
      </c>
      <c r="R346" s="8">
        <f>IFERROR(VLOOKUP(VALUE(A346),WEEKLY_DATA!$A:$H,3,0),0)</f>
        <v>0</v>
      </c>
      <c r="S346" s="8">
        <f>IFERROR(VLOOKUP(VALUE(A346),WEEKLY_DATA!$A:$H,4,0),0)</f>
        <v>0</v>
      </c>
      <c r="T346" s="51">
        <f>IFERROR(VLOOKUP(VALUE(A346),WEEKLY_DATA!$A:$H,5,0),0)</f>
        <v>0</v>
      </c>
      <c r="U346" s="51">
        <f>IFERROR(VLOOKUP(VALUE(A346),WEEKLY_DATA!$A:$H,6,0),0)</f>
        <v>0</v>
      </c>
      <c r="V346" s="51">
        <f>IFERROR(VLOOKUP(VALUE(A346),WEEKLY_DATA!$A:$H,7,0),0)</f>
        <v>0</v>
      </c>
      <c r="W346" s="9" t="str">
        <f>IFERROR(IF(OR(Q346="",Q346=0),"",IF(VLOOKUP(VALUE($A346),WEEKLY_DATA!$A:$H,6,0)=0,"No Sales",Q346/(VLOOKUP(VALUE($A346),WEEKLY_DATA!$A:$H,6,0)/13))),"")</f>
        <v/>
      </c>
      <c r="X346" s="10">
        <f>IFERROR(VLOOKUP(VALUE(A346),WEEKLY_DATA!$A:$H,8,0),0)</f>
        <v>0</v>
      </c>
      <c r="Y346" s="13" t="str">
        <f t="shared" si="10"/>
        <v>—</v>
      </c>
      <c r="Z346" s="11"/>
      <c r="AA346" s="11"/>
      <c r="AB346" s="11"/>
      <c r="AC346" s="11"/>
      <c r="AD346" s="11"/>
      <c r="AE346" s="11"/>
      <c r="AF346" s="61"/>
      <c r="AG346" s="61"/>
      <c r="AH346" s="62"/>
      <c r="AI346" s="62"/>
      <c r="AJ346" s="61"/>
      <c r="AK346" s="61"/>
      <c r="AL346" s="61"/>
      <c r="AM346" s="58"/>
      <c r="AN346" s="58"/>
      <c r="AO346" s="58"/>
      <c r="AP346" s="58"/>
      <c r="AQ346" s="58"/>
      <c r="AR346" s="58"/>
      <c r="AS346" s="91"/>
      <c r="AT346" s="93"/>
      <c r="AU346" s="93"/>
      <c r="AV346" s="93"/>
      <c r="AW346" s="93"/>
    </row>
    <row r="347" spans="1:49" x14ac:dyDescent="0.25">
      <c r="A347" s="59"/>
      <c r="B347" s="12"/>
      <c r="C347" s="12"/>
      <c r="D347" s="60"/>
      <c r="E347" s="6"/>
      <c r="F347" s="6"/>
      <c r="G347" s="12"/>
      <c r="H347" s="12"/>
      <c r="I347" s="12" t="str" cm="2">
        <f t="array" ref="I347">IFERROR(INDEX(BrandList!$B$2:$B$200,MATCH(TRUE,ISNUMBER(SEARCH(BrandList!$B$2:$B$200,G347)),0)),"")</f>
        <v/>
      </c>
      <c r="J347" s="12"/>
      <c r="K347" s="12"/>
      <c r="L347" s="60"/>
      <c r="M347" s="60"/>
      <c r="N347" s="60"/>
      <c r="O347" s="60"/>
      <c r="P347" s="7" t="str">
        <f t="shared" si="11"/>
        <v/>
      </c>
      <c r="Q347" s="8">
        <f>IFERROR(VLOOKUP(VALUE(A347),WEEKLY_DATA!$A:$H,2,0),0)</f>
        <v>0</v>
      </c>
      <c r="R347" s="8">
        <f>IFERROR(VLOOKUP(VALUE(A347),WEEKLY_DATA!$A:$H,3,0),0)</f>
        <v>0</v>
      </c>
      <c r="S347" s="8">
        <f>IFERROR(VLOOKUP(VALUE(A347),WEEKLY_DATA!$A:$H,4,0),0)</f>
        <v>0</v>
      </c>
      <c r="T347" s="51">
        <f>IFERROR(VLOOKUP(VALUE(A347),WEEKLY_DATA!$A:$H,5,0),0)</f>
        <v>0</v>
      </c>
      <c r="U347" s="51">
        <f>IFERROR(VLOOKUP(VALUE(A347),WEEKLY_DATA!$A:$H,6,0),0)</f>
        <v>0</v>
      </c>
      <c r="V347" s="51">
        <f>IFERROR(VLOOKUP(VALUE(A347),WEEKLY_DATA!$A:$H,7,0),0)</f>
        <v>0</v>
      </c>
      <c r="W347" s="9" t="str">
        <f>IFERROR(IF(OR(Q347="",Q347=0),"",IF(VLOOKUP(VALUE($A347),WEEKLY_DATA!$A:$H,6,0)=0,"No Sales",Q347/(VLOOKUP(VALUE($A347),WEEKLY_DATA!$A:$H,6,0)/13))),"")</f>
        <v/>
      </c>
      <c r="X347" s="10">
        <f>IFERROR(VLOOKUP(VALUE(A347),WEEKLY_DATA!$A:$H,8,0),0)</f>
        <v>0</v>
      </c>
      <c r="Y347" s="13" t="str">
        <f t="shared" si="10"/>
        <v>—</v>
      </c>
      <c r="Z347" s="11"/>
      <c r="AA347" s="11"/>
      <c r="AB347" s="11"/>
      <c r="AC347" s="11"/>
      <c r="AD347" s="11"/>
      <c r="AE347" s="11"/>
      <c r="AF347" s="61"/>
      <c r="AG347" s="61"/>
      <c r="AH347" s="62"/>
      <c r="AI347" s="62"/>
      <c r="AJ347" s="61"/>
      <c r="AK347" s="61"/>
      <c r="AL347" s="61"/>
      <c r="AM347" s="58"/>
      <c r="AN347" s="58"/>
      <c r="AO347" s="58"/>
      <c r="AP347" s="58"/>
      <c r="AQ347" s="58"/>
      <c r="AR347" s="58"/>
      <c r="AS347" s="91"/>
      <c r="AT347" s="93"/>
      <c r="AU347" s="93"/>
      <c r="AV347" s="93"/>
      <c r="AW347" s="93"/>
    </row>
    <row r="348" spans="1:49" x14ac:dyDescent="0.25">
      <c r="A348" s="59"/>
      <c r="B348" s="12"/>
      <c r="C348" s="12"/>
      <c r="D348" s="60"/>
      <c r="E348" s="6"/>
      <c r="F348" s="6"/>
      <c r="G348" s="12"/>
      <c r="H348" s="12"/>
      <c r="I348" s="12" t="str" cm="2">
        <f t="array" ref="I348">IFERROR(INDEX(BrandList!$B$2:$B$200,MATCH(TRUE,ISNUMBER(SEARCH(BrandList!$B$2:$B$200,G348)),0)),"")</f>
        <v/>
      </c>
      <c r="J348" s="12"/>
      <c r="K348" s="12"/>
      <c r="L348" s="60"/>
      <c r="M348" s="60"/>
      <c r="N348" s="60"/>
      <c r="O348" s="60"/>
      <c r="P348" s="7" t="str">
        <f t="shared" si="11"/>
        <v/>
      </c>
      <c r="Q348" s="8">
        <f>IFERROR(VLOOKUP(VALUE(A348),WEEKLY_DATA!$A:$H,2,0),0)</f>
        <v>0</v>
      </c>
      <c r="R348" s="8">
        <f>IFERROR(VLOOKUP(VALUE(A348),WEEKLY_DATA!$A:$H,3,0),0)</f>
        <v>0</v>
      </c>
      <c r="S348" s="8">
        <f>IFERROR(VLOOKUP(VALUE(A348),WEEKLY_DATA!$A:$H,4,0),0)</f>
        <v>0</v>
      </c>
      <c r="T348" s="51">
        <f>IFERROR(VLOOKUP(VALUE(A348),WEEKLY_DATA!$A:$H,5,0),0)</f>
        <v>0</v>
      </c>
      <c r="U348" s="51">
        <f>IFERROR(VLOOKUP(VALUE(A348),WEEKLY_DATA!$A:$H,6,0),0)</f>
        <v>0</v>
      </c>
      <c r="V348" s="51">
        <f>IFERROR(VLOOKUP(VALUE(A348),WEEKLY_DATA!$A:$H,7,0),0)</f>
        <v>0</v>
      </c>
      <c r="W348" s="9" t="str">
        <f>IFERROR(IF(OR(Q348="",Q348=0),"",IF(VLOOKUP(VALUE($A348),WEEKLY_DATA!$A:$H,6,0)=0,"No Sales",Q348/(VLOOKUP(VALUE($A348),WEEKLY_DATA!$A:$H,6,0)/13))),"")</f>
        <v/>
      </c>
      <c r="X348" s="10">
        <f>IFERROR(VLOOKUP(VALUE(A348),WEEKLY_DATA!$A:$H,8,0),0)</f>
        <v>0</v>
      </c>
      <c r="Y348" s="13" t="str">
        <f t="shared" si="10"/>
        <v>—</v>
      </c>
      <c r="Z348" s="11"/>
      <c r="AA348" s="11"/>
      <c r="AB348" s="11"/>
      <c r="AC348" s="11"/>
      <c r="AD348" s="11"/>
      <c r="AE348" s="11"/>
      <c r="AF348" s="61"/>
      <c r="AG348" s="61"/>
      <c r="AH348" s="62"/>
      <c r="AI348" s="62"/>
      <c r="AJ348" s="61"/>
      <c r="AK348" s="61"/>
      <c r="AL348" s="61"/>
      <c r="AM348" s="58"/>
      <c r="AN348" s="58"/>
      <c r="AO348" s="58"/>
      <c r="AP348" s="58"/>
      <c r="AQ348" s="58"/>
      <c r="AR348" s="58"/>
      <c r="AS348" s="91"/>
      <c r="AT348" s="93"/>
      <c r="AU348" s="93"/>
      <c r="AV348" s="93"/>
      <c r="AW348" s="93"/>
    </row>
    <row r="349" spans="1:49" x14ac:dyDescent="0.25">
      <c r="A349" s="59"/>
      <c r="B349" s="12"/>
      <c r="C349" s="12"/>
      <c r="D349" s="60"/>
      <c r="E349" s="6"/>
      <c r="F349" s="6"/>
      <c r="G349" s="12"/>
      <c r="H349" s="12"/>
      <c r="I349" s="12" t="str" cm="2">
        <f t="array" ref="I349">IFERROR(INDEX(BrandList!$B$2:$B$200,MATCH(TRUE,ISNUMBER(SEARCH(BrandList!$B$2:$B$200,G349)),0)),"")</f>
        <v/>
      </c>
      <c r="J349" s="12"/>
      <c r="K349" s="12"/>
      <c r="L349" s="60"/>
      <c r="M349" s="60"/>
      <c r="N349" s="60"/>
      <c r="O349" s="60"/>
      <c r="P349" s="7" t="str">
        <f t="shared" si="11"/>
        <v/>
      </c>
      <c r="Q349" s="8">
        <f>IFERROR(VLOOKUP(VALUE(A349),WEEKLY_DATA!$A:$H,2,0),0)</f>
        <v>0</v>
      </c>
      <c r="R349" s="8">
        <f>IFERROR(VLOOKUP(VALUE(A349),WEEKLY_DATA!$A:$H,3,0),0)</f>
        <v>0</v>
      </c>
      <c r="S349" s="8">
        <f>IFERROR(VLOOKUP(VALUE(A349),WEEKLY_DATA!$A:$H,4,0),0)</f>
        <v>0</v>
      </c>
      <c r="T349" s="51">
        <f>IFERROR(VLOOKUP(VALUE(A349),WEEKLY_DATA!$A:$H,5,0),0)</f>
        <v>0</v>
      </c>
      <c r="U349" s="51">
        <f>IFERROR(VLOOKUP(VALUE(A349),WEEKLY_DATA!$A:$H,6,0),0)</f>
        <v>0</v>
      </c>
      <c r="V349" s="51">
        <f>IFERROR(VLOOKUP(VALUE(A349),WEEKLY_DATA!$A:$H,7,0),0)</f>
        <v>0</v>
      </c>
      <c r="W349" s="9" t="str">
        <f>IFERROR(IF(OR(Q349="",Q349=0),"",IF(VLOOKUP(VALUE($A349),WEEKLY_DATA!$A:$H,6,0)=0,"No Sales",Q349/(VLOOKUP(VALUE($A349),WEEKLY_DATA!$A:$H,6,0)/13))),"")</f>
        <v/>
      </c>
      <c r="X349" s="10">
        <f>IFERROR(VLOOKUP(VALUE(A349),WEEKLY_DATA!$A:$H,8,0),0)</f>
        <v>0</v>
      </c>
      <c r="Y349" s="13" t="str">
        <f t="shared" si="10"/>
        <v>—</v>
      </c>
      <c r="Z349" s="11"/>
      <c r="AA349" s="11"/>
      <c r="AB349" s="11"/>
      <c r="AC349" s="11"/>
      <c r="AD349" s="11"/>
      <c r="AE349" s="11"/>
      <c r="AF349" s="61"/>
      <c r="AG349" s="61"/>
      <c r="AH349" s="62"/>
      <c r="AI349" s="62"/>
      <c r="AJ349" s="61"/>
      <c r="AK349" s="61"/>
      <c r="AL349" s="61"/>
      <c r="AM349" s="58"/>
      <c r="AN349" s="58"/>
      <c r="AO349" s="58"/>
      <c r="AP349" s="58"/>
      <c r="AQ349" s="58"/>
      <c r="AR349" s="58"/>
      <c r="AS349" s="91"/>
      <c r="AT349" s="93"/>
      <c r="AU349" s="93"/>
      <c r="AV349" s="93"/>
      <c r="AW349" s="93"/>
    </row>
    <row r="350" spans="1:49" x14ac:dyDescent="0.25">
      <c r="A350" s="59"/>
      <c r="B350" s="12"/>
      <c r="C350" s="12"/>
      <c r="D350" s="60"/>
      <c r="E350" s="6"/>
      <c r="F350" s="6"/>
      <c r="G350" s="12"/>
      <c r="H350" s="12"/>
      <c r="I350" s="12" t="str" cm="2">
        <f t="array" ref="I350">IFERROR(INDEX(BrandList!$B$2:$B$200,MATCH(TRUE,ISNUMBER(SEARCH(BrandList!$B$2:$B$200,G350)),0)),"")</f>
        <v/>
      </c>
      <c r="J350" s="12"/>
      <c r="K350" s="12"/>
      <c r="L350" s="60"/>
      <c r="M350" s="60"/>
      <c r="N350" s="60"/>
      <c r="O350" s="60"/>
      <c r="P350" s="7" t="str">
        <f t="shared" si="11"/>
        <v/>
      </c>
      <c r="Q350" s="8">
        <f>IFERROR(VLOOKUP(VALUE(A350),WEEKLY_DATA!$A:$H,2,0),0)</f>
        <v>0</v>
      </c>
      <c r="R350" s="8">
        <f>IFERROR(VLOOKUP(VALUE(A350),WEEKLY_DATA!$A:$H,3,0),0)</f>
        <v>0</v>
      </c>
      <c r="S350" s="8">
        <f>IFERROR(VLOOKUP(VALUE(A350),WEEKLY_DATA!$A:$H,4,0),0)</f>
        <v>0</v>
      </c>
      <c r="T350" s="51">
        <f>IFERROR(VLOOKUP(VALUE(A350),WEEKLY_DATA!$A:$H,5,0),0)</f>
        <v>0</v>
      </c>
      <c r="U350" s="51">
        <f>IFERROR(VLOOKUP(VALUE(A350),WEEKLY_DATA!$A:$H,6,0),0)</f>
        <v>0</v>
      </c>
      <c r="V350" s="51">
        <f>IFERROR(VLOOKUP(VALUE(A350),WEEKLY_DATA!$A:$H,7,0),0)</f>
        <v>0</v>
      </c>
      <c r="W350" s="9" t="str">
        <f>IFERROR(IF(OR(Q350="",Q350=0),"",IF(VLOOKUP(VALUE($A350),WEEKLY_DATA!$A:$H,6,0)=0,"No Sales",Q350/(VLOOKUP(VALUE($A350),WEEKLY_DATA!$A:$H,6,0)/13))),"")</f>
        <v/>
      </c>
      <c r="X350" s="10">
        <f>IFERROR(VLOOKUP(VALUE(A350),WEEKLY_DATA!$A:$H,8,0),0)</f>
        <v>0</v>
      </c>
      <c r="Y350" s="13" t="str">
        <f t="shared" si="10"/>
        <v>—</v>
      </c>
      <c r="Z350" s="11"/>
      <c r="AA350" s="11"/>
      <c r="AB350" s="11"/>
      <c r="AC350" s="11"/>
      <c r="AD350" s="11"/>
      <c r="AE350" s="11"/>
      <c r="AF350" s="61"/>
      <c r="AG350" s="61"/>
      <c r="AH350" s="62"/>
      <c r="AI350" s="62"/>
      <c r="AJ350" s="61"/>
      <c r="AK350" s="61"/>
      <c r="AL350" s="61"/>
      <c r="AM350" s="58"/>
      <c r="AN350" s="58"/>
      <c r="AO350" s="58"/>
      <c r="AP350" s="58"/>
      <c r="AQ350" s="58"/>
      <c r="AR350" s="58"/>
      <c r="AS350" s="91"/>
      <c r="AT350" s="93"/>
      <c r="AU350" s="93"/>
      <c r="AV350" s="93"/>
      <c r="AW350" s="93"/>
    </row>
    <row r="351" spans="1:49" x14ac:dyDescent="0.25">
      <c r="A351" s="59"/>
      <c r="B351" s="12"/>
      <c r="C351" s="12"/>
      <c r="D351" s="60"/>
      <c r="E351" s="6"/>
      <c r="F351" s="6"/>
      <c r="G351" s="12"/>
      <c r="H351" s="12"/>
      <c r="I351" s="12" t="str" cm="2">
        <f t="array" ref="I351">IFERROR(INDEX(BrandList!$B$2:$B$200,MATCH(TRUE,ISNUMBER(SEARCH(BrandList!$B$2:$B$200,G351)),0)),"")</f>
        <v/>
      </c>
      <c r="J351" s="12"/>
      <c r="K351" s="12"/>
      <c r="L351" s="60"/>
      <c r="M351" s="60"/>
      <c r="N351" s="60"/>
      <c r="O351" s="60"/>
      <c r="P351" s="7" t="str">
        <f t="shared" si="11"/>
        <v/>
      </c>
      <c r="Q351" s="8">
        <f>IFERROR(VLOOKUP(VALUE(A351),WEEKLY_DATA!$A:$H,2,0),0)</f>
        <v>0</v>
      </c>
      <c r="R351" s="8">
        <f>IFERROR(VLOOKUP(VALUE(A351),WEEKLY_DATA!$A:$H,3,0),0)</f>
        <v>0</v>
      </c>
      <c r="S351" s="8">
        <f>IFERROR(VLOOKUP(VALUE(A351),WEEKLY_DATA!$A:$H,4,0),0)</f>
        <v>0</v>
      </c>
      <c r="T351" s="51">
        <f>IFERROR(VLOOKUP(VALUE(A351),WEEKLY_DATA!$A:$H,5,0),0)</f>
        <v>0</v>
      </c>
      <c r="U351" s="51">
        <f>IFERROR(VLOOKUP(VALUE(A351),WEEKLY_DATA!$A:$H,6,0),0)</f>
        <v>0</v>
      </c>
      <c r="V351" s="51">
        <f>IFERROR(VLOOKUP(VALUE(A351),WEEKLY_DATA!$A:$H,7,0),0)</f>
        <v>0</v>
      </c>
      <c r="W351" s="9" t="str">
        <f>IFERROR(IF(OR(Q351="",Q351=0),"",IF(VLOOKUP(VALUE($A351),WEEKLY_DATA!$A:$H,6,0)=0,"No Sales",Q351/(VLOOKUP(VALUE($A351),WEEKLY_DATA!$A:$H,6,0)/13))),"")</f>
        <v/>
      </c>
      <c r="X351" s="10">
        <f>IFERROR(VLOOKUP(VALUE(A351),WEEKLY_DATA!$A:$H,8,0),0)</f>
        <v>0</v>
      </c>
      <c r="Y351" s="13" t="str">
        <f t="shared" si="10"/>
        <v>—</v>
      </c>
      <c r="Z351" s="11"/>
      <c r="AA351" s="11"/>
      <c r="AB351" s="11"/>
      <c r="AC351" s="11"/>
      <c r="AD351" s="11"/>
      <c r="AE351" s="11"/>
      <c r="AF351" s="61"/>
      <c r="AG351" s="61"/>
      <c r="AH351" s="62"/>
      <c r="AI351" s="62"/>
      <c r="AJ351" s="61"/>
      <c r="AK351" s="61"/>
      <c r="AL351" s="61"/>
      <c r="AM351" s="58"/>
      <c r="AN351" s="58"/>
      <c r="AO351" s="58"/>
      <c r="AP351" s="58"/>
      <c r="AQ351" s="58"/>
      <c r="AR351" s="58"/>
      <c r="AS351" s="91"/>
      <c r="AT351" s="93"/>
      <c r="AU351" s="93"/>
      <c r="AV351" s="93"/>
      <c r="AW351" s="93"/>
    </row>
    <row r="352" spans="1:49" x14ac:dyDescent="0.25">
      <c r="A352" s="59"/>
      <c r="B352" s="12"/>
      <c r="C352" s="12"/>
      <c r="D352" s="60"/>
      <c r="E352" s="6"/>
      <c r="F352" s="6"/>
      <c r="G352" s="12"/>
      <c r="H352" s="12"/>
      <c r="I352" s="12" t="str" cm="2">
        <f t="array" ref="I352">IFERROR(INDEX(BrandList!$B$2:$B$200,MATCH(TRUE,ISNUMBER(SEARCH(BrandList!$B$2:$B$200,G352)),0)),"")</f>
        <v/>
      </c>
      <c r="J352" s="12"/>
      <c r="K352" s="12"/>
      <c r="L352" s="60"/>
      <c r="M352" s="60"/>
      <c r="N352" s="60"/>
      <c r="O352" s="60"/>
      <c r="P352" s="7" t="str">
        <f t="shared" si="11"/>
        <v/>
      </c>
      <c r="Q352" s="8">
        <f>IFERROR(VLOOKUP(VALUE(A352),WEEKLY_DATA!$A:$H,2,0),0)</f>
        <v>0</v>
      </c>
      <c r="R352" s="8">
        <f>IFERROR(VLOOKUP(VALUE(A352),WEEKLY_DATA!$A:$H,3,0),0)</f>
        <v>0</v>
      </c>
      <c r="S352" s="8">
        <f>IFERROR(VLOOKUP(VALUE(A352),WEEKLY_DATA!$A:$H,4,0),0)</f>
        <v>0</v>
      </c>
      <c r="T352" s="51">
        <f>IFERROR(VLOOKUP(VALUE(A352),WEEKLY_DATA!$A:$H,5,0),0)</f>
        <v>0</v>
      </c>
      <c r="U352" s="51">
        <f>IFERROR(VLOOKUP(VALUE(A352),WEEKLY_DATA!$A:$H,6,0),0)</f>
        <v>0</v>
      </c>
      <c r="V352" s="51">
        <f>IFERROR(VLOOKUP(VALUE(A352),WEEKLY_DATA!$A:$H,7,0),0)</f>
        <v>0</v>
      </c>
      <c r="W352" s="9" t="str">
        <f>IFERROR(IF(OR(Q352="",Q352=0),"",IF(VLOOKUP(VALUE($A352),WEEKLY_DATA!$A:$H,6,0)=0,"No Sales",Q352/(VLOOKUP(VALUE($A352),WEEKLY_DATA!$A:$H,6,0)/13))),"")</f>
        <v/>
      </c>
      <c r="X352" s="10">
        <f>IFERROR(VLOOKUP(VALUE(A352),WEEKLY_DATA!$A:$H,8,0),0)</f>
        <v>0</v>
      </c>
      <c r="Y352" s="13" t="str">
        <f t="shared" si="10"/>
        <v>—</v>
      </c>
      <c r="Z352" s="11"/>
      <c r="AA352" s="11"/>
      <c r="AB352" s="11"/>
      <c r="AC352" s="11"/>
      <c r="AD352" s="11"/>
      <c r="AE352" s="11"/>
      <c r="AF352" s="61"/>
      <c r="AG352" s="61"/>
      <c r="AH352" s="62"/>
      <c r="AI352" s="62"/>
      <c r="AJ352" s="61"/>
      <c r="AK352" s="61"/>
      <c r="AL352" s="61"/>
      <c r="AM352" s="58"/>
      <c r="AN352" s="58"/>
      <c r="AO352" s="58"/>
      <c r="AP352" s="58"/>
      <c r="AQ352" s="58"/>
      <c r="AR352" s="58"/>
      <c r="AS352" s="91"/>
      <c r="AT352" s="93"/>
      <c r="AU352" s="93"/>
      <c r="AV352" s="93"/>
      <c r="AW352" s="93"/>
    </row>
    <row r="353" spans="1:49" x14ac:dyDescent="0.25">
      <c r="A353" s="59"/>
      <c r="B353" s="12"/>
      <c r="C353" s="12"/>
      <c r="D353" s="60"/>
      <c r="E353" s="6"/>
      <c r="F353" s="6"/>
      <c r="G353" s="12"/>
      <c r="H353" s="12"/>
      <c r="I353" s="12" t="str" cm="2">
        <f t="array" ref="I353">IFERROR(INDEX(BrandList!$B$2:$B$200,MATCH(TRUE,ISNUMBER(SEARCH(BrandList!$B$2:$B$200,G353)),0)),"")</f>
        <v/>
      </c>
      <c r="J353" s="12"/>
      <c r="K353" s="12"/>
      <c r="L353" s="60"/>
      <c r="M353" s="60"/>
      <c r="N353" s="60"/>
      <c r="O353" s="60"/>
      <c r="P353" s="7" t="str">
        <f t="shared" si="11"/>
        <v/>
      </c>
      <c r="Q353" s="8">
        <f>IFERROR(VLOOKUP(VALUE(A353),WEEKLY_DATA!$A:$H,2,0),0)</f>
        <v>0</v>
      </c>
      <c r="R353" s="8">
        <f>IFERROR(VLOOKUP(VALUE(A353),WEEKLY_DATA!$A:$H,3,0),0)</f>
        <v>0</v>
      </c>
      <c r="S353" s="8">
        <f>IFERROR(VLOOKUP(VALUE(A353),WEEKLY_DATA!$A:$H,4,0),0)</f>
        <v>0</v>
      </c>
      <c r="T353" s="51">
        <f>IFERROR(VLOOKUP(VALUE(A353),WEEKLY_DATA!$A:$H,5,0),0)</f>
        <v>0</v>
      </c>
      <c r="U353" s="51">
        <f>IFERROR(VLOOKUP(VALUE(A353),WEEKLY_DATA!$A:$H,6,0),0)</f>
        <v>0</v>
      </c>
      <c r="V353" s="51">
        <f>IFERROR(VLOOKUP(VALUE(A353),WEEKLY_DATA!$A:$H,7,0),0)</f>
        <v>0</v>
      </c>
      <c r="W353" s="9" t="str">
        <f>IFERROR(IF(OR(Q353="",Q353=0),"",IF(VLOOKUP(VALUE($A353),WEEKLY_DATA!$A:$H,6,0)=0,"No Sales",Q353/(VLOOKUP(VALUE($A353),WEEKLY_DATA!$A:$H,6,0)/13))),"")</f>
        <v/>
      </c>
      <c r="X353" s="10">
        <f>IFERROR(VLOOKUP(VALUE(A353),WEEKLY_DATA!$A:$H,8,0),0)</f>
        <v>0</v>
      </c>
      <c r="Y353" s="13" t="str">
        <f t="shared" si="10"/>
        <v>—</v>
      </c>
      <c r="Z353" s="11"/>
      <c r="AA353" s="11"/>
      <c r="AB353" s="11"/>
      <c r="AC353" s="11"/>
      <c r="AD353" s="11"/>
      <c r="AE353" s="11"/>
      <c r="AF353" s="61"/>
      <c r="AG353" s="61"/>
      <c r="AH353" s="62"/>
      <c r="AI353" s="62"/>
      <c r="AJ353" s="61"/>
      <c r="AK353" s="61"/>
      <c r="AL353" s="61"/>
      <c r="AM353" s="58"/>
      <c r="AN353" s="58"/>
      <c r="AO353" s="58"/>
      <c r="AP353" s="58"/>
      <c r="AQ353" s="58"/>
      <c r="AR353" s="58"/>
      <c r="AS353" s="91"/>
      <c r="AT353" s="93"/>
      <c r="AU353" s="93"/>
      <c r="AV353" s="93"/>
      <c r="AW353" s="93"/>
    </row>
    <row r="354" spans="1:49" x14ac:dyDescent="0.25">
      <c r="A354" s="59"/>
      <c r="B354" s="12"/>
      <c r="C354" s="12"/>
      <c r="D354" s="60"/>
      <c r="E354" s="6"/>
      <c r="F354" s="6"/>
      <c r="G354" s="12"/>
      <c r="H354" s="12"/>
      <c r="I354" s="12" t="str" cm="2">
        <f t="array" ref="I354">IFERROR(INDEX(BrandList!$B$2:$B$200,MATCH(TRUE,ISNUMBER(SEARCH(BrandList!$B$2:$B$200,G354)),0)),"")</f>
        <v/>
      </c>
      <c r="J354" s="12"/>
      <c r="K354" s="12"/>
      <c r="L354" s="60"/>
      <c r="M354" s="60"/>
      <c r="N354" s="60"/>
      <c r="O354" s="60"/>
      <c r="P354" s="7" t="str">
        <f t="shared" si="11"/>
        <v/>
      </c>
      <c r="Q354" s="8">
        <f>IFERROR(VLOOKUP(VALUE(A354),WEEKLY_DATA!$A:$H,2,0),0)</f>
        <v>0</v>
      </c>
      <c r="R354" s="8">
        <f>IFERROR(VLOOKUP(VALUE(A354),WEEKLY_DATA!$A:$H,3,0),0)</f>
        <v>0</v>
      </c>
      <c r="S354" s="8">
        <f>IFERROR(VLOOKUP(VALUE(A354),WEEKLY_DATA!$A:$H,4,0),0)</f>
        <v>0</v>
      </c>
      <c r="T354" s="51">
        <f>IFERROR(VLOOKUP(VALUE(A354),WEEKLY_DATA!$A:$H,5,0),0)</f>
        <v>0</v>
      </c>
      <c r="U354" s="51">
        <f>IFERROR(VLOOKUP(VALUE(A354),WEEKLY_DATA!$A:$H,6,0),0)</f>
        <v>0</v>
      </c>
      <c r="V354" s="51">
        <f>IFERROR(VLOOKUP(VALUE(A354),WEEKLY_DATA!$A:$H,7,0),0)</f>
        <v>0</v>
      </c>
      <c r="W354" s="9" t="str">
        <f>IFERROR(IF(OR(Q354="",Q354=0),"",IF(VLOOKUP(VALUE($A354),WEEKLY_DATA!$A:$H,6,0)=0,"No Sales",Q354/(VLOOKUP(VALUE($A354),WEEKLY_DATA!$A:$H,6,0)/13))),"")</f>
        <v/>
      </c>
      <c r="X354" s="10">
        <f>IFERROR(VLOOKUP(VALUE(A354),WEEKLY_DATA!$A:$H,8,0),0)</f>
        <v>0</v>
      </c>
      <c r="Y354" s="13" t="str">
        <f t="shared" si="10"/>
        <v>—</v>
      </c>
      <c r="Z354" s="11"/>
      <c r="AA354" s="11"/>
      <c r="AB354" s="11"/>
      <c r="AC354" s="11"/>
      <c r="AD354" s="11"/>
      <c r="AE354" s="11"/>
      <c r="AF354" s="61"/>
      <c r="AG354" s="61"/>
      <c r="AH354" s="62"/>
      <c r="AI354" s="62"/>
      <c r="AJ354" s="61"/>
      <c r="AK354" s="61"/>
      <c r="AL354" s="61"/>
      <c r="AM354" s="58"/>
      <c r="AN354" s="58"/>
      <c r="AO354" s="58"/>
      <c r="AP354" s="58"/>
      <c r="AQ354" s="58"/>
      <c r="AR354" s="58"/>
      <c r="AS354" s="91"/>
      <c r="AT354" s="93"/>
      <c r="AU354" s="93"/>
      <c r="AV354" s="93"/>
      <c r="AW354" s="93"/>
    </row>
    <row r="355" spans="1:49" x14ac:dyDescent="0.25">
      <c r="A355" s="59"/>
      <c r="B355" s="12"/>
      <c r="C355" s="12"/>
      <c r="D355" s="60"/>
      <c r="E355" s="6"/>
      <c r="F355" s="6"/>
      <c r="G355" s="12"/>
      <c r="H355" s="12"/>
      <c r="I355" s="12" t="str" cm="2">
        <f t="array" ref="I355">IFERROR(INDEX(BrandList!$B$2:$B$200,MATCH(TRUE,ISNUMBER(SEARCH(BrandList!$B$2:$B$200,G355)),0)),"")</f>
        <v/>
      </c>
      <c r="J355" s="12"/>
      <c r="K355" s="12"/>
      <c r="L355" s="60"/>
      <c r="M355" s="60"/>
      <c r="N355" s="60"/>
      <c r="O355" s="60"/>
      <c r="P355" s="7" t="str">
        <f t="shared" si="11"/>
        <v/>
      </c>
      <c r="Q355" s="8">
        <f>IFERROR(VLOOKUP(VALUE(A355),WEEKLY_DATA!$A:$H,2,0),0)</f>
        <v>0</v>
      </c>
      <c r="R355" s="8">
        <f>IFERROR(VLOOKUP(VALUE(A355),WEEKLY_DATA!$A:$H,3,0),0)</f>
        <v>0</v>
      </c>
      <c r="S355" s="8">
        <f>IFERROR(VLOOKUP(VALUE(A355),WEEKLY_DATA!$A:$H,4,0),0)</f>
        <v>0</v>
      </c>
      <c r="T355" s="51">
        <f>IFERROR(VLOOKUP(VALUE(A355),WEEKLY_DATA!$A:$H,5,0),0)</f>
        <v>0</v>
      </c>
      <c r="U355" s="51">
        <f>IFERROR(VLOOKUP(VALUE(A355),WEEKLY_DATA!$A:$H,6,0),0)</f>
        <v>0</v>
      </c>
      <c r="V355" s="51">
        <f>IFERROR(VLOOKUP(VALUE(A355),WEEKLY_DATA!$A:$H,7,0),0)</f>
        <v>0</v>
      </c>
      <c r="W355" s="9" t="str">
        <f>IFERROR(IF(OR(Q355="",Q355=0),"",IF(VLOOKUP(VALUE($A355),WEEKLY_DATA!$A:$H,6,0)=0,"No Sales",Q355/(VLOOKUP(VALUE($A355),WEEKLY_DATA!$A:$H,6,0)/13))),"")</f>
        <v/>
      </c>
      <c r="X355" s="10">
        <f>IFERROR(VLOOKUP(VALUE(A355),WEEKLY_DATA!$A:$H,8,0),0)</f>
        <v>0</v>
      </c>
      <c r="Y355" s="13" t="str">
        <f t="shared" si="10"/>
        <v>—</v>
      </c>
      <c r="Z355" s="11"/>
      <c r="AA355" s="11"/>
      <c r="AB355" s="11"/>
      <c r="AC355" s="11"/>
      <c r="AD355" s="11"/>
      <c r="AE355" s="11"/>
      <c r="AF355" s="61"/>
      <c r="AG355" s="61"/>
      <c r="AH355" s="62"/>
      <c r="AI355" s="62"/>
      <c r="AJ355" s="61"/>
      <c r="AK355" s="61"/>
      <c r="AL355" s="61"/>
      <c r="AM355" s="58"/>
      <c r="AN355" s="58"/>
      <c r="AO355" s="58"/>
      <c r="AP355" s="58"/>
      <c r="AQ355" s="58"/>
      <c r="AR355" s="58"/>
      <c r="AS355" s="91"/>
      <c r="AT355" s="93"/>
      <c r="AU355" s="93"/>
      <c r="AV355" s="93"/>
      <c r="AW355" s="93"/>
    </row>
    <row r="356" spans="1:49" x14ac:dyDescent="0.25">
      <c r="A356" s="59"/>
      <c r="B356" s="12"/>
      <c r="C356" s="12"/>
      <c r="D356" s="60"/>
      <c r="E356" s="6"/>
      <c r="F356" s="6"/>
      <c r="G356" s="12"/>
      <c r="H356" s="12"/>
      <c r="I356" s="12" t="str" cm="2">
        <f t="array" ref="I356">IFERROR(INDEX(BrandList!$B$2:$B$200,MATCH(TRUE,ISNUMBER(SEARCH(BrandList!$B$2:$B$200,G356)),0)),"")</f>
        <v/>
      </c>
      <c r="J356" s="12"/>
      <c r="K356" s="12"/>
      <c r="L356" s="60"/>
      <c r="M356" s="60"/>
      <c r="N356" s="60"/>
      <c r="O356" s="60"/>
      <c r="P356" s="7" t="str">
        <f t="shared" si="11"/>
        <v/>
      </c>
      <c r="Q356" s="8">
        <f>IFERROR(VLOOKUP(VALUE(A356),WEEKLY_DATA!$A:$H,2,0),0)</f>
        <v>0</v>
      </c>
      <c r="R356" s="8">
        <f>IFERROR(VLOOKUP(VALUE(A356),WEEKLY_DATA!$A:$H,3,0),0)</f>
        <v>0</v>
      </c>
      <c r="S356" s="8">
        <f>IFERROR(VLOOKUP(VALUE(A356),WEEKLY_DATA!$A:$H,4,0),0)</f>
        <v>0</v>
      </c>
      <c r="T356" s="51">
        <f>IFERROR(VLOOKUP(VALUE(A356),WEEKLY_DATA!$A:$H,5,0),0)</f>
        <v>0</v>
      </c>
      <c r="U356" s="51">
        <f>IFERROR(VLOOKUP(VALUE(A356),WEEKLY_DATA!$A:$H,6,0),0)</f>
        <v>0</v>
      </c>
      <c r="V356" s="51">
        <f>IFERROR(VLOOKUP(VALUE(A356),WEEKLY_DATA!$A:$H,7,0),0)</f>
        <v>0</v>
      </c>
      <c r="W356" s="9" t="str">
        <f>IFERROR(IF(OR(Q356="",Q356=0),"",IF(VLOOKUP(VALUE($A356),WEEKLY_DATA!$A:$H,6,0)=0,"No Sales",Q356/(VLOOKUP(VALUE($A356),WEEKLY_DATA!$A:$H,6,0)/13))),"")</f>
        <v/>
      </c>
      <c r="X356" s="10">
        <f>IFERROR(VLOOKUP(VALUE(A356),WEEKLY_DATA!$A:$H,8,0),0)</f>
        <v>0</v>
      </c>
      <c r="Y356" s="13" t="str">
        <f t="shared" si="10"/>
        <v>—</v>
      </c>
      <c r="Z356" s="11"/>
      <c r="AA356" s="11"/>
      <c r="AB356" s="11"/>
      <c r="AC356" s="11"/>
      <c r="AD356" s="11"/>
      <c r="AE356" s="11"/>
      <c r="AF356" s="61"/>
      <c r="AG356" s="61"/>
      <c r="AH356" s="62"/>
      <c r="AI356" s="62"/>
      <c r="AJ356" s="61"/>
      <c r="AK356" s="61"/>
      <c r="AL356" s="61"/>
      <c r="AM356" s="58"/>
      <c r="AN356" s="58"/>
      <c r="AO356" s="58"/>
      <c r="AP356" s="58"/>
      <c r="AQ356" s="58"/>
      <c r="AR356" s="58"/>
      <c r="AS356" s="91"/>
      <c r="AT356" s="93"/>
      <c r="AU356" s="93"/>
      <c r="AV356" s="93"/>
      <c r="AW356" s="93"/>
    </row>
    <row r="357" spans="1:49" x14ac:dyDescent="0.25">
      <c r="A357" s="59"/>
      <c r="B357" s="12"/>
      <c r="C357" s="12"/>
      <c r="D357" s="60"/>
      <c r="E357" s="6"/>
      <c r="F357" s="6"/>
      <c r="G357" s="12"/>
      <c r="H357" s="12"/>
      <c r="I357" s="12" t="str" cm="2">
        <f t="array" ref="I357">IFERROR(INDEX(BrandList!$B$2:$B$200,MATCH(TRUE,ISNUMBER(SEARCH(BrandList!$B$2:$B$200,G357)),0)),"")</f>
        <v/>
      </c>
      <c r="J357" s="12"/>
      <c r="K357" s="12"/>
      <c r="L357" s="60"/>
      <c r="M357" s="60"/>
      <c r="N357" s="60"/>
      <c r="O357" s="60"/>
      <c r="P357" s="7" t="str">
        <f t="shared" si="11"/>
        <v/>
      </c>
      <c r="Q357" s="8">
        <f>IFERROR(VLOOKUP(VALUE(A357),WEEKLY_DATA!$A:$H,2,0),0)</f>
        <v>0</v>
      </c>
      <c r="R357" s="8">
        <f>IFERROR(VLOOKUP(VALUE(A357),WEEKLY_DATA!$A:$H,3,0),0)</f>
        <v>0</v>
      </c>
      <c r="S357" s="8">
        <f>IFERROR(VLOOKUP(VALUE(A357),WEEKLY_DATA!$A:$H,4,0),0)</f>
        <v>0</v>
      </c>
      <c r="T357" s="51">
        <f>IFERROR(VLOOKUP(VALUE(A357),WEEKLY_DATA!$A:$H,5,0),0)</f>
        <v>0</v>
      </c>
      <c r="U357" s="51">
        <f>IFERROR(VLOOKUP(VALUE(A357),WEEKLY_DATA!$A:$H,6,0),0)</f>
        <v>0</v>
      </c>
      <c r="V357" s="51">
        <f>IFERROR(VLOOKUP(VALUE(A357),WEEKLY_DATA!$A:$H,7,0),0)</f>
        <v>0</v>
      </c>
      <c r="W357" s="9" t="str">
        <f>IFERROR(IF(OR(Q357="",Q357=0),"",IF(VLOOKUP(VALUE($A357),WEEKLY_DATA!$A:$H,6,0)=0,"No Sales",Q357/(VLOOKUP(VALUE($A357),WEEKLY_DATA!$A:$H,6,0)/13))),"")</f>
        <v/>
      </c>
      <c r="X357" s="10">
        <f>IFERROR(VLOOKUP(VALUE(A357),WEEKLY_DATA!$A:$H,8,0),0)</f>
        <v>0</v>
      </c>
      <c r="Y357" s="13" t="str">
        <f t="shared" si="10"/>
        <v>—</v>
      </c>
      <c r="Z357" s="11"/>
      <c r="AA357" s="11"/>
      <c r="AB357" s="11"/>
      <c r="AC357" s="11"/>
      <c r="AD357" s="11"/>
      <c r="AE357" s="11"/>
      <c r="AF357" s="61"/>
      <c r="AG357" s="61"/>
      <c r="AH357" s="62"/>
      <c r="AI357" s="62"/>
      <c r="AJ357" s="61"/>
      <c r="AK357" s="61"/>
      <c r="AL357" s="61"/>
      <c r="AM357" s="58"/>
      <c r="AN357" s="58"/>
      <c r="AO357" s="58"/>
      <c r="AP357" s="58"/>
      <c r="AQ357" s="58"/>
      <c r="AR357" s="58"/>
      <c r="AS357" s="91"/>
      <c r="AT357" s="93"/>
      <c r="AU357" s="93"/>
      <c r="AV357" s="93"/>
      <c r="AW357" s="93"/>
    </row>
    <row r="358" spans="1:49" x14ac:dyDescent="0.25">
      <c r="A358" s="59"/>
      <c r="B358" s="12"/>
      <c r="C358" s="12"/>
      <c r="D358" s="60"/>
      <c r="E358" s="6"/>
      <c r="F358" s="6"/>
      <c r="G358" s="12"/>
      <c r="H358" s="12"/>
      <c r="I358" s="12" t="str" cm="2">
        <f t="array" ref="I358">IFERROR(INDEX(BrandList!$B$2:$B$200,MATCH(TRUE,ISNUMBER(SEARCH(BrandList!$B$2:$B$200,G358)),0)),"")</f>
        <v/>
      </c>
      <c r="J358" s="12"/>
      <c r="K358" s="12"/>
      <c r="L358" s="60"/>
      <c r="M358" s="60"/>
      <c r="N358" s="60"/>
      <c r="O358" s="60"/>
      <c r="P358" s="7" t="str">
        <f t="shared" si="11"/>
        <v/>
      </c>
      <c r="Q358" s="8">
        <f>IFERROR(VLOOKUP(VALUE(A358),WEEKLY_DATA!$A:$H,2,0),0)</f>
        <v>0</v>
      </c>
      <c r="R358" s="8">
        <f>IFERROR(VLOOKUP(VALUE(A358),WEEKLY_DATA!$A:$H,3,0),0)</f>
        <v>0</v>
      </c>
      <c r="S358" s="8">
        <f>IFERROR(VLOOKUP(VALUE(A358),WEEKLY_DATA!$A:$H,4,0),0)</f>
        <v>0</v>
      </c>
      <c r="T358" s="51">
        <f>IFERROR(VLOOKUP(VALUE(A358),WEEKLY_DATA!$A:$H,5,0),0)</f>
        <v>0</v>
      </c>
      <c r="U358" s="51">
        <f>IFERROR(VLOOKUP(VALUE(A358),WEEKLY_DATA!$A:$H,6,0),0)</f>
        <v>0</v>
      </c>
      <c r="V358" s="51">
        <f>IFERROR(VLOOKUP(VALUE(A358),WEEKLY_DATA!$A:$H,7,0),0)</f>
        <v>0</v>
      </c>
      <c r="W358" s="9" t="str">
        <f>IFERROR(IF(OR(Q358="",Q358=0),"",IF(VLOOKUP(VALUE($A358),WEEKLY_DATA!$A:$H,6,0)=0,"No Sales",Q358/(VLOOKUP(VALUE($A358),WEEKLY_DATA!$A:$H,6,0)/13))),"")</f>
        <v/>
      </c>
      <c r="X358" s="10">
        <f>IFERROR(VLOOKUP(VALUE(A358),WEEKLY_DATA!$A:$H,8,0),0)</f>
        <v>0</v>
      </c>
      <c r="Y358" s="13" t="str">
        <f t="shared" si="10"/>
        <v>—</v>
      </c>
      <c r="Z358" s="11"/>
      <c r="AA358" s="11"/>
      <c r="AB358" s="11"/>
      <c r="AC358" s="11"/>
      <c r="AD358" s="11"/>
      <c r="AE358" s="11"/>
      <c r="AF358" s="61"/>
      <c r="AG358" s="61"/>
      <c r="AH358" s="62"/>
      <c r="AI358" s="62"/>
      <c r="AJ358" s="61"/>
      <c r="AK358" s="61"/>
      <c r="AL358" s="61"/>
      <c r="AM358" s="58"/>
      <c r="AN358" s="58"/>
      <c r="AO358" s="58"/>
      <c r="AP358" s="58"/>
      <c r="AQ358" s="58"/>
      <c r="AR358" s="58"/>
      <c r="AS358" s="91"/>
      <c r="AT358" s="93"/>
      <c r="AU358" s="93"/>
      <c r="AV358" s="93"/>
      <c r="AW358" s="93"/>
    </row>
    <row r="359" spans="1:49" x14ac:dyDescent="0.25">
      <c r="A359" s="59"/>
      <c r="B359" s="12"/>
      <c r="C359" s="12"/>
      <c r="D359" s="60"/>
      <c r="E359" s="6"/>
      <c r="F359" s="6"/>
      <c r="G359" s="12"/>
      <c r="H359" s="12"/>
      <c r="I359" s="12" t="str" cm="2">
        <f t="array" ref="I359">IFERROR(INDEX(BrandList!$B$2:$B$200,MATCH(TRUE,ISNUMBER(SEARCH(BrandList!$B$2:$B$200,G359)),0)),"")</f>
        <v/>
      </c>
      <c r="J359" s="12"/>
      <c r="K359" s="12"/>
      <c r="L359" s="60"/>
      <c r="M359" s="60"/>
      <c r="N359" s="60"/>
      <c r="O359" s="60"/>
      <c r="P359" s="7" t="str">
        <f t="shared" si="11"/>
        <v/>
      </c>
      <c r="Q359" s="8">
        <f>IFERROR(VLOOKUP(VALUE(A359),WEEKLY_DATA!$A:$H,2,0),0)</f>
        <v>0</v>
      </c>
      <c r="R359" s="8">
        <f>IFERROR(VLOOKUP(VALUE(A359),WEEKLY_DATA!$A:$H,3,0),0)</f>
        <v>0</v>
      </c>
      <c r="S359" s="8">
        <f>IFERROR(VLOOKUP(VALUE(A359),WEEKLY_DATA!$A:$H,4,0),0)</f>
        <v>0</v>
      </c>
      <c r="T359" s="51">
        <f>IFERROR(VLOOKUP(VALUE(A359),WEEKLY_DATA!$A:$H,5,0),0)</f>
        <v>0</v>
      </c>
      <c r="U359" s="51">
        <f>IFERROR(VLOOKUP(VALUE(A359),WEEKLY_DATA!$A:$H,6,0),0)</f>
        <v>0</v>
      </c>
      <c r="V359" s="51">
        <f>IFERROR(VLOOKUP(VALUE(A359),WEEKLY_DATA!$A:$H,7,0),0)</f>
        <v>0</v>
      </c>
      <c r="W359" s="9" t="str">
        <f>IFERROR(IF(OR(Q359="",Q359=0),"",IF(VLOOKUP(VALUE($A359),WEEKLY_DATA!$A:$H,6,0)=0,"No Sales",Q359/(VLOOKUP(VALUE($A359),WEEKLY_DATA!$A:$H,6,0)/13))),"")</f>
        <v/>
      </c>
      <c r="X359" s="10">
        <f>IFERROR(VLOOKUP(VALUE(A359),WEEKLY_DATA!$A:$H,8,0),0)</f>
        <v>0</v>
      </c>
      <c r="Y359" s="13" t="str">
        <f t="shared" si="10"/>
        <v>—</v>
      </c>
      <c r="Z359" s="11"/>
      <c r="AA359" s="11"/>
      <c r="AB359" s="11"/>
      <c r="AC359" s="11"/>
      <c r="AD359" s="11"/>
      <c r="AE359" s="11"/>
      <c r="AF359" s="61"/>
      <c r="AG359" s="61"/>
      <c r="AH359" s="62"/>
      <c r="AI359" s="62"/>
      <c r="AJ359" s="61"/>
      <c r="AK359" s="61"/>
      <c r="AL359" s="61"/>
      <c r="AM359" s="58"/>
      <c r="AN359" s="58"/>
      <c r="AO359" s="58"/>
      <c r="AP359" s="58"/>
      <c r="AQ359" s="58"/>
      <c r="AR359" s="58"/>
      <c r="AS359" s="91"/>
      <c r="AT359" s="93"/>
      <c r="AU359" s="93"/>
      <c r="AV359" s="93"/>
      <c r="AW359" s="93"/>
    </row>
    <row r="360" spans="1:49" x14ac:dyDescent="0.25">
      <c r="A360" s="59"/>
      <c r="B360" s="12"/>
      <c r="C360" s="12"/>
      <c r="D360" s="60"/>
      <c r="E360" s="6"/>
      <c r="F360" s="6"/>
      <c r="G360" s="12"/>
      <c r="H360" s="12"/>
      <c r="I360" s="12" t="str" cm="2">
        <f t="array" ref="I360">IFERROR(INDEX(BrandList!$B$2:$B$200,MATCH(TRUE,ISNUMBER(SEARCH(BrandList!$B$2:$B$200,G360)),0)),"")</f>
        <v/>
      </c>
      <c r="J360" s="12"/>
      <c r="K360" s="12"/>
      <c r="L360" s="60"/>
      <c r="M360" s="60"/>
      <c r="N360" s="60"/>
      <c r="O360" s="60"/>
      <c r="P360" s="7" t="str">
        <f t="shared" si="11"/>
        <v/>
      </c>
      <c r="Q360" s="8">
        <f>IFERROR(VLOOKUP(VALUE(A360),WEEKLY_DATA!$A:$H,2,0),0)</f>
        <v>0</v>
      </c>
      <c r="R360" s="8">
        <f>IFERROR(VLOOKUP(VALUE(A360),WEEKLY_DATA!$A:$H,3,0),0)</f>
        <v>0</v>
      </c>
      <c r="S360" s="8">
        <f>IFERROR(VLOOKUP(VALUE(A360),WEEKLY_DATA!$A:$H,4,0),0)</f>
        <v>0</v>
      </c>
      <c r="T360" s="51">
        <f>IFERROR(VLOOKUP(VALUE(A360),WEEKLY_DATA!$A:$H,5,0),0)</f>
        <v>0</v>
      </c>
      <c r="U360" s="51">
        <f>IFERROR(VLOOKUP(VALUE(A360),WEEKLY_DATA!$A:$H,6,0),0)</f>
        <v>0</v>
      </c>
      <c r="V360" s="51">
        <f>IFERROR(VLOOKUP(VALUE(A360),WEEKLY_DATA!$A:$H,7,0),0)</f>
        <v>0</v>
      </c>
      <c r="W360" s="9" t="str">
        <f>IFERROR(IF(OR(Q360="",Q360=0),"",IF(VLOOKUP(VALUE($A360),WEEKLY_DATA!$A:$H,6,0)=0,"No Sales",Q360/(VLOOKUP(VALUE($A360),WEEKLY_DATA!$A:$H,6,0)/13))),"")</f>
        <v/>
      </c>
      <c r="X360" s="10">
        <f>IFERROR(VLOOKUP(VALUE(A360),WEEKLY_DATA!$A:$H,8,0),0)</f>
        <v>0</v>
      </c>
      <c r="Y360" s="13" t="str">
        <f t="shared" si="10"/>
        <v>—</v>
      </c>
      <c r="Z360" s="11"/>
      <c r="AA360" s="11"/>
      <c r="AB360" s="11"/>
      <c r="AC360" s="11"/>
      <c r="AD360" s="11"/>
      <c r="AE360" s="11"/>
      <c r="AF360" s="61"/>
      <c r="AG360" s="61"/>
      <c r="AH360" s="62"/>
      <c r="AI360" s="62"/>
      <c r="AJ360" s="61"/>
      <c r="AK360" s="61"/>
      <c r="AL360" s="61"/>
      <c r="AM360" s="58"/>
      <c r="AN360" s="58"/>
      <c r="AO360" s="58"/>
      <c r="AP360" s="58"/>
      <c r="AQ360" s="58"/>
      <c r="AR360" s="58"/>
      <c r="AS360" s="91"/>
      <c r="AT360" s="93"/>
      <c r="AU360" s="93"/>
      <c r="AV360" s="93"/>
      <c r="AW360" s="93"/>
    </row>
    <row r="361" spans="1:49" x14ac:dyDescent="0.25">
      <c r="A361" s="59"/>
      <c r="B361" s="12"/>
      <c r="C361" s="12"/>
      <c r="D361" s="60"/>
      <c r="E361" s="6"/>
      <c r="F361" s="6"/>
      <c r="G361" s="12"/>
      <c r="H361" s="12"/>
      <c r="I361" s="12" t="str" cm="2">
        <f t="array" ref="I361">IFERROR(INDEX(BrandList!$B$2:$B$200,MATCH(TRUE,ISNUMBER(SEARCH(BrandList!$B$2:$B$200,G361)),0)),"")</f>
        <v/>
      </c>
      <c r="J361" s="12"/>
      <c r="K361" s="12"/>
      <c r="L361" s="60"/>
      <c r="M361" s="60"/>
      <c r="N361" s="60"/>
      <c r="O361" s="60"/>
      <c r="P361" s="7" t="str">
        <f t="shared" si="11"/>
        <v/>
      </c>
      <c r="Q361" s="8">
        <f>IFERROR(VLOOKUP(VALUE(A361),WEEKLY_DATA!$A:$H,2,0),0)</f>
        <v>0</v>
      </c>
      <c r="R361" s="8">
        <f>IFERROR(VLOOKUP(VALUE(A361),WEEKLY_DATA!$A:$H,3,0),0)</f>
        <v>0</v>
      </c>
      <c r="S361" s="8">
        <f>IFERROR(VLOOKUP(VALUE(A361),WEEKLY_DATA!$A:$H,4,0),0)</f>
        <v>0</v>
      </c>
      <c r="T361" s="51">
        <f>IFERROR(VLOOKUP(VALUE(A361),WEEKLY_DATA!$A:$H,5,0),0)</f>
        <v>0</v>
      </c>
      <c r="U361" s="51">
        <f>IFERROR(VLOOKUP(VALUE(A361),WEEKLY_DATA!$A:$H,6,0),0)</f>
        <v>0</v>
      </c>
      <c r="V361" s="51">
        <f>IFERROR(VLOOKUP(VALUE(A361),WEEKLY_DATA!$A:$H,7,0),0)</f>
        <v>0</v>
      </c>
      <c r="W361" s="9" t="str">
        <f>IFERROR(IF(OR(Q361="",Q361=0),"",IF(VLOOKUP(VALUE($A361),WEEKLY_DATA!$A:$H,6,0)=0,"No Sales",Q361/(VLOOKUP(VALUE($A361),WEEKLY_DATA!$A:$H,6,0)/13))),"")</f>
        <v/>
      </c>
      <c r="X361" s="10">
        <f>IFERROR(VLOOKUP(VALUE(A361),WEEKLY_DATA!$A:$H,8,0),0)</f>
        <v>0</v>
      </c>
      <c r="Y361" s="13" t="str">
        <f t="shared" si="10"/>
        <v>—</v>
      </c>
      <c r="Z361" s="11"/>
      <c r="AA361" s="11"/>
      <c r="AB361" s="11"/>
      <c r="AC361" s="11"/>
      <c r="AD361" s="11"/>
      <c r="AE361" s="11"/>
      <c r="AF361" s="61"/>
      <c r="AG361" s="61"/>
      <c r="AH361" s="62"/>
      <c r="AI361" s="62"/>
      <c r="AJ361" s="61"/>
      <c r="AK361" s="61"/>
      <c r="AL361" s="61"/>
      <c r="AM361" s="58"/>
      <c r="AN361" s="58"/>
      <c r="AO361" s="58"/>
      <c r="AP361" s="58"/>
      <c r="AQ361" s="58"/>
      <c r="AR361" s="58"/>
      <c r="AS361" s="91"/>
      <c r="AT361" s="93"/>
      <c r="AU361" s="93"/>
      <c r="AV361" s="93"/>
      <c r="AW361" s="93"/>
    </row>
    <row r="362" spans="1:49" x14ac:dyDescent="0.25">
      <c r="A362" s="59"/>
      <c r="B362" s="12"/>
      <c r="C362" s="12"/>
      <c r="D362" s="60"/>
      <c r="E362" s="6"/>
      <c r="F362" s="6"/>
      <c r="G362" s="12"/>
      <c r="H362" s="12"/>
      <c r="I362" s="12" t="str" cm="2">
        <f t="array" ref="I362">IFERROR(INDEX(BrandList!$B$2:$B$200,MATCH(TRUE,ISNUMBER(SEARCH(BrandList!$B$2:$B$200,G362)),0)),"")</f>
        <v/>
      </c>
      <c r="J362" s="12"/>
      <c r="K362" s="12"/>
      <c r="L362" s="60"/>
      <c r="M362" s="60"/>
      <c r="N362" s="60"/>
      <c r="O362" s="60"/>
      <c r="P362" s="7" t="str">
        <f t="shared" si="11"/>
        <v/>
      </c>
      <c r="Q362" s="8">
        <f>IFERROR(VLOOKUP(VALUE(A362),WEEKLY_DATA!$A:$H,2,0),0)</f>
        <v>0</v>
      </c>
      <c r="R362" s="8">
        <f>IFERROR(VLOOKUP(VALUE(A362),WEEKLY_DATA!$A:$H,3,0),0)</f>
        <v>0</v>
      </c>
      <c r="S362" s="8">
        <f>IFERROR(VLOOKUP(VALUE(A362),WEEKLY_DATA!$A:$H,4,0),0)</f>
        <v>0</v>
      </c>
      <c r="T362" s="51">
        <f>IFERROR(VLOOKUP(VALUE(A362),WEEKLY_DATA!$A:$H,5,0),0)</f>
        <v>0</v>
      </c>
      <c r="U362" s="51">
        <f>IFERROR(VLOOKUP(VALUE(A362),WEEKLY_DATA!$A:$H,6,0),0)</f>
        <v>0</v>
      </c>
      <c r="V362" s="51">
        <f>IFERROR(VLOOKUP(VALUE(A362),WEEKLY_DATA!$A:$H,7,0),0)</f>
        <v>0</v>
      </c>
      <c r="W362" s="9" t="str">
        <f>IFERROR(IF(OR(Q362="",Q362=0),"",IF(VLOOKUP(VALUE($A362),WEEKLY_DATA!$A:$H,6,0)=0,"No Sales",Q362/(VLOOKUP(VALUE($A362),WEEKLY_DATA!$A:$H,6,0)/13))),"")</f>
        <v/>
      </c>
      <c r="X362" s="10">
        <f>IFERROR(VLOOKUP(VALUE(A362),WEEKLY_DATA!$A:$H,8,0),0)</f>
        <v>0</v>
      </c>
      <c r="Y362" s="13" t="str">
        <f t="shared" si="10"/>
        <v>—</v>
      </c>
      <c r="Z362" s="11"/>
      <c r="AA362" s="11"/>
      <c r="AB362" s="11"/>
      <c r="AC362" s="11"/>
      <c r="AD362" s="11"/>
      <c r="AE362" s="11"/>
      <c r="AF362" s="61"/>
      <c r="AG362" s="61"/>
      <c r="AH362" s="62"/>
      <c r="AI362" s="62"/>
      <c r="AJ362" s="61"/>
      <c r="AK362" s="61"/>
      <c r="AL362" s="61"/>
      <c r="AM362" s="58"/>
      <c r="AN362" s="58"/>
      <c r="AO362" s="58"/>
      <c r="AP362" s="58"/>
      <c r="AQ362" s="58"/>
      <c r="AR362" s="58"/>
      <c r="AS362" s="91"/>
      <c r="AT362" s="93"/>
      <c r="AU362" s="93"/>
      <c r="AV362" s="93"/>
      <c r="AW362" s="93"/>
    </row>
    <row r="363" spans="1:49" x14ac:dyDescent="0.25">
      <c r="A363" s="59"/>
      <c r="B363" s="12"/>
      <c r="C363" s="12"/>
      <c r="D363" s="60"/>
      <c r="E363" s="6"/>
      <c r="F363" s="6"/>
      <c r="G363" s="12"/>
      <c r="H363" s="12"/>
      <c r="I363" s="12" t="str" cm="2">
        <f t="array" ref="I363">IFERROR(INDEX(BrandList!$B$2:$B$200,MATCH(TRUE,ISNUMBER(SEARCH(BrandList!$B$2:$B$200,G363)),0)),"")</f>
        <v/>
      </c>
      <c r="J363" s="12"/>
      <c r="K363" s="12"/>
      <c r="L363" s="60"/>
      <c r="M363" s="60"/>
      <c r="N363" s="60"/>
      <c r="O363" s="60"/>
      <c r="P363" s="7" t="str">
        <f t="shared" si="11"/>
        <v/>
      </c>
      <c r="Q363" s="8">
        <f>IFERROR(VLOOKUP(VALUE(A363),WEEKLY_DATA!$A:$H,2,0),0)</f>
        <v>0</v>
      </c>
      <c r="R363" s="8">
        <f>IFERROR(VLOOKUP(VALUE(A363),WEEKLY_DATA!$A:$H,3,0),0)</f>
        <v>0</v>
      </c>
      <c r="S363" s="8">
        <f>IFERROR(VLOOKUP(VALUE(A363),WEEKLY_DATA!$A:$H,4,0),0)</f>
        <v>0</v>
      </c>
      <c r="T363" s="51">
        <f>IFERROR(VLOOKUP(VALUE(A363),WEEKLY_DATA!$A:$H,5,0),0)</f>
        <v>0</v>
      </c>
      <c r="U363" s="51">
        <f>IFERROR(VLOOKUP(VALUE(A363),WEEKLY_DATA!$A:$H,6,0),0)</f>
        <v>0</v>
      </c>
      <c r="V363" s="51">
        <f>IFERROR(VLOOKUP(VALUE(A363),WEEKLY_DATA!$A:$H,7,0),0)</f>
        <v>0</v>
      </c>
      <c r="W363" s="9" t="str">
        <f>IFERROR(IF(OR(Q363="",Q363=0),"",IF(VLOOKUP(VALUE($A363),WEEKLY_DATA!$A:$H,6,0)=0,"No Sales",Q363/(VLOOKUP(VALUE($A363),WEEKLY_DATA!$A:$H,6,0)/13))),"")</f>
        <v/>
      </c>
      <c r="X363" s="10">
        <f>IFERROR(VLOOKUP(VALUE(A363),WEEKLY_DATA!$A:$H,8,0),0)</f>
        <v>0</v>
      </c>
      <c r="Y363" s="13" t="str">
        <f t="shared" si="10"/>
        <v>—</v>
      </c>
      <c r="Z363" s="11"/>
      <c r="AA363" s="11"/>
      <c r="AB363" s="11"/>
      <c r="AC363" s="11"/>
      <c r="AD363" s="11"/>
      <c r="AE363" s="11"/>
      <c r="AF363" s="61"/>
      <c r="AG363" s="61"/>
      <c r="AH363" s="62"/>
      <c r="AI363" s="62"/>
      <c r="AJ363" s="61"/>
      <c r="AK363" s="61"/>
      <c r="AL363" s="61"/>
      <c r="AM363" s="58"/>
      <c r="AN363" s="58"/>
      <c r="AO363" s="58"/>
      <c r="AP363" s="58"/>
      <c r="AQ363" s="58"/>
      <c r="AR363" s="58"/>
      <c r="AS363" s="91"/>
      <c r="AT363" s="93"/>
      <c r="AU363" s="93"/>
      <c r="AV363" s="93"/>
      <c r="AW363" s="93"/>
    </row>
    <row r="364" spans="1:49" x14ac:dyDescent="0.25">
      <c r="A364" s="59"/>
      <c r="B364" s="12"/>
      <c r="C364" s="12"/>
      <c r="D364" s="60"/>
      <c r="E364" s="6"/>
      <c r="F364" s="6"/>
      <c r="G364" s="12"/>
      <c r="H364" s="12"/>
      <c r="I364" s="12" t="str" cm="2">
        <f t="array" ref="I364">IFERROR(INDEX(BrandList!$B$2:$B$200,MATCH(TRUE,ISNUMBER(SEARCH(BrandList!$B$2:$B$200,G364)),0)),"")</f>
        <v/>
      </c>
      <c r="J364" s="12"/>
      <c r="K364" s="12"/>
      <c r="L364" s="60"/>
      <c r="M364" s="60"/>
      <c r="N364" s="60"/>
      <c r="O364" s="60"/>
      <c r="P364" s="7" t="str">
        <f t="shared" si="11"/>
        <v/>
      </c>
      <c r="Q364" s="8">
        <f>IFERROR(VLOOKUP(VALUE(A364),WEEKLY_DATA!$A:$H,2,0),0)</f>
        <v>0</v>
      </c>
      <c r="R364" s="8">
        <f>IFERROR(VLOOKUP(VALUE(A364),WEEKLY_DATA!$A:$H,3,0),0)</f>
        <v>0</v>
      </c>
      <c r="S364" s="8">
        <f>IFERROR(VLOOKUP(VALUE(A364),WEEKLY_DATA!$A:$H,4,0),0)</f>
        <v>0</v>
      </c>
      <c r="T364" s="51">
        <f>IFERROR(VLOOKUP(VALUE(A364),WEEKLY_DATA!$A:$H,5,0),0)</f>
        <v>0</v>
      </c>
      <c r="U364" s="51">
        <f>IFERROR(VLOOKUP(VALUE(A364),WEEKLY_DATA!$A:$H,6,0),0)</f>
        <v>0</v>
      </c>
      <c r="V364" s="51">
        <f>IFERROR(VLOOKUP(VALUE(A364),WEEKLY_DATA!$A:$H,7,0),0)</f>
        <v>0</v>
      </c>
      <c r="W364" s="9" t="str">
        <f>IFERROR(IF(OR(Q364="",Q364=0),"",IF(VLOOKUP(VALUE($A364),WEEKLY_DATA!$A:$H,6,0)=0,"No Sales",Q364/(VLOOKUP(VALUE($A364),WEEKLY_DATA!$A:$H,6,0)/13))),"")</f>
        <v/>
      </c>
      <c r="X364" s="10">
        <f>IFERROR(VLOOKUP(VALUE(A364),WEEKLY_DATA!$A:$H,8,0),0)</f>
        <v>0</v>
      </c>
      <c r="Y364" s="13" t="str">
        <f t="shared" si="10"/>
        <v>—</v>
      </c>
      <c r="Z364" s="11"/>
      <c r="AA364" s="11"/>
      <c r="AB364" s="11"/>
      <c r="AC364" s="11"/>
      <c r="AD364" s="11"/>
      <c r="AE364" s="11"/>
      <c r="AF364" s="61"/>
      <c r="AG364" s="61"/>
      <c r="AH364" s="62"/>
      <c r="AI364" s="62"/>
      <c r="AJ364" s="61"/>
      <c r="AK364" s="61"/>
      <c r="AL364" s="61"/>
      <c r="AM364" s="58"/>
      <c r="AN364" s="58"/>
      <c r="AO364" s="58"/>
      <c r="AP364" s="58"/>
      <c r="AQ364" s="58"/>
      <c r="AR364" s="58"/>
      <c r="AS364" s="91"/>
      <c r="AT364" s="93"/>
      <c r="AU364" s="93"/>
      <c r="AV364" s="93"/>
      <c r="AW364" s="93"/>
    </row>
    <row r="365" spans="1:49" x14ac:dyDescent="0.25">
      <c r="A365" s="59"/>
      <c r="B365" s="12"/>
      <c r="C365" s="12"/>
      <c r="D365" s="60"/>
      <c r="E365" s="6"/>
      <c r="F365" s="6"/>
      <c r="G365" s="12"/>
      <c r="H365" s="12"/>
      <c r="I365" s="12" t="str" cm="2">
        <f t="array" ref="I365">IFERROR(INDEX(BrandList!$B$2:$B$200,MATCH(TRUE,ISNUMBER(SEARCH(BrandList!$B$2:$B$200,G365)),0)),"")</f>
        <v/>
      </c>
      <c r="J365" s="12"/>
      <c r="K365" s="12"/>
      <c r="L365" s="60"/>
      <c r="M365" s="60"/>
      <c r="N365" s="60"/>
      <c r="O365" s="60"/>
      <c r="P365" s="7" t="str">
        <f t="shared" si="11"/>
        <v/>
      </c>
      <c r="Q365" s="8">
        <f>IFERROR(VLOOKUP(VALUE(A365),WEEKLY_DATA!$A:$H,2,0),0)</f>
        <v>0</v>
      </c>
      <c r="R365" s="8">
        <f>IFERROR(VLOOKUP(VALUE(A365),WEEKLY_DATA!$A:$H,3,0),0)</f>
        <v>0</v>
      </c>
      <c r="S365" s="8">
        <f>IFERROR(VLOOKUP(VALUE(A365),WEEKLY_DATA!$A:$H,4,0),0)</f>
        <v>0</v>
      </c>
      <c r="T365" s="51">
        <f>IFERROR(VLOOKUP(VALUE(A365),WEEKLY_DATA!$A:$H,5,0),0)</f>
        <v>0</v>
      </c>
      <c r="U365" s="51">
        <f>IFERROR(VLOOKUP(VALUE(A365),WEEKLY_DATA!$A:$H,6,0),0)</f>
        <v>0</v>
      </c>
      <c r="V365" s="51">
        <f>IFERROR(VLOOKUP(VALUE(A365),WEEKLY_DATA!$A:$H,7,0),0)</f>
        <v>0</v>
      </c>
      <c r="W365" s="9" t="str">
        <f>IFERROR(IF(OR(Q365="",Q365=0),"",IF(VLOOKUP(VALUE($A365),WEEKLY_DATA!$A:$H,6,0)=0,"No Sales",Q365/(VLOOKUP(VALUE($A365),WEEKLY_DATA!$A:$H,6,0)/13))),"")</f>
        <v/>
      </c>
      <c r="X365" s="10">
        <f>IFERROR(VLOOKUP(VALUE(A365),WEEKLY_DATA!$A:$H,8,0),0)</f>
        <v>0</v>
      </c>
      <c r="Y365" s="13" t="str">
        <f t="shared" si="10"/>
        <v>—</v>
      </c>
      <c r="Z365" s="11"/>
      <c r="AA365" s="11"/>
      <c r="AB365" s="11"/>
      <c r="AC365" s="11"/>
      <c r="AD365" s="11"/>
      <c r="AE365" s="11"/>
      <c r="AF365" s="61"/>
      <c r="AG365" s="61"/>
      <c r="AH365" s="62"/>
      <c r="AI365" s="62"/>
      <c r="AJ365" s="61"/>
      <c r="AK365" s="61"/>
      <c r="AL365" s="61"/>
      <c r="AM365" s="58"/>
      <c r="AN365" s="58"/>
      <c r="AO365" s="58"/>
      <c r="AP365" s="58"/>
      <c r="AQ365" s="58"/>
      <c r="AR365" s="58"/>
      <c r="AS365" s="91"/>
      <c r="AT365" s="93"/>
      <c r="AU365" s="93"/>
      <c r="AV365" s="93"/>
      <c r="AW365" s="93"/>
    </row>
    <row r="366" spans="1:49" x14ac:dyDescent="0.25">
      <c r="A366" s="59"/>
      <c r="B366" s="12"/>
      <c r="C366" s="12"/>
      <c r="D366" s="60"/>
      <c r="E366" s="6"/>
      <c r="F366" s="6"/>
      <c r="G366" s="12"/>
      <c r="H366" s="12"/>
      <c r="I366" s="12" t="str" cm="2">
        <f t="array" ref="I366">IFERROR(INDEX(BrandList!$B$2:$B$200,MATCH(TRUE,ISNUMBER(SEARCH(BrandList!$B$2:$B$200,G366)),0)),"")</f>
        <v/>
      </c>
      <c r="J366" s="12"/>
      <c r="K366" s="12"/>
      <c r="L366" s="60"/>
      <c r="M366" s="60"/>
      <c r="N366" s="60"/>
      <c r="O366" s="60"/>
      <c r="P366" s="7" t="str">
        <f t="shared" si="11"/>
        <v/>
      </c>
      <c r="Q366" s="8">
        <f>IFERROR(VLOOKUP(VALUE(A366),WEEKLY_DATA!$A:$H,2,0),0)</f>
        <v>0</v>
      </c>
      <c r="R366" s="8">
        <f>IFERROR(VLOOKUP(VALUE(A366),WEEKLY_DATA!$A:$H,3,0),0)</f>
        <v>0</v>
      </c>
      <c r="S366" s="8">
        <f>IFERROR(VLOOKUP(VALUE(A366),WEEKLY_DATA!$A:$H,4,0),0)</f>
        <v>0</v>
      </c>
      <c r="T366" s="51">
        <f>IFERROR(VLOOKUP(VALUE(A366),WEEKLY_DATA!$A:$H,5,0),0)</f>
        <v>0</v>
      </c>
      <c r="U366" s="51">
        <f>IFERROR(VLOOKUP(VALUE(A366),WEEKLY_DATA!$A:$H,6,0),0)</f>
        <v>0</v>
      </c>
      <c r="V366" s="51">
        <f>IFERROR(VLOOKUP(VALUE(A366),WEEKLY_DATA!$A:$H,7,0),0)</f>
        <v>0</v>
      </c>
      <c r="W366" s="9" t="str">
        <f>IFERROR(IF(OR(Q366="",Q366=0),"",IF(VLOOKUP(VALUE($A366),WEEKLY_DATA!$A:$H,6,0)=0,"No Sales",Q366/(VLOOKUP(VALUE($A366),WEEKLY_DATA!$A:$H,6,0)/13))),"")</f>
        <v/>
      </c>
      <c r="X366" s="10">
        <f>IFERROR(VLOOKUP(VALUE(A366),WEEKLY_DATA!$A:$H,8,0),0)</f>
        <v>0</v>
      </c>
      <c r="Y366" s="13" t="str">
        <f t="shared" si="10"/>
        <v>—</v>
      </c>
      <c r="Z366" s="11"/>
      <c r="AA366" s="11"/>
      <c r="AB366" s="11"/>
      <c r="AC366" s="11"/>
      <c r="AD366" s="11"/>
      <c r="AE366" s="11"/>
      <c r="AF366" s="61"/>
      <c r="AG366" s="61"/>
      <c r="AH366" s="62"/>
      <c r="AI366" s="62"/>
      <c r="AJ366" s="61"/>
      <c r="AK366" s="61"/>
      <c r="AL366" s="61"/>
      <c r="AM366" s="58"/>
      <c r="AN366" s="58"/>
      <c r="AO366" s="58"/>
      <c r="AP366" s="58"/>
      <c r="AQ366" s="58"/>
      <c r="AR366" s="58"/>
      <c r="AS366" s="91"/>
      <c r="AT366" s="93"/>
      <c r="AU366" s="93"/>
      <c r="AV366" s="93"/>
      <c r="AW366" s="93"/>
    </row>
    <row r="367" spans="1:49" x14ac:dyDescent="0.25">
      <c r="A367" s="59"/>
      <c r="B367" s="12"/>
      <c r="C367" s="12"/>
      <c r="D367" s="60"/>
      <c r="E367" s="6"/>
      <c r="F367" s="6"/>
      <c r="G367" s="12"/>
      <c r="H367" s="12"/>
      <c r="I367" s="12" t="str" cm="2">
        <f t="array" ref="I367">IFERROR(INDEX(BrandList!$B$2:$B$200,MATCH(TRUE,ISNUMBER(SEARCH(BrandList!$B$2:$B$200,G367)),0)),"")</f>
        <v/>
      </c>
      <c r="J367" s="12"/>
      <c r="K367" s="12"/>
      <c r="L367" s="60"/>
      <c r="M367" s="60"/>
      <c r="N367" s="60"/>
      <c r="O367" s="60"/>
      <c r="P367" s="7" t="str">
        <f t="shared" si="11"/>
        <v/>
      </c>
      <c r="Q367" s="8">
        <f>IFERROR(VLOOKUP(VALUE(A367),WEEKLY_DATA!$A:$H,2,0),0)</f>
        <v>0</v>
      </c>
      <c r="R367" s="8">
        <f>IFERROR(VLOOKUP(VALUE(A367),WEEKLY_DATA!$A:$H,3,0),0)</f>
        <v>0</v>
      </c>
      <c r="S367" s="8">
        <f>IFERROR(VLOOKUP(VALUE(A367),WEEKLY_DATA!$A:$H,4,0),0)</f>
        <v>0</v>
      </c>
      <c r="T367" s="51">
        <f>IFERROR(VLOOKUP(VALUE(A367),WEEKLY_DATA!$A:$H,5,0),0)</f>
        <v>0</v>
      </c>
      <c r="U367" s="51">
        <f>IFERROR(VLOOKUP(VALUE(A367),WEEKLY_DATA!$A:$H,6,0),0)</f>
        <v>0</v>
      </c>
      <c r="V367" s="51">
        <f>IFERROR(VLOOKUP(VALUE(A367),WEEKLY_DATA!$A:$H,7,0),0)</f>
        <v>0</v>
      </c>
      <c r="W367" s="9" t="str">
        <f>IFERROR(IF(OR(Q367="",Q367=0),"",IF(VLOOKUP(VALUE($A367),WEEKLY_DATA!$A:$H,6,0)=0,"No Sales",Q367/(VLOOKUP(VALUE($A367),WEEKLY_DATA!$A:$H,6,0)/13))),"")</f>
        <v/>
      </c>
      <c r="X367" s="10">
        <f>IFERROR(VLOOKUP(VALUE(A367),WEEKLY_DATA!$A:$H,8,0),0)</f>
        <v>0</v>
      </c>
      <c r="Y367" s="13" t="str">
        <f t="shared" si="10"/>
        <v>—</v>
      </c>
      <c r="Z367" s="11"/>
      <c r="AA367" s="11"/>
      <c r="AB367" s="11"/>
      <c r="AC367" s="11"/>
      <c r="AD367" s="11"/>
      <c r="AE367" s="11"/>
      <c r="AF367" s="61"/>
      <c r="AG367" s="61"/>
      <c r="AH367" s="62"/>
      <c r="AI367" s="62"/>
      <c r="AJ367" s="61"/>
      <c r="AK367" s="61"/>
      <c r="AL367" s="61"/>
      <c r="AM367" s="58"/>
      <c r="AN367" s="58"/>
      <c r="AO367" s="58"/>
      <c r="AP367" s="58"/>
      <c r="AQ367" s="58"/>
      <c r="AR367" s="58"/>
      <c r="AS367" s="91"/>
      <c r="AT367" s="93"/>
      <c r="AU367" s="93"/>
      <c r="AV367" s="93"/>
      <c r="AW367" s="93"/>
    </row>
    <row r="368" spans="1:49" x14ac:dyDescent="0.25">
      <c r="A368" s="59"/>
      <c r="B368" s="12"/>
      <c r="C368" s="12"/>
      <c r="D368" s="60"/>
      <c r="E368" s="6"/>
      <c r="F368" s="6"/>
      <c r="G368" s="12"/>
      <c r="H368" s="12"/>
      <c r="I368" s="12" t="str" cm="2">
        <f t="array" ref="I368">IFERROR(INDEX(BrandList!$B$2:$B$200,MATCH(TRUE,ISNUMBER(SEARCH(BrandList!$B$2:$B$200,G368)),0)),"")</f>
        <v/>
      </c>
      <c r="J368" s="12"/>
      <c r="K368" s="12"/>
      <c r="L368" s="60"/>
      <c r="M368" s="60"/>
      <c r="N368" s="60"/>
      <c r="O368" s="60"/>
      <c r="P368" s="7" t="str">
        <f t="shared" si="11"/>
        <v/>
      </c>
      <c r="Q368" s="8">
        <f>IFERROR(VLOOKUP(VALUE(A368),WEEKLY_DATA!$A:$H,2,0),0)</f>
        <v>0</v>
      </c>
      <c r="R368" s="8">
        <f>IFERROR(VLOOKUP(VALUE(A368),WEEKLY_DATA!$A:$H,3,0),0)</f>
        <v>0</v>
      </c>
      <c r="S368" s="8">
        <f>IFERROR(VLOOKUP(VALUE(A368),WEEKLY_DATA!$A:$H,4,0),0)</f>
        <v>0</v>
      </c>
      <c r="T368" s="51">
        <f>IFERROR(VLOOKUP(VALUE(A368),WEEKLY_DATA!$A:$H,5,0),0)</f>
        <v>0</v>
      </c>
      <c r="U368" s="51">
        <f>IFERROR(VLOOKUP(VALUE(A368),WEEKLY_DATA!$A:$H,6,0),0)</f>
        <v>0</v>
      </c>
      <c r="V368" s="51">
        <f>IFERROR(VLOOKUP(VALUE(A368),WEEKLY_DATA!$A:$H,7,0),0)</f>
        <v>0</v>
      </c>
      <c r="W368" s="9" t="str">
        <f>IFERROR(IF(OR(Q368="",Q368=0),"",IF(VLOOKUP(VALUE($A368),WEEKLY_DATA!$A:$H,6,0)=0,"No Sales",Q368/(VLOOKUP(VALUE($A368),WEEKLY_DATA!$A:$H,6,0)/13))),"")</f>
        <v/>
      </c>
      <c r="X368" s="10">
        <f>IFERROR(VLOOKUP(VALUE(A368),WEEKLY_DATA!$A:$H,8,0),0)</f>
        <v>0</v>
      </c>
      <c r="Y368" s="13" t="str">
        <f t="shared" si="10"/>
        <v>—</v>
      </c>
      <c r="Z368" s="11"/>
      <c r="AA368" s="11"/>
      <c r="AB368" s="11"/>
      <c r="AC368" s="11"/>
      <c r="AD368" s="11"/>
      <c r="AE368" s="11"/>
      <c r="AF368" s="61"/>
      <c r="AG368" s="61"/>
      <c r="AH368" s="62"/>
      <c r="AI368" s="62"/>
      <c r="AJ368" s="61"/>
      <c r="AK368" s="61"/>
      <c r="AL368" s="61"/>
      <c r="AM368" s="58"/>
      <c r="AN368" s="58"/>
      <c r="AO368" s="58"/>
      <c r="AP368" s="58"/>
      <c r="AQ368" s="58"/>
      <c r="AR368" s="58"/>
      <c r="AS368" s="91"/>
      <c r="AT368" s="93"/>
      <c r="AU368" s="93"/>
      <c r="AV368" s="93"/>
      <c r="AW368" s="93"/>
    </row>
    <row r="369" spans="1:49" x14ac:dyDescent="0.25">
      <c r="A369" s="59"/>
      <c r="B369" s="12"/>
      <c r="C369" s="12"/>
      <c r="D369" s="60"/>
      <c r="E369" s="6"/>
      <c r="F369" s="6"/>
      <c r="G369" s="12"/>
      <c r="H369" s="12"/>
      <c r="I369" s="12" t="str" cm="2">
        <f t="array" ref="I369">IFERROR(INDEX(BrandList!$B$2:$B$200,MATCH(TRUE,ISNUMBER(SEARCH(BrandList!$B$2:$B$200,G369)),0)),"")</f>
        <v/>
      </c>
      <c r="J369" s="12"/>
      <c r="K369" s="12"/>
      <c r="L369" s="60"/>
      <c r="M369" s="60"/>
      <c r="N369" s="60"/>
      <c r="O369" s="60"/>
      <c r="P369" s="7" t="str">
        <f t="shared" si="11"/>
        <v/>
      </c>
      <c r="Q369" s="8">
        <f>IFERROR(VLOOKUP(VALUE(A369),WEEKLY_DATA!$A:$H,2,0),0)</f>
        <v>0</v>
      </c>
      <c r="R369" s="8">
        <f>IFERROR(VLOOKUP(VALUE(A369),WEEKLY_DATA!$A:$H,3,0),0)</f>
        <v>0</v>
      </c>
      <c r="S369" s="8">
        <f>IFERROR(VLOOKUP(VALUE(A369),WEEKLY_DATA!$A:$H,4,0),0)</f>
        <v>0</v>
      </c>
      <c r="T369" s="51">
        <f>IFERROR(VLOOKUP(VALUE(A369),WEEKLY_DATA!$A:$H,5,0),0)</f>
        <v>0</v>
      </c>
      <c r="U369" s="51">
        <f>IFERROR(VLOOKUP(VALUE(A369),WEEKLY_DATA!$A:$H,6,0),0)</f>
        <v>0</v>
      </c>
      <c r="V369" s="51">
        <f>IFERROR(VLOOKUP(VALUE(A369),WEEKLY_DATA!$A:$H,7,0),0)</f>
        <v>0</v>
      </c>
      <c r="W369" s="9" t="str">
        <f>IFERROR(IF(OR(Q369="",Q369=0),"",IF(VLOOKUP(VALUE($A369),WEEKLY_DATA!$A:$H,6,0)=0,"No Sales",Q369/(VLOOKUP(VALUE($A369),WEEKLY_DATA!$A:$H,6,0)/13))),"")</f>
        <v/>
      </c>
      <c r="X369" s="10">
        <f>IFERROR(VLOOKUP(VALUE(A369),WEEKLY_DATA!$A:$H,8,0),0)</f>
        <v>0</v>
      </c>
      <c r="Y369" s="13" t="str">
        <f t="shared" si="10"/>
        <v>—</v>
      </c>
      <c r="Z369" s="11"/>
      <c r="AA369" s="11"/>
      <c r="AB369" s="11"/>
      <c r="AC369" s="11"/>
      <c r="AD369" s="11"/>
      <c r="AE369" s="11"/>
      <c r="AF369" s="61"/>
      <c r="AG369" s="61"/>
      <c r="AH369" s="62"/>
      <c r="AI369" s="62"/>
      <c r="AJ369" s="61"/>
      <c r="AK369" s="61"/>
      <c r="AL369" s="61"/>
      <c r="AM369" s="58"/>
      <c r="AN369" s="58"/>
      <c r="AO369" s="58"/>
      <c r="AP369" s="58"/>
      <c r="AQ369" s="58"/>
      <c r="AR369" s="58"/>
      <c r="AS369" s="91"/>
      <c r="AT369" s="93"/>
      <c r="AU369" s="93"/>
      <c r="AV369" s="93"/>
      <c r="AW369" s="93"/>
    </row>
    <row r="370" spans="1:49" x14ac:dyDescent="0.25">
      <c r="A370" s="59"/>
      <c r="B370" s="12"/>
      <c r="C370" s="12"/>
      <c r="D370" s="60"/>
      <c r="E370" s="6"/>
      <c r="F370" s="6"/>
      <c r="G370" s="12"/>
      <c r="H370" s="12"/>
      <c r="I370" s="12" t="str" cm="2">
        <f t="array" ref="I370">IFERROR(INDEX(BrandList!$B$2:$B$200,MATCH(TRUE,ISNUMBER(SEARCH(BrandList!$B$2:$B$200,G370)),0)),"")</f>
        <v/>
      </c>
      <c r="J370" s="12"/>
      <c r="K370" s="12"/>
      <c r="L370" s="60"/>
      <c r="M370" s="60"/>
      <c r="N370" s="60"/>
      <c r="O370" s="60"/>
      <c r="P370" s="7" t="str">
        <f t="shared" si="11"/>
        <v/>
      </c>
      <c r="Q370" s="8">
        <f>IFERROR(VLOOKUP(VALUE(A370),WEEKLY_DATA!$A:$H,2,0),0)</f>
        <v>0</v>
      </c>
      <c r="R370" s="8">
        <f>IFERROR(VLOOKUP(VALUE(A370),WEEKLY_DATA!$A:$H,3,0),0)</f>
        <v>0</v>
      </c>
      <c r="S370" s="8">
        <f>IFERROR(VLOOKUP(VALUE(A370),WEEKLY_DATA!$A:$H,4,0),0)</f>
        <v>0</v>
      </c>
      <c r="T370" s="51">
        <f>IFERROR(VLOOKUP(VALUE(A370),WEEKLY_DATA!$A:$H,5,0),0)</f>
        <v>0</v>
      </c>
      <c r="U370" s="51">
        <f>IFERROR(VLOOKUP(VALUE(A370),WEEKLY_DATA!$A:$H,6,0),0)</f>
        <v>0</v>
      </c>
      <c r="V370" s="51">
        <f>IFERROR(VLOOKUP(VALUE(A370),WEEKLY_DATA!$A:$H,7,0),0)</f>
        <v>0</v>
      </c>
      <c r="W370" s="9" t="str">
        <f>IFERROR(IF(OR(Q370="",Q370=0),"",IF(VLOOKUP(VALUE($A370),WEEKLY_DATA!$A:$H,6,0)=0,"No Sales",Q370/(VLOOKUP(VALUE($A370),WEEKLY_DATA!$A:$H,6,0)/13))),"")</f>
        <v/>
      </c>
      <c r="X370" s="10">
        <f>IFERROR(VLOOKUP(VALUE(A370),WEEKLY_DATA!$A:$H,8,0),0)</f>
        <v>0</v>
      </c>
      <c r="Y370" s="13" t="str">
        <f t="shared" si="10"/>
        <v>—</v>
      </c>
      <c r="Z370" s="11"/>
      <c r="AA370" s="11"/>
      <c r="AB370" s="11"/>
      <c r="AC370" s="11"/>
      <c r="AD370" s="11"/>
      <c r="AE370" s="11"/>
      <c r="AF370" s="61"/>
      <c r="AG370" s="61"/>
      <c r="AH370" s="62"/>
      <c r="AI370" s="62"/>
      <c r="AJ370" s="61"/>
      <c r="AK370" s="61"/>
      <c r="AL370" s="61"/>
      <c r="AM370" s="58"/>
      <c r="AN370" s="58"/>
      <c r="AO370" s="58"/>
      <c r="AP370" s="58"/>
      <c r="AQ370" s="58"/>
      <c r="AR370" s="58"/>
      <c r="AS370" s="91"/>
      <c r="AT370" s="93"/>
      <c r="AU370" s="93"/>
      <c r="AV370" s="93"/>
      <c r="AW370" s="93"/>
    </row>
    <row r="371" spans="1:49" x14ac:dyDescent="0.25">
      <c r="A371" s="59"/>
      <c r="B371" s="12"/>
      <c r="C371" s="12"/>
      <c r="D371" s="60"/>
      <c r="E371" s="6"/>
      <c r="F371" s="6"/>
      <c r="G371" s="12"/>
      <c r="H371" s="12"/>
      <c r="I371" s="12" t="str" cm="2">
        <f t="array" ref="I371">IFERROR(INDEX(BrandList!$B$2:$B$200,MATCH(TRUE,ISNUMBER(SEARCH(BrandList!$B$2:$B$200,G371)),0)),"")</f>
        <v/>
      </c>
      <c r="J371" s="12"/>
      <c r="K371" s="12"/>
      <c r="L371" s="60"/>
      <c r="M371" s="60"/>
      <c r="N371" s="60"/>
      <c r="O371" s="60"/>
      <c r="P371" s="7" t="str">
        <f t="shared" si="11"/>
        <v/>
      </c>
      <c r="Q371" s="8">
        <f>IFERROR(VLOOKUP(VALUE(A371),WEEKLY_DATA!$A:$H,2,0),0)</f>
        <v>0</v>
      </c>
      <c r="R371" s="8">
        <f>IFERROR(VLOOKUP(VALUE(A371),WEEKLY_DATA!$A:$H,3,0),0)</f>
        <v>0</v>
      </c>
      <c r="S371" s="8">
        <f>IFERROR(VLOOKUP(VALUE(A371),WEEKLY_DATA!$A:$H,4,0),0)</f>
        <v>0</v>
      </c>
      <c r="T371" s="51">
        <f>IFERROR(VLOOKUP(VALUE(A371),WEEKLY_DATA!$A:$H,5,0),0)</f>
        <v>0</v>
      </c>
      <c r="U371" s="51">
        <f>IFERROR(VLOOKUP(VALUE(A371),WEEKLY_DATA!$A:$H,6,0),0)</f>
        <v>0</v>
      </c>
      <c r="V371" s="51">
        <f>IFERROR(VLOOKUP(VALUE(A371),WEEKLY_DATA!$A:$H,7,0),0)</f>
        <v>0</v>
      </c>
      <c r="W371" s="9" t="str">
        <f>IFERROR(IF(OR(Q371="",Q371=0),"",IF(VLOOKUP(VALUE($A371),WEEKLY_DATA!$A:$H,6,0)=0,"No Sales",Q371/(VLOOKUP(VALUE($A371),WEEKLY_DATA!$A:$H,6,0)/13))),"")</f>
        <v/>
      </c>
      <c r="X371" s="10">
        <f>IFERROR(VLOOKUP(VALUE(A371),WEEKLY_DATA!$A:$H,8,0),0)</f>
        <v>0</v>
      </c>
      <c r="Y371" s="13" t="str">
        <f t="shared" si="10"/>
        <v>—</v>
      </c>
      <c r="Z371" s="11"/>
      <c r="AA371" s="11"/>
      <c r="AB371" s="11"/>
      <c r="AC371" s="11"/>
      <c r="AD371" s="11"/>
      <c r="AE371" s="11"/>
      <c r="AF371" s="61"/>
      <c r="AG371" s="61"/>
      <c r="AH371" s="62"/>
      <c r="AI371" s="62"/>
      <c r="AJ371" s="61"/>
      <c r="AK371" s="61"/>
      <c r="AL371" s="61"/>
      <c r="AM371" s="58"/>
      <c r="AN371" s="58"/>
      <c r="AO371" s="58"/>
      <c r="AP371" s="58"/>
      <c r="AQ371" s="58"/>
      <c r="AR371" s="58"/>
      <c r="AS371" s="91"/>
      <c r="AT371" s="93"/>
      <c r="AU371" s="93"/>
      <c r="AV371" s="93"/>
      <c r="AW371" s="93"/>
    </row>
    <row r="372" spans="1:49" x14ac:dyDescent="0.25">
      <c r="A372" s="59"/>
      <c r="B372" s="12"/>
      <c r="C372" s="12"/>
      <c r="D372" s="60"/>
      <c r="E372" s="6"/>
      <c r="F372" s="6"/>
      <c r="G372" s="12"/>
      <c r="H372" s="12"/>
      <c r="I372" s="12" t="str" cm="2">
        <f t="array" ref="I372">IFERROR(INDEX(BrandList!$B$2:$B$200,MATCH(TRUE,ISNUMBER(SEARCH(BrandList!$B$2:$B$200,G372)),0)),"")</f>
        <v/>
      </c>
      <c r="J372" s="12"/>
      <c r="K372" s="12"/>
      <c r="L372" s="60"/>
      <c r="M372" s="60"/>
      <c r="N372" s="60"/>
      <c r="O372" s="60"/>
      <c r="P372" s="7" t="str">
        <f t="shared" si="11"/>
        <v/>
      </c>
      <c r="Q372" s="8">
        <f>IFERROR(VLOOKUP(VALUE(A372),WEEKLY_DATA!$A:$H,2,0),0)</f>
        <v>0</v>
      </c>
      <c r="R372" s="8">
        <f>IFERROR(VLOOKUP(VALUE(A372),WEEKLY_DATA!$A:$H,3,0),0)</f>
        <v>0</v>
      </c>
      <c r="S372" s="8">
        <f>IFERROR(VLOOKUP(VALUE(A372),WEEKLY_DATA!$A:$H,4,0),0)</f>
        <v>0</v>
      </c>
      <c r="T372" s="51">
        <f>IFERROR(VLOOKUP(VALUE(A372),WEEKLY_DATA!$A:$H,5,0),0)</f>
        <v>0</v>
      </c>
      <c r="U372" s="51">
        <f>IFERROR(VLOOKUP(VALUE(A372),WEEKLY_DATA!$A:$H,6,0),0)</f>
        <v>0</v>
      </c>
      <c r="V372" s="51">
        <f>IFERROR(VLOOKUP(VALUE(A372),WEEKLY_DATA!$A:$H,7,0),0)</f>
        <v>0</v>
      </c>
      <c r="W372" s="9" t="str">
        <f>IFERROR(IF(OR(Q372="",Q372=0),"",IF(VLOOKUP(VALUE($A372),WEEKLY_DATA!$A:$H,6,0)=0,"No Sales",Q372/(VLOOKUP(VALUE($A372),WEEKLY_DATA!$A:$H,6,0)/13))),"")</f>
        <v/>
      </c>
      <c r="X372" s="10">
        <f>IFERROR(VLOOKUP(VALUE(A372),WEEKLY_DATA!$A:$H,8,0),0)</f>
        <v>0</v>
      </c>
      <c r="Y372" s="13" t="str">
        <f t="shared" si="10"/>
        <v>—</v>
      </c>
      <c r="Z372" s="11"/>
      <c r="AA372" s="11"/>
      <c r="AB372" s="11"/>
      <c r="AC372" s="11"/>
      <c r="AD372" s="11"/>
      <c r="AE372" s="11"/>
      <c r="AF372" s="61"/>
      <c r="AG372" s="61"/>
      <c r="AH372" s="62"/>
      <c r="AI372" s="62"/>
      <c r="AJ372" s="61"/>
      <c r="AK372" s="61"/>
      <c r="AL372" s="61"/>
      <c r="AM372" s="58"/>
      <c r="AN372" s="58"/>
      <c r="AO372" s="58"/>
      <c r="AP372" s="58"/>
      <c r="AQ372" s="58"/>
      <c r="AR372" s="58"/>
      <c r="AS372" s="91"/>
      <c r="AT372" s="93"/>
      <c r="AU372" s="93"/>
      <c r="AV372" s="93"/>
      <c r="AW372" s="93"/>
    </row>
    <row r="373" spans="1:49" x14ac:dyDescent="0.25">
      <c r="A373" s="59"/>
      <c r="B373" s="12"/>
      <c r="C373" s="12"/>
      <c r="D373" s="60"/>
      <c r="E373" s="6"/>
      <c r="F373" s="6"/>
      <c r="G373" s="12"/>
      <c r="H373" s="12"/>
      <c r="I373" s="12" t="str" cm="2">
        <f t="array" ref="I373">IFERROR(INDEX(BrandList!$B$2:$B$200,MATCH(TRUE,ISNUMBER(SEARCH(BrandList!$B$2:$B$200,G373)),0)),"")</f>
        <v/>
      </c>
      <c r="J373" s="12"/>
      <c r="K373" s="12"/>
      <c r="L373" s="60"/>
      <c r="M373" s="60"/>
      <c r="N373" s="60"/>
      <c r="O373" s="60"/>
      <c r="P373" s="7" t="str">
        <f t="shared" si="11"/>
        <v/>
      </c>
      <c r="Q373" s="8">
        <f>IFERROR(VLOOKUP(VALUE(A373),WEEKLY_DATA!$A:$H,2,0),0)</f>
        <v>0</v>
      </c>
      <c r="R373" s="8">
        <f>IFERROR(VLOOKUP(VALUE(A373),WEEKLY_DATA!$A:$H,3,0),0)</f>
        <v>0</v>
      </c>
      <c r="S373" s="8">
        <f>IFERROR(VLOOKUP(VALUE(A373),WEEKLY_DATA!$A:$H,4,0),0)</f>
        <v>0</v>
      </c>
      <c r="T373" s="51">
        <f>IFERROR(VLOOKUP(VALUE(A373),WEEKLY_DATA!$A:$H,5,0),0)</f>
        <v>0</v>
      </c>
      <c r="U373" s="51">
        <f>IFERROR(VLOOKUP(VALUE(A373),WEEKLY_DATA!$A:$H,6,0),0)</f>
        <v>0</v>
      </c>
      <c r="V373" s="51">
        <f>IFERROR(VLOOKUP(VALUE(A373),WEEKLY_DATA!$A:$H,7,0),0)</f>
        <v>0</v>
      </c>
      <c r="W373" s="9" t="str">
        <f>IFERROR(IF(OR(Q373="",Q373=0),"",IF(VLOOKUP(VALUE($A373),WEEKLY_DATA!$A:$H,6,0)=0,"No Sales",Q373/(VLOOKUP(VALUE($A373),WEEKLY_DATA!$A:$H,6,0)/13))),"")</f>
        <v/>
      </c>
      <c r="X373" s="10">
        <f>IFERROR(VLOOKUP(VALUE(A373),WEEKLY_DATA!$A:$H,8,0),0)</f>
        <v>0</v>
      </c>
      <c r="Y373" s="13" t="str">
        <f t="shared" si="10"/>
        <v>—</v>
      </c>
      <c r="Z373" s="11"/>
      <c r="AA373" s="11"/>
      <c r="AB373" s="11"/>
      <c r="AC373" s="11"/>
      <c r="AD373" s="11"/>
      <c r="AE373" s="11"/>
      <c r="AF373" s="61"/>
      <c r="AG373" s="61"/>
      <c r="AH373" s="62"/>
      <c r="AI373" s="62"/>
      <c r="AJ373" s="61"/>
      <c r="AK373" s="61"/>
      <c r="AL373" s="61"/>
      <c r="AM373" s="58"/>
      <c r="AN373" s="58"/>
      <c r="AO373" s="58"/>
      <c r="AP373" s="58"/>
      <c r="AQ373" s="58"/>
      <c r="AR373" s="58"/>
      <c r="AS373" s="91"/>
      <c r="AT373" s="93"/>
      <c r="AU373" s="93"/>
      <c r="AV373" s="93"/>
      <c r="AW373" s="93"/>
    </row>
    <row r="374" spans="1:49" x14ac:dyDescent="0.25">
      <c r="A374" s="59"/>
      <c r="B374" s="12"/>
      <c r="C374" s="12"/>
      <c r="D374" s="60"/>
      <c r="E374" s="6"/>
      <c r="F374" s="6"/>
      <c r="G374" s="12"/>
      <c r="H374" s="12"/>
      <c r="I374" s="12" t="str" cm="2">
        <f t="array" ref="I374">IFERROR(INDEX(BrandList!$B$2:$B$200,MATCH(TRUE,ISNUMBER(SEARCH(BrandList!$B$2:$B$200,G374)),0)),"")</f>
        <v/>
      </c>
      <c r="J374" s="12"/>
      <c r="K374" s="12"/>
      <c r="L374" s="60"/>
      <c r="M374" s="60"/>
      <c r="N374" s="60"/>
      <c r="O374" s="60"/>
      <c r="P374" s="7" t="str">
        <f t="shared" si="11"/>
        <v/>
      </c>
      <c r="Q374" s="8">
        <f>IFERROR(VLOOKUP(VALUE(A374),WEEKLY_DATA!$A:$H,2,0),0)</f>
        <v>0</v>
      </c>
      <c r="R374" s="8">
        <f>IFERROR(VLOOKUP(VALUE(A374),WEEKLY_DATA!$A:$H,3,0),0)</f>
        <v>0</v>
      </c>
      <c r="S374" s="8">
        <f>IFERROR(VLOOKUP(VALUE(A374),WEEKLY_DATA!$A:$H,4,0),0)</f>
        <v>0</v>
      </c>
      <c r="T374" s="51">
        <f>IFERROR(VLOOKUP(VALUE(A374),WEEKLY_DATA!$A:$H,5,0),0)</f>
        <v>0</v>
      </c>
      <c r="U374" s="51">
        <f>IFERROR(VLOOKUP(VALUE(A374),WEEKLY_DATA!$A:$H,6,0),0)</f>
        <v>0</v>
      </c>
      <c r="V374" s="51">
        <f>IFERROR(VLOOKUP(VALUE(A374),WEEKLY_DATA!$A:$H,7,0),0)</f>
        <v>0</v>
      </c>
      <c r="W374" s="9" t="str">
        <f>IFERROR(IF(OR(Q374="",Q374=0),"",IF(VLOOKUP(VALUE($A374),WEEKLY_DATA!$A:$H,6,0)=0,"No Sales",Q374/(VLOOKUP(VALUE($A374),WEEKLY_DATA!$A:$H,6,0)/13))),"")</f>
        <v/>
      </c>
      <c r="X374" s="10">
        <f>IFERROR(VLOOKUP(VALUE(A374),WEEKLY_DATA!$A:$H,8,0),0)</f>
        <v>0</v>
      </c>
      <c r="Y374" s="13" t="str">
        <f t="shared" si="10"/>
        <v>—</v>
      </c>
      <c r="Z374" s="11"/>
      <c r="AA374" s="11"/>
      <c r="AB374" s="11"/>
      <c r="AC374" s="11"/>
      <c r="AD374" s="11"/>
      <c r="AE374" s="11"/>
      <c r="AF374" s="61"/>
      <c r="AG374" s="61"/>
      <c r="AH374" s="62"/>
      <c r="AI374" s="62"/>
      <c r="AJ374" s="61"/>
      <c r="AK374" s="61"/>
      <c r="AL374" s="61"/>
      <c r="AM374" s="58"/>
      <c r="AN374" s="58"/>
      <c r="AO374" s="58"/>
      <c r="AP374" s="58"/>
      <c r="AQ374" s="58"/>
      <c r="AR374" s="58"/>
      <c r="AS374" s="91"/>
      <c r="AT374" s="93"/>
      <c r="AU374" s="93"/>
      <c r="AV374" s="93"/>
      <c r="AW374" s="93"/>
    </row>
    <row r="375" spans="1:49" x14ac:dyDescent="0.25">
      <c r="A375" s="59"/>
      <c r="B375" s="12"/>
      <c r="C375" s="12"/>
      <c r="D375" s="60"/>
      <c r="E375" s="6"/>
      <c r="F375" s="6"/>
      <c r="G375" s="12"/>
      <c r="H375" s="12"/>
      <c r="I375" s="12" t="str" cm="2">
        <f t="array" ref="I375">IFERROR(INDEX(BrandList!$B$2:$B$200,MATCH(TRUE,ISNUMBER(SEARCH(BrandList!$B$2:$B$200,G375)),0)),"")</f>
        <v/>
      </c>
      <c r="J375" s="12"/>
      <c r="K375" s="12"/>
      <c r="L375" s="60"/>
      <c r="M375" s="60"/>
      <c r="N375" s="60"/>
      <c r="O375" s="60"/>
      <c r="P375" s="7" t="str">
        <f t="shared" si="11"/>
        <v/>
      </c>
      <c r="Q375" s="8">
        <f>IFERROR(VLOOKUP(VALUE(A375),WEEKLY_DATA!$A:$H,2,0),0)</f>
        <v>0</v>
      </c>
      <c r="R375" s="8">
        <f>IFERROR(VLOOKUP(VALUE(A375),WEEKLY_DATA!$A:$H,3,0),0)</f>
        <v>0</v>
      </c>
      <c r="S375" s="8">
        <f>IFERROR(VLOOKUP(VALUE(A375),WEEKLY_DATA!$A:$H,4,0),0)</f>
        <v>0</v>
      </c>
      <c r="T375" s="51">
        <f>IFERROR(VLOOKUP(VALUE(A375),WEEKLY_DATA!$A:$H,5,0),0)</f>
        <v>0</v>
      </c>
      <c r="U375" s="51">
        <f>IFERROR(VLOOKUP(VALUE(A375),WEEKLY_DATA!$A:$H,6,0),0)</f>
        <v>0</v>
      </c>
      <c r="V375" s="51">
        <f>IFERROR(VLOOKUP(VALUE(A375),WEEKLY_DATA!$A:$H,7,0),0)</f>
        <v>0</v>
      </c>
      <c r="W375" s="9" t="str">
        <f>IFERROR(IF(OR(Q375="",Q375=0),"",IF(VLOOKUP(VALUE($A375),WEEKLY_DATA!$A:$H,6,0)=0,"No Sales",Q375/(VLOOKUP(VALUE($A375),WEEKLY_DATA!$A:$H,6,0)/13))),"")</f>
        <v/>
      </c>
      <c r="X375" s="10">
        <f>IFERROR(VLOOKUP(VALUE(A375),WEEKLY_DATA!$A:$H,8,0),0)</f>
        <v>0</v>
      </c>
      <c r="Y375" s="13" t="str">
        <f t="shared" si="10"/>
        <v>—</v>
      </c>
      <c r="Z375" s="11"/>
      <c r="AA375" s="11"/>
      <c r="AB375" s="11"/>
      <c r="AC375" s="11"/>
      <c r="AD375" s="11"/>
      <c r="AE375" s="11"/>
      <c r="AF375" s="61"/>
      <c r="AG375" s="61"/>
      <c r="AH375" s="62"/>
      <c r="AI375" s="62"/>
      <c r="AJ375" s="61"/>
      <c r="AK375" s="61"/>
      <c r="AL375" s="61"/>
      <c r="AM375" s="58"/>
      <c r="AN375" s="58"/>
      <c r="AO375" s="58"/>
      <c r="AP375" s="58"/>
      <c r="AQ375" s="58"/>
      <c r="AR375" s="58"/>
      <c r="AS375" s="91"/>
      <c r="AT375" s="93"/>
      <c r="AU375" s="93"/>
      <c r="AV375" s="93"/>
      <c r="AW375" s="93"/>
    </row>
    <row r="376" spans="1:49" x14ac:dyDescent="0.25">
      <c r="A376" s="59"/>
      <c r="B376" s="12"/>
      <c r="C376" s="12"/>
      <c r="D376" s="60"/>
      <c r="E376" s="6"/>
      <c r="F376" s="6"/>
      <c r="G376" s="12"/>
      <c r="H376" s="12"/>
      <c r="I376" s="12" t="str" cm="2">
        <f t="array" ref="I376">IFERROR(INDEX(BrandList!$B$2:$B$200,MATCH(TRUE,ISNUMBER(SEARCH(BrandList!$B$2:$B$200,G376)),0)),"")</f>
        <v/>
      </c>
      <c r="J376" s="12"/>
      <c r="K376" s="12"/>
      <c r="L376" s="60"/>
      <c r="M376" s="60"/>
      <c r="N376" s="60"/>
      <c r="O376" s="60"/>
      <c r="P376" s="7" t="str">
        <f t="shared" si="11"/>
        <v/>
      </c>
      <c r="Q376" s="8">
        <f>IFERROR(VLOOKUP(VALUE(A376),WEEKLY_DATA!$A:$H,2,0),0)</f>
        <v>0</v>
      </c>
      <c r="R376" s="8">
        <f>IFERROR(VLOOKUP(VALUE(A376),WEEKLY_DATA!$A:$H,3,0),0)</f>
        <v>0</v>
      </c>
      <c r="S376" s="8">
        <f>IFERROR(VLOOKUP(VALUE(A376),WEEKLY_DATA!$A:$H,4,0),0)</f>
        <v>0</v>
      </c>
      <c r="T376" s="51">
        <f>IFERROR(VLOOKUP(VALUE(A376),WEEKLY_DATA!$A:$H,5,0),0)</f>
        <v>0</v>
      </c>
      <c r="U376" s="51">
        <f>IFERROR(VLOOKUP(VALUE(A376),WEEKLY_DATA!$A:$H,6,0),0)</f>
        <v>0</v>
      </c>
      <c r="V376" s="51">
        <f>IFERROR(VLOOKUP(VALUE(A376),WEEKLY_DATA!$A:$H,7,0),0)</f>
        <v>0</v>
      </c>
      <c r="W376" s="9" t="str">
        <f>IFERROR(IF(OR(Q376="",Q376=0),"",IF(VLOOKUP(VALUE($A376),WEEKLY_DATA!$A:$H,6,0)=0,"No Sales",Q376/(VLOOKUP(VALUE($A376),WEEKLY_DATA!$A:$H,6,0)/13))),"")</f>
        <v/>
      </c>
      <c r="X376" s="10">
        <f>IFERROR(VLOOKUP(VALUE(A376),WEEKLY_DATA!$A:$H,8,0),0)</f>
        <v>0</v>
      </c>
      <c r="Y376" s="13" t="str">
        <f t="shared" si="10"/>
        <v>—</v>
      </c>
      <c r="Z376" s="11"/>
      <c r="AA376" s="11"/>
      <c r="AB376" s="11"/>
      <c r="AC376" s="11"/>
      <c r="AD376" s="11"/>
      <c r="AE376" s="11"/>
      <c r="AF376" s="61"/>
      <c r="AG376" s="61"/>
      <c r="AH376" s="62"/>
      <c r="AI376" s="62"/>
      <c r="AJ376" s="61"/>
      <c r="AK376" s="61"/>
      <c r="AL376" s="61"/>
      <c r="AM376" s="58"/>
      <c r="AN376" s="58"/>
      <c r="AO376" s="58"/>
      <c r="AP376" s="58"/>
      <c r="AQ376" s="58"/>
      <c r="AR376" s="58"/>
      <c r="AS376" s="91"/>
      <c r="AT376" s="93"/>
      <c r="AU376" s="93"/>
      <c r="AV376" s="93"/>
      <c r="AW376" s="93"/>
    </row>
    <row r="377" spans="1:49" x14ac:dyDescent="0.25">
      <c r="A377" s="59"/>
      <c r="B377" s="12"/>
      <c r="C377" s="12"/>
      <c r="D377" s="60"/>
      <c r="E377" s="6"/>
      <c r="F377" s="6"/>
      <c r="G377" s="12"/>
      <c r="H377" s="12"/>
      <c r="I377" s="12" t="str" cm="2">
        <f t="array" ref="I377">IFERROR(INDEX(BrandList!$B$2:$B$200,MATCH(TRUE,ISNUMBER(SEARCH(BrandList!$B$2:$B$200,G377)),0)),"")</f>
        <v/>
      </c>
      <c r="J377" s="12"/>
      <c r="K377" s="12"/>
      <c r="L377" s="60"/>
      <c r="M377" s="60"/>
      <c r="N377" s="60"/>
      <c r="O377" s="60"/>
      <c r="P377" s="7" t="str">
        <f t="shared" si="11"/>
        <v/>
      </c>
      <c r="Q377" s="8">
        <f>IFERROR(VLOOKUP(VALUE(A377),WEEKLY_DATA!$A:$H,2,0),0)</f>
        <v>0</v>
      </c>
      <c r="R377" s="8">
        <f>IFERROR(VLOOKUP(VALUE(A377),WEEKLY_DATA!$A:$H,3,0),0)</f>
        <v>0</v>
      </c>
      <c r="S377" s="8">
        <f>IFERROR(VLOOKUP(VALUE(A377),WEEKLY_DATA!$A:$H,4,0),0)</f>
        <v>0</v>
      </c>
      <c r="T377" s="51">
        <f>IFERROR(VLOOKUP(VALUE(A377),WEEKLY_DATA!$A:$H,5,0),0)</f>
        <v>0</v>
      </c>
      <c r="U377" s="51">
        <f>IFERROR(VLOOKUP(VALUE(A377),WEEKLY_DATA!$A:$H,6,0),0)</f>
        <v>0</v>
      </c>
      <c r="V377" s="51">
        <f>IFERROR(VLOOKUP(VALUE(A377),WEEKLY_DATA!$A:$H,7,0),0)</f>
        <v>0</v>
      </c>
      <c r="W377" s="9" t="str">
        <f>IFERROR(IF(OR(Q377="",Q377=0),"",IF(VLOOKUP(VALUE($A377),WEEKLY_DATA!$A:$H,6,0)=0,"No Sales",Q377/(VLOOKUP(VALUE($A377),WEEKLY_DATA!$A:$H,6,0)/13))),"")</f>
        <v/>
      </c>
      <c r="X377" s="10">
        <f>IFERROR(VLOOKUP(VALUE(A377),WEEKLY_DATA!$A:$H,8,0),0)</f>
        <v>0</v>
      </c>
      <c r="Y377" s="13" t="str">
        <f t="shared" si="10"/>
        <v>—</v>
      </c>
      <c r="Z377" s="11"/>
      <c r="AA377" s="11"/>
      <c r="AB377" s="11"/>
      <c r="AC377" s="11"/>
      <c r="AD377" s="11"/>
      <c r="AE377" s="11"/>
      <c r="AF377" s="61"/>
      <c r="AG377" s="61"/>
      <c r="AH377" s="62"/>
      <c r="AI377" s="62"/>
      <c r="AJ377" s="61"/>
      <c r="AK377" s="61"/>
      <c r="AL377" s="61"/>
      <c r="AM377" s="58"/>
      <c r="AN377" s="58"/>
      <c r="AO377" s="58"/>
      <c r="AP377" s="58"/>
      <c r="AQ377" s="58"/>
      <c r="AR377" s="58"/>
      <c r="AS377" s="91"/>
      <c r="AT377" s="93"/>
      <c r="AU377" s="93"/>
      <c r="AV377" s="93"/>
      <c r="AW377" s="93"/>
    </row>
    <row r="378" spans="1:49" x14ac:dyDescent="0.25">
      <c r="A378" s="59"/>
      <c r="B378" s="12"/>
      <c r="C378" s="12"/>
      <c r="D378" s="60"/>
      <c r="E378" s="6"/>
      <c r="F378" s="6"/>
      <c r="G378" s="12"/>
      <c r="H378" s="12"/>
      <c r="I378" s="12" t="str" cm="2">
        <f t="array" ref="I378">IFERROR(INDEX(BrandList!$B$2:$B$200,MATCH(TRUE,ISNUMBER(SEARCH(BrandList!$B$2:$B$200,G378)),0)),"")</f>
        <v/>
      </c>
      <c r="J378" s="12"/>
      <c r="K378" s="12"/>
      <c r="L378" s="60"/>
      <c r="M378" s="60"/>
      <c r="N378" s="60"/>
      <c r="O378" s="60"/>
      <c r="P378" s="7" t="str">
        <f t="shared" si="11"/>
        <v/>
      </c>
      <c r="Q378" s="8">
        <f>IFERROR(VLOOKUP(VALUE(A378),WEEKLY_DATA!$A:$H,2,0),0)</f>
        <v>0</v>
      </c>
      <c r="R378" s="8">
        <f>IFERROR(VLOOKUP(VALUE(A378),WEEKLY_DATA!$A:$H,3,0),0)</f>
        <v>0</v>
      </c>
      <c r="S378" s="8">
        <f>IFERROR(VLOOKUP(VALUE(A378),WEEKLY_DATA!$A:$H,4,0),0)</f>
        <v>0</v>
      </c>
      <c r="T378" s="51">
        <f>IFERROR(VLOOKUP(VALUE(A378),WEEKLY_DATA!$A:$H,5,0),0)</f>
        <v>0</v>
      </c>
      <c r="U378" s="51">
        <f>IFERROR(VLOOKUP(VALUE(A378),WEEKLY_DATA!$A:$H,6,0),0)</f>
        <v>0</v>
      </c>
      <c r="V378" s="51">
        <f>IFERROR(VLOOKUP(VALUE(A378),WEEKLY_DATA!$A:$H,7,0),0)</f>
        <v>0</v>
      </c>
      <c r="W378" s="9" t="str">
        <f>IFERROR(IF(OR(Q378="",Q378=0),"",IF(VLOOKUP(VALUE($A378),WEEKLY_DATA!$A:$H,6,0)=0,"No Sales",Q378/(VLOOKUP(VALUE($A378),WEEKLY_DATA!$A:$H,6,0)/13))),"")</f>
        <v/>
      </c>
      <c r="X378" s="10">
        <f>IFERROR(VLOOKUP(VALUE(A378),WEEKLY_DATA!$A:$H,8,0),0)</f>
        <v>0</v>
      </c>
      <c r="Y378" s="13" t="str">
        <f t="shared" si="10"/>
        <v>—</v>
      </c>
      <c r="Z378" s="11"/>
      <c r="AA378" s="11"/>
      <c r="AB378" s="11"/>
      <c r="AC378" s="11"/>
      <c r="AD378" s="11"/>
      <c r="AE378" s="11"/>
      <c r="AF378" s="61"/>
      <c r="AG378" s="61"/>
      <c r="AH378" s="62"/>
      <c r="AI378" s="62"/>
      <c r="AJ378" s="61"/>
      <c r="AK378" s="61"/>
      <c r="AL378" s="61"/>
      <c r="AM378" s="58"/>
      <c r="AN378" s="58"/>
      <c r="AO378" s="58"/>
      <c r="AP378" s="58"/>
      <c r="AQ378" s="58"/>
      <c r="AR378" s="58"/>
      <c r="AS378" s="91"/>
      <c r="AT378" s="93"/>
      <c r="AU378" s="93"/>
      <c r="AV378" s="93"/>
      <c r="AW378" s="93"/>
    </row>
    <row r="379" spans="1:49" x14ac:dyDescent="0.25">
      <c r="A379" s="59"/>
      <c r="B379" s="12"/>
      <c r="C379" s="12"/>
      <c r="D379" s="60"/>
      <c r="E379" s="6"/>
      <c r="F379" s="6"/>
      <c r="G379" s="12"/>
      <c r="H379" s="12"/>
      <c r="I379" s="12" t="str" cm="2">
        <f t="array" ref="I379">IFERROR(INDEX(BrandList!$B$2:$B$200,MATCH(TRUE,ISNUMBER(SEARCH(BrandList!$B$2:$B$200,G379)),0)),"")</f>
        <v/>
      </c>
      <c r="J379" s="12"/>
      <c r="K379" s="12"/>
      <c r="L379" s="60"/>
      <c r="M379" s="60"/>
      <c r="N379" s="60"/>
      <c r="O379" s="60"/>
      <c r="P379" s="7" t="str">
        <f t="shared" si="11"/>
        <v/>
      </c>
      <c r="Q379" s="8">
        <f>IFERROR(VLOOKUP(VALUE(A379),WEEKLY_DATA!$A:$H,2,0),0)</f>
        <v>0</v>
      </c>
      <c r="R379" s="8">
        <f>IFERROR(VLOOKUP(VALUE(A379),WEEKLY_DATA!$A:$H,3,0),0)</f>
        <v>0</v>
      </c>
      <c r="S379" s="8">
        <f>IFERROR(VLOOKUP(VALUE(A379),WEEKLY_DATA!$A:$H,4,0),0)</f>
        <v>0</v>
      </c>
      <c r="T379" s="51">
        <f>IFERROR(VLOOKUP(VALUE(A379),WEEKLY_DATA!$A:$H,5,0),0)</f>
        <v>0</v>
      </c>
      <c r="U379" s="51">
        <f>IFERROR(VLOOKUP(VALUE(A379),WEEKLY_DATA!$A:$H,6,0),0)</f>
        <v>0</v>
      </c>
      <c r="V379" s="51">
        <f>IFERROR(VLOOKUP(VALUE(A379),WEEKLY_DATA!$A:$H,7,0),0)</f>
        <v>0</v>
      </c>
      <c r="W379" s="9" t="str">
        <f>IFERROR(IF(OR(Q379="",Q379=0),"",IF(VLOOKUP(VALUE($A379),WEEKLY_DATA!$A:$H,6,0)=0,"No Sales",Q379/(VLOOKUP(VALUE($A379),WEEKLY_DATA!$A:$H,6,0)/13))),"")</f>
        <v/>
      </c>
      <c r="X379" s="10">
        <f>IFERROR(VLOOKUP(VALUE(A379),WEEKLY_DATA!$A:$H,8,0),0)</f>
        <v>0</v>
      </c>
      <c r="Y379" s="13" t="str">
        <f t="shared" si="10"/>
        <v>—</v>
      </c>
      <c r="Z379" s="11"/>
      <c r="AA379" s="11"/>
      <c r="AB379" s="11"/>
      <c r="AC379" s="11"/>
      <c r="AD379" s="11"/>
      <c r="AE379" s="11"/>
      <c r="AF379" s="61"/>
      <c r="AG379" s="61"/>
      <c r="AH379" s="62"/>
      <c r="AI379" s="62"/>
      <c r="AJ379" s="61"/>
      <c r="AK379" s="61"/>
      <c r="AL379" s="61"/>
      <c r="AM379" s="58"/>
      <c r="AN379" s="58"/>
      <c r="AO379" s="58"/>
      <c r="AP379" s="58"/>
      <c r="AQ379" s="58"/>
      <c r="AR379" s="58"/>
      <c r="AS379" s="91"/>
      <c r="AT379" s="93"/>
      <c r="AU379" s="93"/>
      <c r="AV379" s="93"/>
      <c r="AW379" s="93"/>
    </row>
    <row r="380" spans="1:49" x14ac:dyDescent="0.25">
      <c r="A380" s="59"/>
      <c r="B380" s="12"/>
      <c r="C380" s="12"/>
      <c r="D380" s="60"/>
      <c r="E380" s="6"/>
      <c r="F380" s="6"/>
      <c r="G380" s="12"/>
      <c r="H380" s="12"/>
      <c r="I380" s="12" t="str" cm="2">
        <f t="array" ref="I380">IFERROR(INDEX(BrandList!$B$2:$B$200,MATCH(TRUE,ISNUMBER(SEARCH(BrandList!$B$2:$B$200,G380)),0)),"")</f>
        <v/>
      </c>
      <c r="J380" s="12"/>
      <c r="K380" s="12"/>
      <c r="L380" s="60"/>
      <c r="M380" s="60"/>
      <c r="N380" s="60"/>
      <c r="O380" s="60"/>
      <c r="P380" s="7" t="str">
        <f t="shared" si="11"/>
        <v/>
      </c>
      <c r="Q380" s="8">
        <f>IFERROR(VLOOKUP(VALUE(A380),WEEKLY_DATA!$A:$H,2,0),0)</f>
        <v>0</v>
      </c>
      <c r="R380" s="8">
        <f>IFERROR(VLOOKUP(VALUE(A380),WEEKLY_DATA!$A:$H,3,0),0)</f>
        <v>0</v>
      </c>
      <c r="S380" s="8">
        <f>IFERROR(VLOOKUP(VALUE(A380),WEEKLY_DATA!$A:$H,4,0),0)</f>
        <v>0</v>
      </c>
      <c r="T380" s="51">
        <f>IFERROR(VLOOKUP(VALUE(A380),WEEKLY_DATA!$A:$H,5,0),0)</f>
        <v>0</v>
      </c>
      <c r="U380" s="51">
        <f>IFERROR(VLOOKUP(VALUE(A380),WEEKLY_DATA!$A:$H,6,0),0)</f>
        <v>0</v>
      </c>
      <c r="V380" s="51">
        <f>IFERROR(VLOOKUP(VALUE(A380),WEEKLY_DATA!$A:$H,7,0),0)</f>
        <v>0</v>
      </c>
      <c r="W380" s="9" t="str">
        <f>IFERROR(IF(OR(Q380="",Q380=0),"",IF(VLOOKUP(VALUE($A380),WEEKLY_DATA!$A:$H,6,0)=0,"No Sales",Q380/(VLOOKUP(VALUE($A380),WEEKLY_DATA!$A:$H,6,0)/13))),"")</f>
        <v/>
      </c>
      <c r="X380" s="10">
        <f>IFERROR(VLOOKUP(VALUE(A380),WEEKLY_DATA!$A:$H,8,0),0)</f>
        <v>0</v>
      </c>
      <c r="Y380" s="13" t="str">
        <f t="shared" si="10"/>
        <v>—</v>
      </c>
      <c r="Z380" s="11"/>
      <c r="AA380" s="11"/>
      <c r="AB380" s="11"/>
      <c r="AC380" s="11"/>
      <c r="AD380" s="11"/>
      <c r="AE380" s="11"/>
      <c r="AF380" s="61"/>
      <c r="AG380" s="61"/>
      <c r="AH380" s="62"/>
      <c r="AI380" s="62"/>
      <c r="AJ380" s="61"/>
      <c r="AK380" s="61"/>
      <c r="AL380" s="61"/>
      <c r="AM380" s="58"/>
      <c r="AN380" s="58"/>
      <c r="AO380" s="58"/>
      <c r="AP380" s="58"/>
      <c r="AQ380" s="58"/>
      <c r="AR380" s="58"/>
      <c r="AS380" s="91"/>
      <c r="AT380" s="93"/>
      <c r="AU380" s="93"/>
      <c r="AV380" s="93"/>
      <c r="AW380" s="93"/>
    </row>
    <row r="381" spans="1:49" x14ac:dyDescent="0.25">
      <c r="A381" s="59"/>
      <c r="B381" s="12"/>
      <c r="C381" s="12"/>
      <c r="D381" s="60"/>
      <c r="E381" s="6"/>
      <c r="F381" s="6"/>
      <c r="G381" s="12"/>
      <c r="H381" s="12"/>
      <c r="I381" s="12" t="str" cm="2">
        <f t="array" ref="I381">IFERROR(INDEX(BrandList!$B$2:$B$200,MATCH(TRUE,ISNUMBER(SEARCH(BrandList!$B$2:$B$200,G381)),0)),"")</f>
        <v/>
      </c>
      <c r="J381" s="12"/>
      <c r="K381" s="12"/>
      <c r="L381" s="60"/>
      <c r="M381" s="60"/>
      <c r="N381" s="60"/>
      <c r="O381" s="60"/>
      <c r="P381" s="7" t="str">
        <f t="shared" si="11"/>
        <v/>
      </c>
      <c r="Q381" s="8">
        <f>IFERROR(VLOOKUP(VALUE(A381),WEEKLY_DATA!$A:$H,2,0),0)</f>
        <v>0</v>
      </c>
      <c r="R381" s="8">
        <f>IFERROR(VLOOKUP(VALUE(A381),WEEKLY_DATA!$A:$H,3,0),0)</f>
        <v>0</v>
      </c>
      <c r="S381" s="8">
        <f>IFERROR(VLOOKUP(VALUE(A381),WEEKLY_DATA!$A:$H,4,0),0)</f>
        <v>0</v>
      </c>
      <c r="T381" s="51">
        <f>IFERROR(VLOOKUP(VALUE(A381),WEEKLY_DATA!$A:$H,5,0),0)</f>
        <v>0</v>
      </c>
      <c r="U381" s="51">
        <f>IFERROR(VLOOKUP(VALUE(A381),WEEKLY_DATA!$A:$H,6,0),0)</f>
        <v>0</v>
      </c>
      <c r="V381" s="51">
        <f>IFERROR(VLOOKUP(VALUE(A381),WEEKLY_DATA!$A:$H,7,0),0)</f>
        <v>0</v>
      </c>
      <c r="W381" s="9" t="str">
        <f>IFERROR(IF(OR(Q381="",Q381=0),"",IF(VLOOKUP(VALUE($A381),WEEKLY_DATA!$A:$H,6,0)=0,"No Sales",Q381/(VLOOKUP(VALUE($A381),WEEKLY_DATA!$A:$H,6,0)/13))),"")</f>
        <v/>
      </c>
      <c r="X381" s="10">
        <f>IFERROR(VLOOKUP(VALUE(A381),WEEKLY_DATA!$A:$H,8,0),0)</f>
        <v>0</v>
      </c>
      <c r="Y381" s="13" t="str">
        <f t="shared" si="10"/>
        <v>—</v>
      </c>
      <c r="Z381" s="11"/>
      <c r="AA381" s="11"/>
      <c r="AB381" s="11"/>
      <c r="AC381" s="11"/>
      <c r="AD381" s="11"/>
      <c r="AE381" s="11"/>
      <c r="AF381" s="61"/>
      <c r="AG381" s="61"/>
      <c r="AH381" s="62"/>
      <c r="AI381" s="62"/>
      <c r="AJ381" s="61"/>
      <c r="AK381" s="61"/>
      <c r="AL381" s="61"/>
      <c r="AM381" s="58"/>
      <c r="AN381" s="58"/>
      <c r="AO381" s="58"/>
      <c r="AP381" s="58"/>
      <c r="AQ381" s="58"/>
      <c r="AR381" s="58"/>
      <c r="AS381" s="91"/>
      <c r="AT381" s="93"/>
      <c r="AU381" s="93"/>
      <c r="AV381" s="93"/>
      <c r="AW381" s="93"/>
    </row>
    <row r="382" spans="1:49" x14ac:dyDescent="0.25">
      <c r="A382" s="59"/>
      <c r="B382" s="12"/>
      <c r="C382" s="12"/>
      <c r="D382" s="60"/>
      <c r="E382" s="6"/>
      <c r="F382" s="6"/>
      <c r="G382" s="12"/>
      <c r="H382" s="12"/>
      <c r="I382" s="12" t="str" cm="2">
        <f t="array" ref="I382">IFERROR(INDEX(BrandList!$B$2:$B$200,MATCH(TRUE,ISNUMBER(SEARCH(BrandList!$B$2:$B$200,G382)),0)),"")</f>
        <v/>
      </c>
      <c r="J382" s="12"/>
      <c r="K382" s="12"/>
      <c r="L382" s="60"/>
      <c r="M382" s="60"/>
      <c r="N382" s="60"/>
      <c r="O382" s="60"/>
      <c r="P382" s="7" t="str">
        <f t="shared" si="11"/>
        <v/>
      </c>
      <c r="Q382" s="8">
        <f>IFERROR(VLOOKUP(VALUE(A382),WEEKLY_DATA!$A:$H,2,0),0)</f>
        <v>0</v>
      </c>
      <c r="R382" s="8">
        <f>IFERROR(VLOOKUP(VALUE(A382),WEEKLY_DATA!$A:$H,3,0),0)</f>
        <v>0</v>
      </c>
      <c r="S382" s="8">
        <f>IFERROR(VLOOKUP(VALUE(A382),WEEKLY_DATA!$A:$H,4,0),0)</f>
        <v>0</v>
      </c>
      <c r="T382" s="51">
        <f>IFERROR(VLOOKUP(VALUE(A382),WEEKLY_DATA!$A:$H,5,0),0)</f>
        <v>0</v>
      </c>
      <c r="U382" s="51">
        <f>IFERROR(VLOOKUP(VALUE(A382),WEEKLY_DATA!$A:$H,6,0),0)</f>
        <v>0</v>
      </c>
      <c r="V382" s="51">
        <f>IFERROR(VLOOKUP(VALUE(A382),WEEKLY_DATA!$A:$H,7,0),0)</f>
        <v>0</v>
      </c>
      <c r="W382" s="9" t="str">
        <f>IFERROR(IF(OR(Q382="",Q382=0),"",IF(VLOOKUP(VALUE($A382),WEEKLY_DATA!$A:$H,6,0)=0,"No Sales",Q382/(VLOOKUP(VALUE($A382),WEEKLY_DATA!$A:$H,6,0)/13))),"")</f>
        <v/>
      </c>
      <c r="X382" s="10">
        <f>IFERROR(VLOOKUP(VALUE(A382),WEEKLY_DATA!$A:$H,8,0),0)</f>
        <v>0</v>
      </c>
      <c r="Y382" s="13" t="str">
        <f t="shared" si="10"/>
        <v>—</v>
      </c>
      <c r="Z382" s="11"/>
      <c r="AA382" s="11"/>
      <c r="AB382" s="11"/>
      <c r="AC382" s="11"/>
      <c r="AD382" s="11"/>
      <c r="AE382" s="11"/>
      <c r="AF382" s="61"/>
      <c r="AG382" s="61"/>
      <c r="AH382" s="62"/>
      <c r="AI382" s="62"/>
      <c r="AJ382" s="61"/>
      <c r="AK382" s="61"/>
      <c r="AL382" s="61"/>
      <c r="AM382" s="58"/>
      <c r="AN382" s="58"/>
      <c r="AO382" s="58"/>
      <c r="AP382" s="58"/>
      <c r="AQ382" s="58"/>
      <c r="AR382" s="58"/>
      <c r="AS382" s="91"/>
      <c r="AT382" s="93"/>
      <c r="AU382" s="93"/>
      <c r="AV382" s="93"/>
      <c r="AW382" s="93"/>
    </row>
    <row r="383" spans="1:49" x14ac:dyDescent="0.25">
      <c r="A383" s="59"/>
      <c r="B383" s="12"/>
      <c r="C383" s="12"/>
      <c r="D383" s="60"/>
      <c r="E383" s="6"/>
      <c r="F383" s="6"/>
      <c r="G383" s="12"/>
      <c r="H383" s="12"/>
      <c r="I383" s="12" t="str" cm="2">
        <f t="array" ref="I383">IFERROR(INDEX(BrandList!$B$2:$B$200,MATCH(TRUE,ISNUMBER(SEARCH(BrandList!$B$2:$B$200,G383)),0)),"")</f>
        <v/>
      </c>
      <c r="J383" s="12"/>
      <c r="K383" s="12"/>
      <c r="L383" s="60"/>
      <c r="M383" s="60"/>
      <c r="N383" s="60"/>
      <c r="O383" s="60"/>
      <c r="P383" s="7" t="str">
        <f t="shared" si="11"/>
        <v/>
      </c>
      <c r="Q383" s="8">
        <f>IFERROR(VLOOKUP(VALUE(A383),WEEKLY_DATA!$A:$H,2,0),0)</f>
        <v>0</v>
      </c>
      <c r="R383" s="8">
        <f>IFERROR(VLOOKUP(VALUE(A383),WEEKLY_DATA!$A:$H,3,0),0)</f>
        <v>0</v>
      </c>
      <c r="S383" s="8">
        <f>IFERROR(VLOOKUP(VALUE(A383),WEEKLY_DATA!$A:$H,4,0),0)</f>
        <v>0</v>
      </c>
      <c r="T383" s="51">
        <f>IFERROR(VLOOKUP(VALUE(A383),WEEKLY_DATA!$A:$H,5,0),0)</f>
        <v>0</v>
      </c>
      <c r="U383" s="51">
        <f>IFERROR(VLOOKUP(VALUE(A383),WEEKLY_DATA!$A:$H,6,0),0)</f>
        <v>0</v>
      </c>
      <c r="V383" s="51">
        <f>IFERROR(VLOOKUP(VALUE(A383),WEEKLY_DATA!$A:$H,7,0),0)</f>
        <v>0</v>
      </c>
      <c r="W383" s="9" t="str">
        <f>IFERROR(IF(OR(Q383="",Q383=0),"",IF(VLOOKUP(VALUE($A383),WEEKLY_DATA!$A:$H,6,0)=0,"No Sales",Q383/(VLOOKUP(VALUE($A383),WEEKLY_DATA!$A:$H,6,0)/13))),"")</f>
        <v/>
      </c>
      <c r="X383" s="10">
        <f>IFERROR(VLOOKUP(VALUE(A383),WEEKLY_DATA!$A:$H,8,0),0)</f>
        <v>0</v>
      </c>
      <c r="Y383" s="13" t="str">
        <f t="shared" si="10"/>
        <v>—</v>
      </c>
      <c r="Z383" s="11"/>
      <c r="AA383" s="11"/>
      <c r="AB383" s="11"/>
      <c r="AC383" s="11"/>
      <c r="AD383" s="11"/>
      <c r="AE383" s="11"/>
      <c r="AF383" s="61"/>
      <c r="AG383" s="61"/>
      <c r="AH383" s="62"/>
      <c r="AI383" s="62"/>
      <c r="AJ383" s="61"/>
      <c r="AK383" s="61"/>
      <c r="AL383" s="61"/>
      <c r="AM383" s="58"/>
      <c r="AN383" s="58"/>
      <c r="AO383" s="58"/>
      <c r="AP383" s="58"/>
      <c r="AQ383" s="58"/>
      <c r="AR383" s="58"/>
      <c r="AS383" s="91"/>
      <c r="AT383" s="93"/>
      <c r="AU383" s="93"/>
      <c r="AV383" s="93"/>
      <c r="AW383" s="93"/>
    </row>
    <row r="384" spans="1:49" x14ac:dyDescent="0.25">
      <c r="A384" s="59"/>
      <c r="B384" s="12"/>
      <c r="C384" s="12"/>
      <c r="D384" s="60"/>
      <c r="E384" s="6"/>
      <c r="F384" s="6"/>
      <c r="G384" s="12"/>
      <c r="H384" s="12"/>
      <c r="I384" s="12" t="str" cm="2">
        <f t="array" ref="I384">IFERROR(INDEX(BrandList!$B$2:$B$200,MATCH(TRUE,ISNUMBER(SEARCH(BrandList!$B$2:$B$200,G384)),0)),"")</f>
        <v/>
      </c>
      <c r="J384" s="12"/>
      <c r="K384" s="12"/>
      <c r="L384" s="60"/>
      <c r="M384" s="60"/>
      <c r="N384" s="60"/>
      <c r="O384" s="60"/>
      <c r="P384" s="7" t="str">
        <f t="shared" si="11"/>
        <v/>
      </c>
      <c r="Q384" s="8">
        <f>IFERROR(VLOOKUP(VALUE(A384),WEEKLY_DATA!$A:$H,2,0),0)</f>
        <v>0</v>
      </c>
      <c r="R384" s="8">
        <f>IFERROR(VLOOKUP(VALUE(A384),WEEKLY_DATA!$A:$H,3,0),0)</f>
        <v>0</v>
      </c>
      <c r="S384" s="8">
        <f>IFERROR(VLOOKUP(VALUE(A384),WEEKLY_DATA!$A:$H,4,0),0)</f>
        <v>0</v>
      </c>
      <c r="T384" s="51">
        <f>IFERROR(VLOOKUP(VALUE(A384),WEEKLY_DATA!$A:$H,5,0),0)</f>
        <v>0</v>
      </c>
      <c r="U384" s="51">
        <f>IFERROR(VLOOKUP(VALUE(A384),WEEKLY_DATA!$A:$H,6,0),0)</f>
        <v>0</v>
      </c>
      <c r="V384" s="51">
        <f>IFERROR(VLOOKUP(VALUE(A384),WEEKLY_DATA!$A:$H,7,0),0)</f>
        <v>0</v>
      </c>
      <c r="W384" s="9" t="str">
        <f>IFERROR(IF(OR(Q384="",Q384=0),"",IF(VLOOKUP(VALUE($A384),WEEKLY_DATA!$A:$H,6,0)=0,"No Sales",Q384/(VLOOKUP(VALUE($A384),WEEKLY_DATA!$A:$H,6,0)/13))),"")</f>
        <v/>
      </c>
      <c r="X384" s="10">
        <f>IFERROR(VLOOKUP(VALUE(A384),WEEKLY_DATA!$A:$H,8,0),0)</f>
        <v>0</v>
      </c>
      <c r="Y384" s="13" t="str">
        <f t="shared" si="10"/>
        <v>—</v>
      </c>
      <c r="Z384" s="11"/>
      <c r="AA384" s="11"/>
      <c r="AB384" s="11"/>
      <c r="AC384" s="11"/>
      <c r="AD384" s="11"/>
      <c r="AE384" s="11"/>
      <c r="AF384" s="61"/>
      <c r="AG384" s="61"/>
      <c r="AH384" s="62"/>
      <c r="AI384" s="62"/>
      <c r="AJ384" s="61"/>
      <c r="AK384" s="61"/>
      <c r="AL384" s="61"/>
      <c r="AM384" s="58"/>
      <c r="AN384" s="58"/>
      <c r="AO384" s="58"/>
      <c r="AP384" s="58"/>
      <c r="AQ384" s="58"/>
      <c r="AR384" s="58"/>
      <c r="AS384" s="91"/>
      <c r="AT384" s="93"/>
      <c r="AU384" s="93"/>
      <c r="AV384" s="93"/>
      <c r="AW384" s="93"/>
    </row>
    <row r="385" spans="1:49" x14ac:dyDescent="0.25">
      <c r="A385" s="59"/>
      <c r="B385" s="12"/>
      <c r="C385" s="12"/>
      <c r="D385" s="60"/>
      <c r="E385" s="6"/>
      <c r="F385" s="6"/>
      <c r="G385" s="12"/>
      <c r="H385" s="12"/>
      <c r="I385" s="12" t="str" cm="2">
        <f t="array" ref="I385">IFERROR(INDEX(BrandList!$B$2:$B$200,MATCH(TRUE,ISNUMBER(SEARCH(BrandList!$B$2:$B$200,G385)),0)),"")</f>
        <v/>
      </c>
      <c r="J385" s="12"/>
      <c r="K385" s="12"/>
      <c r="L385" s="60"/>
      <c r="M385" s="60"/>
      <c r="N385" s="60"/>
      <c r="O385" s="60"/>
      <c r="P385" s="7" t="str">
        <f t="shared" si="11"/>
        <v/>
      </c>
      <c r="Q385" s="8">
        <f>IFERROR(VLOOKUP(VALUE(A385),WEEKLY_DATA!$A:$H,2,0),0)</f>
        <v>0</v>
      </c>
      <c r="R385" s="8">
        <f>IFERROR(VLOOKUP(VALUE(A385),WEEKLY_DATA!$A:$H,3,0),0)</f>
        <v>0</v>
      </c>
      <c r="S385" s="8">
        <f>IFERROR(VLOOKUP(VALUE(A385),WEEKLY_DATA!$A:$H,4,0),0)</f>
        <v>0</v>
      </c>
      <c r="T385" s="51">
        <f>IFERROR(VLOOKUP(VALUE(A385),WEEKLY_DATA!$A:$H,5,0),0)</f>
        <v>0</v>
      </c>
      <c r="U385" s="51">
        <f>IFERROR(VLOOKUP(VALUE(A385),WEEKLY_DATA!$A:$H,6,0),0)</f>
        <v>0</v>
      </c>
      <c r="V385" s="51">
        <f>IFERROR(VLOOKUP(VALUE(A385),WEEKLY_DATA!$A:$H,7,0),0)</f>
        <v>0</v>
      </c>
      <c r="W385" s="9" t="str">
        <f>IFERROR(IF(OR(Q385="",Q385=0),"",IF(VLOOKUP(VALUE($A385),WEEKLY_DATA!$A:$H,6,0)=0,"No Sales",Q385/(VLOOKUP(VALUE($A385),WEEKLY_DATA!$A:$H,6,0)/13))),"")</f>
        <v/>
      </c>
      <c r="X385" s="10">
        <f>IFERROR(VLOOKUP(VALUE(A385),WEEKLY_DATA!$A:$H,8,0),0)</f>
        <v>0</v>
      </c>
      <c r="Y385" s="13" t="str">
        <f t="shared" si="10"/>
        <v>—</v>
      </c>
      <c r="Z385" s="11"/>
      <c r="AA385" s="11"/>
      <c r="AB385" s="11"/>
      <c r="AC385" s="11"/>
      <c r="AD385" s="11"/>
      <c r="AE385" s="11"/>
      <c r="AF385" s="61"/>
      <c r="AG385" s="61"/>
      <c r="AH385" s="62"/>
      <c r="AI385" s="62"/>
      <c r="AJ385" s="61"/>
      <c r="AK385" s="61"/>
      <c r="AL385" s="61"/>
      <c r="AM385" s="58"/>
      <c r="AN385" s="58"/>
      <c r="AO385" s="58"/>
      <c r="AP385" s="58"/>
      <c r="AQ385" s="58"/>
      <c r="AR385" s="58"/>
      <c r="AS385" s="91"/>
      <c r="AT385" s="93"/>
      <c r="AU385" s="93"/>
      <c r="AV385" s="93"/>
      <c r="AW385" s="93"/>
    </row>
    <row r="386" spans="1:49" x14ac:dyDescent="0.25">
      <c r="A386" s="59"/>
      <c r="B386" s="12"/>
      <c r="C386" s="12"/>
      <c r="D386" s="60"/>
      <c r="E386" s="6"/>
      <c r="F386" s="6"/>
      <c r="G386" s="12"/>
      <c r="H386" s="12"/>
      <c r="I386" s="12" t="str" cm="2">
        <f t="array" ref="I386">IFERROR(INDEX(BrandList!$B$2:$B$200,MATCH(TRUE,ISNUMBER(SEARCH(BrandList!$B$2:$B$200,G386)),0)),"")</f>
        <v/>
      </c>
      <c r="J386" s="12"/>
      <c r="K386" s="12"/>
      <c r="L386" s="60"/>
      <c r="M386" s="60"/>
      <c r="N386" s="60"/>
      <c r="O386" s="60"/>
      <c r="P386" s="7" t="str">
        <f t="shared" si="11"/>
        <v/>
      </c>
      <c r="Q386" s="8">
        <f>IFERROR(VLOOKUP(VALUE(A386),WEEKLY_DATA!$A:$H,2,0),0)</f>
        <v>0</v>
      </c>
      <c r="R386" s="8">
        <f>IFERROR(VLOOKUP(VALUE(A386),WEEKLY_DATA!$A:$H,3,0),0)</f>
        <v>0</v>
      </c>
      <c r="S386" s="8">
        <f>IFERROR(VLOOKUP(VALUE(A386),WEEKLY_DATA!$A:$H,4,0),0)</f>
        <v>0</v>
      </c>
      <c r="T386" s="51">
        <f>IFERROR(VLOOKUP(VALUE(A386),WEEKLY_DATA!$A:$H,5,0),0)</f>
        <v>0</v>
      </c>
      <c r="U386" s="51">
        <f>IFERROR(VLOOKUP(VALUE(A386),WEEKLY_DATA!$A:$H,6,0),0)</f>
        <v>0</v>
      </c>
      <c r="V386" s="51">
        <f>IFERROR(VLOOKUP(VALUE(A386),WEEKLY_DATA!$A:$H,7,0),0)</f>
        <v>0</v>
      </c>
      <c r="W386" s="9" t="str">
        <f>IFERROR(IF(OR(Q386="",Q386=0),"",IF(VLOOKUP(VALUE($A386),WEEKLY_DATA!$A:$H,6,0)=0,"No Sales",Q386/(VLOOKUP(VALUE($A386),WEEKLY_DATA!$A:$H,6,0)/13))),"")</f>
        <v/>
      </c>
      <c r="X386" s="10">
        <f>IFERROR(VLOOKUP(VALUE(A386),WEEKLY_DATA!$A:$H,8,0),0)</f>
        <v>0</v>
      </c>
      <c r="Y386" s="13" t="str">
        <f t="shared" si="10"/>
        <v>—</v>
      </c>
      <c r="Z386" s="11"/>
      <c r="AA386" s="11"/>
      <c r="AB386" s="11"/>
      <c r="AC386" s="11"/>
      <c r="AD386" s="11"/>
      <c r="AE386" s="11"/>
      <c r="AF386" s="61"/>
      <c r="AG386" s="61"/>
      <c r="AH386" s="62"/>
      <c r="AI386" s="62"/>
      <c r="AJ386" s="61"/>
      <c r="AK386" s="61"/>
      <c r="AL386" s="61"/>
      <c r="AM386" s="58"/>
      <c r="AN386" s="58"/>
      <c r="AO386" s="58"/>
      <c r="AP386" s="58"/>
      <c r="AQ386" s="58"/>
      <c r="AR386" s="58"/>
      <c r="AS386" s="91"/>
      <c r="AT386" s="93"/>
      <c r="AU386" s="93"/>
      <c r="AV386" s="93"/>
      <c r="AW386" s="93"/>
    </row>
    <row r="387" spans="1:49" x14ac:dyDescent="0.25">
      <c r="A387" s="59"/>
      <c r="B387" s="12"/>
      <c r="C387" s="12"/>
      <c r="D387" s="60"/>
      <c r="E387" s="6"/>
      <c r="F387" s="6"/>
      <c r="G387" s="12"/>
      <c r="H387" s="12"/>
      <c r="I387" s="12" t="str" cm="2">
        <f t="array" ref="I387">IFERROR(INDEX(BrandList!$B$2:$B$200,MATCH(TRUE,ISNUMBER(SEARCH(BrandList!$B$2:$B$200,G387)),0)),"")</f>
        <v/>
      </c>
      <c r="J387" s="12"/>
      <c r="K387" s="12"/>
      <c r="L387" s="60"/>
      <c r="M387" s="60"/>
      <c r="N387" s="60"/>
      <c r="O387" s="60"/>
      <c r="P387" s="7" t="str">
        <f t="shared" si="11"/>
        <v/>
      </c>
      <c r="Q387" s="8">
        <f>IFERROR(VLOOKUP(VALUE(A387),WEEKLY_DATA!$A:$H,2,0),0)</f>
        <v>0</v>
      </c>
      <c r="R387" s="8">
        <f>IFERROR(VLOOKUP(VALUE(A387),WEEKLY_DATA!$A:$H,3,0),0)</f>
        <v>0</v>
      </c>
      <c r="S387" s="8">
        <f>IFERROR(VLOOKUP(VALUE(A387),WEEKLY_DATA!$A:$H,4,0),0)</f>
        <v>0</v>
      </c>
      <c r="T387" s="51">
        <f>IFERROR(VLOOKUP(VALUE(A387),WEEKLY_DATA!$A:$H,5,0),0)</f>
        <v>0</v>
      </c>
      <c r="U387" s="51">
        <f>IFERROR(VLOOKUP(VALUE(A387),WEEKLY_DATA!$A:$H,6,0),0)</f>
        <v>0</v>
      </c>
      <c r="V387" s="51">
        <f>IFERROR(VLOOKUP(VALUE(A387),WEEKLY_DATA!$A:$H,7,0),0)</f>
        <v>0</v>
      </c>
      <c r="W387" s="9" t="str">
        <f>IFERROR(IF(OR(Q387="",Q387=0),"",IF(VLOOKUP(VALUE($A387),WEEKLY_DATA!$A:$H,6,0)=0,"No Sales",Q387/(VLOOKUP(VALUE($A387),WEEKLY_DATA!$A:$H,6,0)/13))),"")</f>
        <v/>
      </c>
      <c r="X387" s="10">
        <f>IFERROR(VLOOKUP(VALUE(A387),WEEKLY_DATA!$A:$H,8,0),0)</f>
        <v>0</v>
      </c>
      <c r="Y387" s="13" t="str">
        <f t="shared" si="10"/>
        <v>—</v>
      </c>
      <c r="Z387" s="11"/>
      <c r="AA387" s="11"/>
      <c r="AB387" s="11"/>
      <c r="AC387" s="11"/>
      <c r="AD387" s="11"/>
      <c r="AE387" s="11"/>
      <c r="AF387" s="61"/>
      <c r="AG387" s="61"/>
      <c r="AH387" s="62"/>
      <c r="AI387" s="62"/>
      <c r="AJ387" s="61"/>
      <c r="AK387" s="61"/>
      <c r="AL387" s="61"/>
      <c r="AM387" s="58"/>
      <c r="AN387" s="58"/>
      <c r="AO387" s="58"/>
      <c r="AP387" s="58"/>
      <c r="AQ387" s="58"/>
      <c r="AR387" s="58"/>
      <c r="AS387" s="91"/>
      <c r="AT387" s="93"/>
      <c r="AU387" s="93"/>
      <c r="AV387" s="93"/>
      <c r="AW387" s="93"/>
    </row>
    <row r="388" spans="1:49" x14ac:dyDescent="0.25">
      <c r="A388" s="59"/>
      <c r="B388" s="12"/>
      <c r="C388" s="12"/>
      <c r="D388" s="60"/>
      <c r="E388" s="6"/>
      <c r="F388" s="6"/>
      <c r="G388" s="12"/>
      <c r="H388" s="12"/>
      <c r="I388" s="12" t="str" cm="2">
        <f t="array" ref="I388">IFERROR(INDEX(BrandList!$B$2:$B$200,MATCH(TRUE,ISNUMBER(SEARCH(BrandList!$B$2:$B$200,G388)),0)),"")</f>
        <v/>
      </c>
      <c r="J388" s="12"/>
      <c r="K388" s="12"/>
      <c r="L388" s="60"/>
      <c r="M388" s="60"/>
      <c r="N388" s="60"/>
      <c r="O388" s="60"/>
      <c r="P388" s="7" t="str">
        <f t="shared" si="11"/>
        <v/>
      </c>
      <c r="Q388" s="8">
        <f>IFERROR(VLOOKUP(VALUE(A388),WEEKLY_DATA!$A:$H,2,0),0)</f>
        <v>0</v>
      </c>
      <c r="R388" s="8">
        <f>IFERROR(VLOOKUP(VALUE(A388),WEEKLY_DATA!$A:$H,3,0),0)</f>
        <v>0</v>
      </c>
      <c r="S388" s="8">
        <f>IFERROR(VLOOKUP(VALUE(A388),WEEKLY_DATA!$A:$H,4,0),0)</f>
        <v>0</v>
      </c>
      <c r="T388" s="51">
        <f>IFERROR(VLOOKUP(VALUE(A388),WEEKLY_DATA!$A:$H,5,0),0)</f>
        <v>0</v>
      </c>
      <c r="U388" s="51">
        <f>IFERROR(VLOOKUP(VALUE(A388),WEEKLY_DATA!$A:$H,6,0),0)</f>
        <v>0</v>
      </c>
      <c r="V388" s="51">
        <f>IFERROR(VLOOKUP(VALUE(A388),WEEKLY_DATA!$A:$H,7,0),0)</f>
        <v>0</v>
      </c>
      <c r="W388" s="9" t="str">
        <f>IFERROR(IF(OR(Q388="",Q388=0),"",IF(VLOOKUP(VALUE($A388),WEEKLY_DATA!$A:$H,6,0)=0,"No Sales",Q388/(VLOOKUP(VALUE($A388),WEEKLY_DATA!$A:$H,6,0)/13))),"")</f>
        <v/>
      </c>
      <c r="X388" s="10">
        <f>IFERROR(VLOOKUP(VALUE(A388),WEEKLY_DATA!$A:$H,8,0),0)</f>
        <v>0</v>
      </c>
      <c r="Y388" s="13" t="str">
        <f t="shared" si="10"/>
        <v>—</v>
      </c>
      <c r="Z388" s="11"/>
      <c r="AA388" s="11"/>
      <c r="AB388" s="11"/>
      <c r="AC388" s="11"/>
      <c r="AD388" s="11"/>
      <c r="AE388" s="11"/>
      <c r="AF388" s="61"/>
      <c r="AG388" s="61"/>
      <c r="AH388" s="62"/>
      <c r="AI388" s="62"/>
      <c r="AJ388" s="61"/>
      <c r="AK388" s="61"/>
      <c r="AL388" s="61"/>
      <c r="AM388" s="58"/>
      <c r="AN388" s="58"/>
      <c r="AO388" s="58"/>
      <c r="AP388" s="58"/>
      <c r="AQ388" s="58"/>
      <c r="AR388" s="58"/>
      <c r="AS388" s="91"/>
      <c r="AT388" s="93"/>
      <c r="AU388" s="93"/>
      <c r="AV388" s="93"/>
      <c r="AW388" s="93"/>
    </row>
    <row r="389" spans="1:49" x14ac:dyDescent="0.25">
      <c r="A389" s="59"/>
      <c r="B389" s="12"/>
      <c r="C389" s="12"/>
      <c r="D389" s="60"/>
      <c r="E389" s="6"/>
      <c r="F389" s="6"/>
      <c r="G389" s="12"/>
      <c r="H389" s="12"/>
      <c r="I389" s="12" t="str" cm="2">
        <f t="array" ref="I389">IFERROR(INDEX(BrandList!$B$2:$B$200,MATCH(TRUE,ISNUMBER(SEARCH(BrandList!$B$2:$B$200,G389)),0)),"")</f>
        <v/>
      </c>
      <c r="J389" s="12"/>
      <c r="K389" s="12"/>
      <c r="L389" s="60"/>
      <c r="M389" s="60"/>
      <c r="N389" s="60"/>
      <c r="O389" s="60"/>
      <c r="P389" s="7" t="str">
        <f t="shared" si="11"/>
        <v/>
      </c>
      <c r="Q389" s="8">
        <f>IFERROR(VLOOKUP(VALUE(A389),WEEKLY_DATA!$A:$H,2,0),0)</f>
        <v>0</v>
      </c>
      <c r="R389" s="8">
        <f>IFERROR(VLOOKUP(VALUE(A389),WEEKLY_DATA!$A:$H,3,0),0)</f>
        <v>0</v>
      </c>
      <c r="S389" s="8">
        <f>IFERROR(VLOOKUP(VALUE(A389),WEEKLY_DATA!$A:$H,4,0),0)</f>
        <v>0</v>
      </c>
      <c r="T389" s="51">
        <f>IFERROR(VLOOKUP(VALUE(A389),WEEKLY_DATA!$A:$H,5,0),0)</f>
        <v>0</v>
      </c>
      <c r="U389" s="51">
        <f>IFERROR(VLOOKUP(VALUE(A389),WEEKLY_DATA!$A:$H,6,0),0)</f>
        <v>0</v>
      </c>
      <c r="V389" s="51">
        <f>IFERROR(VLOOKUP(VALUE(A389),WEEKLY_DATA!$A:$H,7,0),0)</f>
        <v>0</v>
      </c>
      <c r="W389" s="9" t="str">
        <f>IFERROR(IF(OR(Q389="",Q389=0),"",IF(VLOOKUP(VALUE($A389),WEEKLY_DATA!$A:$H,6,0)=0,"No Sales",Q389/(VLOOKUP(VALUE($A389),WEEKLY_DATA!$A:$H,6,0)/13))),"")</f>
        <v/>
      </c>
      <c r="X389" s="10">
        <f>IFERROR(VLOOKUP(VALUE(A389),WEEKLY_DATA!$A:$H,8,0),0)</f>
        <v>0</v>
      </c>
      <c r="Y389" s="13" t="str">
        <f t="shared" si="10"/>
        <v>—</v>
      </c>
      <c r="Z389" s="11"/>
      <c r="AA389" s="11"/>
      <c r="AB389" s="11"/>
      <c r="AC389" s="11"/>
      <c r="AD389" s="11"/>
      <c r="AE389" s="11"/>
      <c r="AF389" s="61"/>
      <c r="AG389" s="61"/>
      <c r="AH389" s="62"/>
      <c r="AI389" s="62"/>
      <c r="AJ389" s="61"/>
      <c r="AK389" s="61"/>
      <c r="AL389" s="61"/>
      <c r="AM389" s="58"/>
      <c r="AN389" s="58"/>
      <c r="AO389" s="58"/>
      <c r="AP389" s="58"/>
      <c r="AQ389" s="58"/>
      <c r="AR389" s="58"/>
      <c r="AS389" s="91"/>
      <c r="AT389" s="93"/>
      <c r="AU389" s="93"/>
      <c r="AV389" s="93"/>
      <c r="AW389" s="93"/>
    </row>
    <row r="390" spans="1:49" x14ac:dyDescent="0.25">
      <c r="A390" s="59"/>
      <c r="B390" s="12"/>
      <c r="C390" s="12"/>
      <c r="D390" s="60"/>
      <c r="E390" s="6"/>
      <c r="F390" s="6"/>
      <c r="G390" s="12"/>
      <c r="H390" s="12"/>
      <c r="I390" s="12" t="str" cm="2">
        <f t="array" ref="I390">IFERROR(INDEX(BrandList!$B$2:$B$200,MATCH(TRUE,ISNUMBER(SEARCH(BrandList!$B$2:$B$200,G390)),0)),"")</f>
        <v/>
      </c>
      <c r="J390" s="12"/>
      <c r="K390" s="12"/>
      <c r="L390" s="60"/>
      <c r="M390" s="60"/>
      <c r="N390" s="60"/>
      <c r="O390" s="60"/>
      <c r="P390" s="7" t="str">
        <f t="shared" si="11"/>
        <v/>
      </c>
      <c r="Q390" s="8">
        <f>IFERROR(VLOOKUP(VALUE(A390),WEEKLY_DATA!$A:$H,2,0),0)</f>
        <v>0</v>
      </c>
      <c r="R390" s="8">
        <f>IFERROR(VLOOKUP(VALUE(A390),WEEKLY_DATA!$A:$H,3,0),0)</f>
        <v>0</v>
      </c>
      <c r="S390" s="8">
        <f>IFERROR(VLOOKUP(VALUE(A390),WEEKLY_DATA!$A:$H,4,0),0)</f>
        <v>0</v>
      </c>
      <c r="T390" s="51">
        <f>IFERROR(VLOOKUP(VALUE(A390),WEEKLY_DATA!$A:$H,5,0),0)</f>
        <v>0</v>
      </c>
      <c r="U390" s="51">
        <f>IFERROR(VLOOKUP(VALUE(A390),WEEKLY_DATA!$A:$H,6,0),0)</f>
        <v>0</v>
      </c>
      <c r="V390" s="51">
        <f>IFERROR(VLOOKUP(VALUE(A390),WEEKLY_DATA!$A:$H,7,0),0)</f>
        <v>0</v>
      </c>
      <c r="W390" s="9" t="str">
        <f>IFERROR(IF(OR(Q390="",Q390=0),"",IF(VLOOKUP(VALUE($A390),WEEKLY_DATA!$A:$H,6,0)=0,"No Sales",Q390/(VLOOKUP(VALUE($A390),WEEKLY_DATA!$A:$H,6,0)/13))),"")</f>
        <v/>
      </c>
      <c r="X390" s="10">
        <f>IFERROR(VLOOKUP(VALUE(A390),WEEKLY_DATA!$A:$H,8,0),0)</f>
        <v>0</v>
      </c>
      <c r="Y390" s="13" t="str">
        <f t="shared" ref="Y390:Y453" si="12">IFERROR(
IF(J390="Discontinued","🔴 EOL",
IF(J390="Drop Ship","📦 Drop Ship",
IF(J390="New","🆕 New",
IF(W390="","—",
IF(W390&lt;2,"🔴 Critical",
IF(W390&lt;4,"🟡 Low",
IF(W390&gt;26,"🔵 Overstock","🟢 Healthy")
)))))),"")</f>
        <v>—</v>
      </c>
      <c r="Z390" s="11"/>
      <c r="AA390" s="11"/>
      <c r="AB390" s="11"/>
      <c r="AC390" s="11"/>
      <c r="AD390" s="11"/>
      <c r="AE390" s="11"/>
      <c r="AF390" s="61"/>
      <c r="AG390" s="61"/>
      <c r="AH390" s="62"/>
      <c r="AI390" s="62"/>
      <c r="AJ390" s="61"/>
      <c r="AK390" s="61"/>
      <c r="AL390" s="61"/>
      <c r="AM390" s="58"/>
      <c r="AN390" s="58"/>
      <c r="AO390" s="58"/>
      <c r="AP390" s="58"/>
      <c r="AQ390" s="58"/>
      <c r="AR390" s="58"/>
      <c r="AS390" s="91"/>
      <c r="AT390" s="93"/>
      <c r="AU390" s="93"/>
      <c r="AV390" s="93"/>
      <c r="AW390" s="93"/>
    </row>
    <row r="391" spans="1:49" x14ac:dyDescent="0.25">
      <c r="A391" s="59"/>
      <c r="B391" s="12"/>
      <c r="C391" s="12"/>
      <c r="D391" s="60"/>
      <c r="E391" s="6"/>
      <c r="F391" s="6"/>
      <c r="G391" s="12"/>
      <c r="H391" s="12"/>
      <c r="I391" s="12" t="str" cm="2">
        <f t="array" ref="I391">IFERROR(INDEX(BrandList!$B$2:$B$200,MATCH(TRUE,ISNUMBER(SEARCH(BrandList!$B$2:$B$200,G391)),0)),"")</f>
        <v/>
      </c>
      <c r="J391" s="12"/>
      <c r="K391" s="12"/>
      <c r="L391" s="60"/>
      <c r="M391" s="60"/>
      <c r="N391" s="60"/>
      <c r="O391" s="60"/>
      <c r="P391" s="7" t="str">
        <f t="shared" ref="P391:P454" si="13">IFERROR(IF(OR(E391="",F391="",F391=0),"",(F391-E391)/F391),"")</f>
        <v/>
      </c>
      <c r="Q391" s="8">
        <f>IFERROR(VLOOKUP(VALUE(A391),WEEKLY_DATA!$A:$H,2,0),0)</f>
        <v>0</v>
      </c>
      <c r="R391" s="8">
        <f>IFERROR(VLOOKUP(VALUE(A391),WEEKLY_DATA!$A:$H,3,0),0)</f>
        <v>0</v>
      </c>
      <c r="S391" s="8">
        <f>IFERROR(VLOOKUP(VALUE(A391),WEEKLY_DATA!$A:$H,4,0),0)</f>
        <v>0</v>
      </c>
      <c r="T391" s="51">
        <f>IFERROR(VLOOKUP(VALUE(A391),WEEKLY_DATA!$A:$H,5,0),0)</f>
        <v>0</v>
      </c>
      <c r="U391" s="51">
        <f>IFERROR(VLOOKUP(VALUE(A391),WEEKLY_DATA!$A:$H,6,0),0)</f>
        <v>0</v>
      </c>
      <c r="V391" s="51">
        <f>IFERROR(VLOOKUP(VALUE(A391),WEEKLY_DATA!$A:$H,7,0),0)</f>
        <v>0</v>
      </c>
      <c r="W391" s="9" t="str">
        <f>IFERROR(IF(OR(Q391="",Q391=0),"",IF(VLOOKUP(VALUE($A391),WEEKLY_DATA!$A:$H,6,0)=0,"No Sales",Q391/(VLOOKUP(VALUE($A391),WEEKLY_DATA!$A:$H,6,0)/13))),"")</f>
        <v/>
      </c>
      <c r="X391" s="10">
        <f>IFERROR(VLOOKUP(VALUE(A391),WEEKLY_DATA!$A:$H,8,0),0)</f>
        <v>0</v>
      </c>
      <c r="Y391" s="13" t="str">
        <f t="shared" si="12"/>
        <v>—</v>
      </c>
      <c r="Z391" s="11"/>
      <c r="AA391" s="11"/>
      <c r="AB391" s="11"/>
      <c r="AC391" s="11"/>
      <c r="AD391" s="11"/>
      <c r="AE391" s="11"/>
      <c r="AF391" s="61"/>
      <c r="AG391" s="61"/>
      <c r="AH391" s="62"/>
      <c r="AI391" s="62"/>
      <c r="AJ391" s="61"/>
      <c r="AK391" s="61"/>
      <c r="AL391" s="61"/>
      <c r="AM391" s="58"/>
      <c r="AN391" s="58"/>
      <c r="AO391" s="58"/>
      <c r="AP391" s="58"/>
      <c r="AQ391" s="58"/>
      <c r="AR391" s="58"/>
      <c r="AS391" s="91"/>
      <c r="AT391" s="93"/>
      <c r="AU391" s="93"/>
      <c r="AV391" s="93"/>
      <c r="AW391" s="93"/>
    </row>
    <row r="392" spans="1:49" x14ac:dyDescent="0.25">
      <c r="A392" s="59"/>
      <c r="B392" s="12"/>
      <c r="C392" s="12"/>
      <c r="D392" s="60"/>
      <c r="E392" s="6"/>
      <c r="F392" s="6"/>
      <c r="G392" s="12"/>
      <c r="H392" s="12"/>
      <c r="I392" s="12" t="str" cm="2">
        <f t="array" ref="I392">IFERROR(INDEX(BrandList!$B$2:$B$200,MATCH(TRUE,ISNUMBER(SEARCH(BrandList!$B$2:$B$200,G392)),0)),"")</f>
        <v/>
      </c>
      <c r="J392" s="12"/>
      <c r="K392" s="12"/>
      <c r="L392" s="60"/>
      <c r="M392" s="60"/>
      <c r="N392" s="60"/>
      <c r="O392" s="60"/>
      <c r="P392" s="7" t="str">
        <f t="shared" si="13"/>
        <v/>
      </c>
      <c r="Q392" s="8">
        <f>IFERROR(VLOOKUP(VALUE(A392),WEEKLY_DATA!$A:$H,2,0),0)</f>
        <v>0</v>
      </c>
      <c r="R392" s="8">
        <f>IFERROR(VLOOKUP(VALUE(A392),WEEKLY_DATA!$A:$H,3,0),0)</f>
        <v>0</v>
      </c>
      <c r="S392" s="8">
        <f>IFERROR(VLOOKUP(VALUE(A392),WEEKLY_DATA!$A:$H,4,0),0)</f>
        <v>0</v>
      </c>
      <c r="T392" s="51">
        <f>IFERROR(VLOOKUP(VALUE(A392),WEEKLY_DATA!$A:$H,5,0),0)</f>
        <v>0</v>
      </c>
      <c r="U392" s="51">
        <f>IFERROR(VLOOKUP(VALUE(A392),WEEKLY_DATA!$A:$H,6,0),0)</f>
        <v>0</v>
      </c>
      <c r="V392" s="51">
        <f>IFERROR(VLOOKUP(VALUE(A392),WEEKLY_DATA!$A:$H,7,0),0)</f>
        <v>0</v>
      </c>
      <c r="W392" s="9" t="str">
        <f>IFERROR(IF(OR(Q392="",Q392=0),"",IF(VLOOKUP(VALUE($A392),WEEKLY_DATA!$A:$H,6,0)=0,"No Sales",Q392/(VLOOKUP(VALUE($A392),WEEKLY_DATA!$A:$H,6,0)/13))),"")</f>
        <v/>
      </c>
      <c r="X392" s="10">
        <f>IFERROR(VLOOKUP(VALUE(A392),WEEKLY_DATA!$A:$H,8,0),0)</f>
        <v>0</v>
      </c>
      <c r="Y392" s="13" t="str">
        <f t="shared" si="12"/>
        <v>—</v>
      </c>
      <c r="Z392" s="11"/>
      <c r="AA392" s="11"/>
      <c r="AB392" s="11"/>
      <c r="AC392" s="11"/>
      <c r="AD392" s="11"/>
      <c r="AE392" s="11"/>
      <c r="AF392" s="61"/>
      <c r="AG392" s="61"/>
      <c r="AH392" s="62"/>
      <c r="AI392" s="62"/>
      <c r="AJ392" s="61"/>
      <c r="AK392" s="61"/>
      <c r="AL392" s="61"/>
      <c r="AM392" s="58"/>
      <c r="AN392" s="58"/>
      <c r="AO392" s="58"/>
      <c r="AP392" s="58"/>
      <c r="AQ392" s="58"/>
      <c r="AR392" s="58"/>
      <c r="AS392" s="91"/>
      <c r="AT392" s="93"/>
      <c r="AU392" s="93"/>
      <c r="AV392" s="93"/>
      <c r="AW392" s="93"/>
    </row>
    <row r="393" spans="1:49" x14ac:dyDescent="0.25">
      <c r="A393" s="59"/>
      <c r="B393" s="12"/>
      <c r="C393" s="12"/>
      <c r="D393" s="60"/>
      <c r="E393" s="6"/>
      <c r="F393" s="6"/>
      <c r="G393" s="12"/>
      <c r="H393" s="12"/>
      <c r="I393" s="12" t="str" cm="2">
        <f t="array" ref="I393">IFERROR(INDEX(BrandList!$B$2:$B$200,MATCH(TRUE,ISNUMBER(SEARCH(BrandList!$B$2:$B$200,G393)),0)),"")</f>
        <v/>
      </c>
      <c r="J393" s="12"/>
      <c r="K393" s="12"/>
      <c r="L393" s="60"/>
      <c r="M393" s="60"/>
      <c r="N393" s="60"/>
      <c r="O393" s="60"/>
      <c r="P393" s="7" t="str">
        <f t="shared" si="13"/>
        <v/>
      </c>
      <c r="Q393" s="8">
        <f>IFERROR(VLOOKUP(VALUE(A393),WEEKLY_DATA!$A:$H,2,0),0)</f>
        <v>0</v>
      </c>
      <c r="R393" s="8">
        <f>IFERROR(VLOOKUP(VALUE(A393),WEEKLY_DATA!$A:$H,3,0),0)</f>
        <v>0</v>
      </c>
      <c r="S393" s="8">
        <f>IFERROR(VLOOKUP(VALUE(A393),WEEKLY_DATA!$A:$H,4,0),0)</f>
        <v>0</v>
      </c>
      <c r="T393" s="51">
        <f>IFERROR(VLOOKUP(VALUE(A393),WEEKLY_DATA!$A:$H,5,0),0)</f>
        <v>0</v>
      </c>
      <c r="U393" s="51">
        <f>IFERROR(VLOOKUP(VALUE(A393),WEEKLY_DATA!$A:$H,6,0),0)</f>
        <v>0</v>
      </c>
      <c r="V393" s="51">
        <f>IFERROR(VLOOKUP(VALUE(A393),WEEKLY_DATA!$A:$H,7,0),0)</f>
        <v>0</v>
      </c>
      <c r="W393" s="9" t="str">
        <f>IFERROR(IF(OR(Q393="",Q393=0),"",IF(VLOOKUP(VALUE($A393),WEEKLY_DATA!$A:$H,6,0)=0,"No Sales",Q393/(VLOOKUP(VALUE($A393),WEEKLY_DATA!$A:$H,6,0)/13))),"")</f>
        <v/>
      </c>
      <c r="X393" s="10">
        <f>IFERROR(VLOOKUP(VALUE(A393),WEEKLY_DATA!$A:$H,8,0),0)</f>
        <v>0</v>
      </c>
      <c r="Y393" s="13" t="str">
        <f t="shared" si="12"/>
        <v>—</v>
      </c>
      <c r="Z393" s="11"/>
      <c r="AA393" s="11"/>
      <c r="AB393" s="11"/>
      <c r="AC393" s="11"/>
      <c r="AD393" s="11"/>
      <c r="AE393" s="11"/>
      <c r="AF393" s="61"/>
      <c r="AG393" s="61"/>
      <c r="AH393" s="62"/>
      <c r="AI393" s="62"/>
      <c r="AJ393" s="61"/>
      <c r="AK393" s="61"/>
      <c r="AL393" s="61"/>
      <c r="AM393" s="58"/>
      <c r="AN393" s="58"/>
      <c r="AO393" s="58"/>
      <c r="AP393" s="58"/>
      <c r="AQ393" s="58"/>
      <c r="AR393" s="58"/>
      <c r="AS393" s="91"/>
      <c r="AT393" s="93"/>
      <c r="AU393" s="93"/>
      <c r="AV393" s="93"/>
      <c r="AW393" s="93"/>
    </row>
    <row r="394" spans="1:49" x14ac:dyDescent="0.25">
      <c r="A394" s="59"/>
      <c r="B394" s="12"/>
      <c r="C394" s="12"/>
      <c r="D394" s="60"/>
      <c r="E394" s="6"/>
      <c r="F394" s="6"/>
      <c r="G394" s="12"/>
      <c r="H394" s="12"/>
      <c r="I394" s="12" t="str" cm="2">
        <f t="array" ref="I394">IFERROR(INDEX(BrandList!$B$2:$B$200,MATCH(TRUE,ISNUMBER(SEARCH(BrandList!$B$2:$B$200,G394)),0)),"")</f>
        <v/>
      </c>
      <c r="J394" s="12"/>
      <c r="K394" s="12"/>
      <c r="L394" s="60"/>
      <c r="M394" s="60"/>
      <c r="N394" s="60"/>
      <c r="O394" s="60"/>
      <c r="P394" s="7" t="str">
        <f t="shared" si="13"/>
        <v/>
      </c>
      <c r="Q394" s="8">
        <f>IFERROR(VLOOKUP(VALUE(A394),WEEKLY_DATA!$A:$H,2,0),0)</f>
        <v>0</v>
      </c>
      <c r="R394" s="8">
        <f>IFERROR(VLOOKUP(VALUE(A394),WEEKLY_DATA!$A:$H,3,0),0)</f>
        <v>0</v>
      </c>
      <c r="S394" s="8">
        <f>IFERROR(VLOOKUP(VALUE(A394),WEEKLY_DATA!$A:$H,4,0),0)</f>
        <v>0</v>
      </c>
      <c r="T394" s="51">
        <f>IFERROR(VLOOKUP(VALUE(A394),WEEKLY_DATA!$A:$H,5,0),0)</f>
        <v>0</v>
      </c>
      <c r="U394" s="51">
        <f>IFERROR(VLOOKUP(VALUE(A394),WEEKLY_DATA!$A:$H,6,0),0)</f>
        <v>0</v>
      </c>
      <c r="V394" s="51">
        <f>IFERROR(VLOOKUP(VALUE(A394),WEEKLY_DATA!$A:$H,7,0),0)</f>
        <v>0</v>
      </c>
      <c r="W394" s="9" t="str">
        <f>IFERROR(IF(OR(Q394="",Q394=0),"",IF(VLOOKUP(VALUE($A394),WEEKLY_DATA!$A:$H,6,0)=0,"No Sales",Q394/(VLOOKUP(VALUE($A394),WEEKLY_DATA!$A:$H,6,0)/13))),"")</f>
        <v/>
      </c>
      <c r="X394" s="10">
        <f>IFERROR(VLOOKUP(VALUE(A394),WEEKLY_DATA!$A:$H,8,0),0)</f>
        <v>0</v>
      </c>
      <c r="Y394" s="13" t="str">
        <f t="shared" si="12"/>
        <v>—</v>
      </c>
      <c r="Z394" s="11"/>
      <c r="AA394" s="11"/>
      <c r="AB394" s="11"/>
      <c r="AC394" s="11"/>
      <c r="AD394" s="11"/>
      <c r="AE394" s="11"/>
      <c r="AF394" s="61"/>
      <c r="AG394" s="61"/>
      <c r="AH394" s="62"/>
      <c r="AI394" s="62"/>
      <c r="AJ394" s="61"/>
      <c r="AK394" s="61"/>
      <c r="AL394" s="61"/>
      <c r="AM394" s="58"/>
      <c r="AN394" s="58"/>
      <c r="AO394" s="58"/>
      <c r="AP394" s="58"/>
      <c r="AQ394" s="58"/>
      <c r="AR394" s="58"/>
      <c r="AS394" s="91"/>
      <c r="AT394" s="93"/>
      <c r="AU394" s="93"/>
      <c r="AV394" s="93"/>
      <c r="AW394" s="93"/>
    </row>
    <row r="395" spans="1:49" x14ac:dyDescent="0.25">
      <c r="A395" s="59"/>
      <c r="B395" s="12"/>
      <c r="C395" s="12"/>
      <c r="D395" s="60"/>
      <c r="E395" s="6"/>
      <c r="F395" s="6"/>
      <c r="G395" s="12"/>
      <c r="H395" s="12"/>
      <c r="I395" s="12" t="str" cm="2">
        <f t="array" ref="I395">IFERROR(INDEX(BrandList!$B$2:$B$200,MATCH(TRUE,ISNUMBER(SEARCH(BrandList!$B$2:$B$200,G395)),0)),"")</f>
        <v/>
      </c>
      <c r="J395" s="12"/>
      <c r="K395" s="12"/>
      <c r="L395" s="60"/>
      <c r="M395" s="60"/>
      <c r="N395" s="60"/>
      <c r="O395" s="60"/>
      <c r="P395" s="7" t="str">
        <f t="shared" si="13"/>
        <v/>
      </c>
      <c r="Q395" s="8">
        <f>IFERROR(VLOOKUP(VALUE(A395),WEEKLY_DATA!$A:$H,2,0),0)</f>
        <v>0</v>
      </c>
      <c r="R395" s="8">
        <f>IFERROR(VLOOKUP(VALUE(A395),WEEKLY_DATA!$A:$H,3,0),0)</f>
        <v>0</v>
      </c>
      <c r="S395" s="8">
        <f>IFERROR(VLOOKUP(VALUE(A395),WEEKLY_DATA!$A:$H,4,0),0)</f>
        <v>0</v>
      </c>
      <c r="T395" s="51">
        <f>IFERROR(VLOOKUP(VALUE(A395),WEEKLY_DATA!$A:$H,5,0),0)</f>
        <v>0</v>
      </c>
      <c r="U395" s="51">
        <f>IFERROR(VLOOKUP(VALUE(A395),WEEKLY_DATA!$A:$H,6,0),0)</f>
        <v>0</v>
      </c>
      <c r="V395" s="51">
        <f>IFERROR(VLOOKUP(VALUE(A395),WEEKLY_DATA!$A:$H,7,0),0)</f>
        <v>0</v>
      </c>
      <c r="W395" s="9" t="str">
        <f>IFERROR(IF(OR(Q395="",Q395=0),"",IF(VLOOKUP(VALUE($A395),WEEKLY_DATA!$A:$H,6,0)=0,"No Sales",Q395/(VLOOKUP(VALUE($A395),WEEKLY_DATA!$A:$H,6,0)/13))),"")</f>
        <v/>
      </c>
      <c r="X395" s="10">
        <f>IFERROR(VLOOKUP(VALUE(A395),WEEKLY_DATA!$A:$H,8,0),0)</f>
        <v>0</v>
      </c>
      <c r="Y395" s="13" t="str">
        <f t="shared" si="12"/>
        <v>—</v>
      </c>
      <c r="Z395" s="11"/>
      <c r="AA395" s="11"/>
      <c r="AB395" s="11"/>
      <c r="AC395" s="11"/>
      <c r="AD395" s="11"/>
      <c r="AE395" s="11"/>
      <c r="AF395" s="61"/>
      <c r="AG395" s="61"/>
      <c r="AH395" s="62"/>
      <c r="AI395" s="62"/>
      <c r="AJ395" s="61"/>
      <c r="AK395" s="61"/>
      <c r="AL395" s="61"/>
      <c r="AM395" s="58"/>
      <c r="AN395" s="58"/>
      <c r="AO395" s="58"/>
      <c r="AP395" s="58"/>
      <c r="AQ395" s="58"/>
      <c r="AR395" s="58"/>
      <c r="AS395" s="91"/>
      <c r="AT395" s="93"/>
      <c r="AU395" s="93"/>
      <c r="AV395" s="93"/>
      <c r="AW395" s="93"/>
    </row>
    <row r="396" spans="1:49" x14ac:dyDescent="0.25">
      <c r="A396" s="59"/>
      <c r="B396" s="12"/>
      <c r="C396" s="12"/>
      <c r="D396" s="60"/>
      <c r="E396" s="6"/>
      <c r="F396" s="6"/>
      <c r="G396" s="12"/>
      <c r="H396" s="12"/>
      <c r="I396" s="12" t="str" cm="2">
        <f t="array" ref="I396">IFERROR(INDEX(BrandList!$B$2:$B$200,MATCH(TRUE,ISNUMBER(SEARCH(BrandList!$B$2:$B$200,G396)),0)),"")</f>
        <v/>
      </c>
      <c r="J396" s="12"/>
      <c r="K396" s="12"/>
      <c r="L396" s="60"/>
      <c r="M396" s="60"/>
      <c r="N396" s="60"/>
      <c r="O396" s="60"/>
      <c r="P396" s="7" t="str">
        <f t="shared" si="13"/>
        <v/>
      </c>
      <c r="Q396" s="8">
        <f>IFERROR(VLOOKUP(VALUE(A396),WEEKLY_DATA!$A:$H,2,0),0)</f>
        <v>0</v>
      </c>
      <c r="R396" s="8">
        <f>IFERROR(VLOOKUP(VALUE(A396),WEEKLY_DATA!$A:$H,3,0),0)</f>
        <v>0</v>
      </c>
      <c r="S396" s="8">
        <f>IFERROR(VLOOKUP(VALUE(A396),WEEKLY_DATA!$A:$H,4,0),0)</f>
        <v>0</v>
      </c>
      <c r="T396" s="51">
        <f>IFERROR(VLOOKUP(VALUE(A396),WEEKLY_DATA!$A:$H,5,0),0)</f>
        <v>0</v>
      </c>
      <c r="U396" s="51">
        <f>IFERROR(VLOOKUP(VALUE(A396),WEEKLY_DATA!$A:$H,6,0),0)</f>
        <v>0</v>
      </c>
      <c r="V396" s="51">
        <f>IFERROR(VLOOKUP(VALUE(A396),WEEKLY_DATA!$A:$H,7,0),0)</f>
        <v>0</v>
      </c>
      <c r="W396" s="9" t="str">
        <f>IFERROR(IF(OR(Q396="",Q396=0),"",IF(VLOOKUP(VALUE($A396),WEEKLY_DATA!$A:$H,6,0)=0,"No Sales",Q396/(VLOOKUP(VALUE($A396),WEEKLY_DATA!$A:$H,6,0)/13))),"")</f>
        <v/>
      </c>
      <c r="X396" s="10">
        <f>IFERROR(VLOOKUP(VALUE(A396),WEEKLY_DATA!$A:$H,8,0),0)</f>
        <v>0</v>
      </c>
      <c r="Y396" s="13" t="str">
        <f t="shared" si="12"/>
        <v>—</v>
      </c>
      <c r="Z396" s="11"/>
      <c r="AA396" s="11"/>
      <c r="AB396" s="11"/>
      <c r="AC396" s="11"/>
      <c r="AD396" s="11"/>
      <c r="AE396" s="11"/>
      <c r="AF396" s="61"/>
      <c r="AG396" s="61"/>
      <c r="AH396" s="62"/>
      <c r="AI396" s="62"/>
      <c r="AJ396" s="61"/>
      <c r="AK396" s="61"/>
      <c r="AL396" s="61"/>
      <c r="AM396" s="58"/>
      <c r="AN396" s="58"/>
      <c r="AO396" s="58"/>
      <c r="AP396" s="58"/>
      <c r="AQ396" s="58"/>
      <c r="AR396" s="58"/>
      <c r="AS396" s="91"/>
      <c r="AT396" s="93"/>
      <c r="AU396" s="93"/>
      <c r="AV396" s="93"/>
      <c r="AW396" s="93"/>
    </row>
    <row r="397" spans="1:49" x14ac:dyDescent="0.25">
      <c r="A397" s="59"/>
      <c r="B397" s="12"/>
      <c r="C397" s="12"/>
      <c r="D397" s="60"/>
      <c r="E397" s="6"/>
      <c r="F397" s="6"/>
      <c r="G397" s="12"/>
      <c r="H397" s="12"/>
      <c r="I397" s="12" t="str" cm="2">
        <f t="array" ref="I397">IFERROR(INDEX(BrandList!$B$2:$B$200,MATCH(TRUE,ISNUMBER(SEARCH(BrandList!$B$2:$B$200,G397)),0)),"")</f>
        <v/>
      </c>
      <c r="J397" s="12"/>
      <c r="K397" s="12"/>
      <c r="L397" s="60"/>
      <c r="M397" s="60"/>
      <c r="N397" s="60"/>
      <c r="O397" s="60"/>
      <c r="P397" s="7" t="str">
        <f t="shared" si="13"/>
        <v/>
      </c>
      <c r="Q397" s="8">
        <f>IFERROR(VLOOKUP(VALUE(A397),WEEKLY_DATA!$A:$H,2,0),0)</f>
        <v>0</v>
      </c>
      <c r="R397" s="8">
        <f>IFERROR(VLOOKUP(VALUE(A397),WEEKLY_DATA!$A:$H,3,0),0)</f>
        <v>0</v>
      </c>
      <c r="S397" s="8">
        <f>IFERROR(VLOOKUP(VALUE(A397),WEEKLY_DATA!$A:$H,4,0),0)</f>
        <v>0</v>
      </c>
      <c r="T397" s="51">
        <f>IFERROR(VLOOKUP(VALUE(A397),WEEKLY_DATA!$A:$H,5,0),0)</f>
        <v>0</v>
      </c>
      <c r="U397" s="51">
        <f>IFERROR(VLOOKUP(VALUE(A397),WEEKLY_DATA!$A:$H,6,0),0)</f>
        <v>0</v>
      </c>
      <c r="V397" s="51">
        <f>IFERROR(VLOOKUP(VALUE(A397),WEEKLY_DATA!$A:$H,7,0),0)</f>
        <v>0</v>
      </c>
      <c r="W397" s="9" t="str">
        <f>IFERROR(IF(OR(Q397="",Q397=0),"",IF(VLOOKUP(VALUE($A397),WEEKLY_DATA!$A:$H,6,0)=0,"No Sales",Q397/(VLOOKUP(VALUE($A397),WEEKLY_DATA!$A:$H,6,0)/13))),"")</f>
        <v/>
      </c>
      <c r="X397" s="10">
        <f>IFERROR(VLOOKUP(VALUE(A397),WEEKLY_DATA!$A:$H,8,0),0)</f>
        <v>0</v>
      </c>
      <c r="Y397" s="13" t="str">
        <f t="shared" si="12"/>
        <v>—</v>
      </c>
      <c r="Z397" s="11"/>
      <c r="AA397" s="11"/>
      <c r="AB397" s="11"/>
      <c r="AC397" s="11"/>
      <c r="AD397" s="11"/>
      <c r="AE397" s="11"/>
      <c r="AF397" s="61"/>
      <c r="AG397" s="61"/>
      <c r="AH397" s="62"/>
      <c r="AI397" s="62"/>
      <c r="AJ397" s="61"/>
      <c r="AK397" s="61"/>
      <c r="AL397" s="61"/>
      <c r="AM397" s="58"/>
      <c r="AN397" s="58"/>
      <c r="AO397" s="58"/>
      <c r="AP397" s="58"/>
      <c r="AQ397" s="58"/>
      <c r="AR397" s="58"/>
      <c r="AS397" s="91"/>
      <c r="AT397" s="93"/>
      <c r="AU397" s="93"/>
      <c r="AV397" s="93"/>
      <c r="AW397" s="93"/>
    </row>
    <row r="398" spans="1:49" x14ac:dyDescent="0.25">
      <c r="A398" s="59"/>
      <c r="B398" s="12"/>
      <c r="C398" s="12"/>
      <c r="D398" s="60"/>
      <c r="E398" s="6"/>
      <c r="F398" s="6"/>
      <c r="G398" s="12"/>
      <c r="H398" s="12"/>
      <c r="I398" s="12" t="str" cm="2">
        <f t="array" ref="I398">IFERROR(INDEX(BrandList!$B$2:$B$200,MATCH(TRUE,ISNUMBER(SEARCH(BrandList!$B$2:$B$200,G398)),0)),"")</f>
        <v/>
      </c>
      <c r="J398" s="12"/>
      <c r="K398" s="12"/>
      <c r="L398" s="60"/>
      <c r="M398" s="60"/>
      <c r="N398" s="60"/>
      <c r="O398" s="60"/>
      <c r="P398" s="7" t="str">
        <f t="shared" si="13"/>
        <v/>
      </c>
      <c r="Q398" s="8">
        <f>IFERROR(VLOOKUP(VALUE(A398),WEEKLY_DATA!$A:$H,2,0),0)</f>
        <v>0</v>
      </c>
      <c r="R398" s="8">
        <f>IFERROR(VLOOKUP(VALUE(A398),WEEKLY_DATA!$A:$H,3,0),0)</f>
        <v>0</v>
      </c>
      <c r="S398" s="8">
        <f>IFERROR(VLOOKUP(VALUE(A398),WEEKLY_DATA!$A:$H,4,0),0)</f>
        <v>0</v>
      </c>
      <c r="T398" s="51">
        <f>IFERROR(VLOOKUP(VALUE(A398),WEEKLY_DATA!$A:$H,5,0),0)</f>
        <v>0</v>
      </c>
      <c r="U398" s="51">
        <f>IFERROR(VLOOKUP(VALUE(A398),WEEKLY_DATA!$A:$H,6,0),0)</f>
        <v>0</v>
      </c>
      <c r="V398" s="51">
        <f>IFERROR(VLOOKUP(VALUE(A398),WEEKLY_DATA!$A:$H,7,0),0)</f>
        <v>0</v>
      </c>
      <c r="W398" s="9" t="str">
        <f>IFERROR(IF(OR(Q398="",Q398=0),"",IF(VLOOKUP(VALUE($A398),WEEKLY_DATA!$A:$H,6,0)=0,"No Sales",Q398/(VLOOKUP(VALUE($A398),WEEKLY_DATA!$A:$H,6,0)/13))),"")</f>
        <v/>
      </c>
      <c r="X398" s="10">
        <f>IFERROR(VLOOKUP(VALUE(A398),WEEKLY_DATA!$A:$H,8,0),0)</f>
        <v>0</v>
      </c>
      <c r="Y398" s="13" t="str">
        <f t="shared" si="12"/>
        <v>—</v>
      </c>
      <c r="Z398" s="11"/>
      <c r="AA398" s="11"/>
      <c r="AB398" s="11"/>
      <c r="AC398" s="11"/>
      <c r="AD398" s="11"/>
      <c r="AE398" s="11"/>
      <c r="AF398" s="61"/>
      <c r="AG398" s="61"/>
      <c r="AH398" s="62"/>
      <c r="AI398" s="62"/>
      <c r="AJ398" s="61"/>
      <c r="AK398" s="61"/>
      <c r="AL398" s="61"/>
      <c r="AM398" s="58"/>
      <c r="AN398" s="58"/>
      <c r="AO398" s="58"/>
      <c r="AP398" s="58"/>
      <c r="AQ398" s="58"/>
      <c r="AR398" s="58"/>
      <c r="AS398" s="91"/>
      <c r="AT398" s="93"/>
      <c r="AU398" s="93"/>
      <c r="AV398" s="93"/>
      <c r="AW398" s="93"/>
    </row>
    <row r="399" spans="1:49" x14ac:dyDescent="0.25">
      <c r="A399" s="59"/>
      <c r="B399" s="12"/>
      <c r="C399" s="12"/>
      <c r="D399" s="60"/>
      <c r="E399" s="6"/>
      <c r="F399" s="6"/>
      <c r="G399" s="12"/>
      <c r="H399" s="12"/>
      <c r="I399" s="12" t="str" cm="2">
        <f t="array" ref="I399">IFERROR(INDEX(BrandList!$B$2:$B$200,MATCH(TRUE,ISNUMBER(SEARCH(BrandList!$B$2:$B$200,G399)),0)),"")</f>
        <v/>
      </c>
      <c r="J399" s="12"/>
      <c r="K399" s="12"/>
      <c r="L399" s="60"/>
      <c r="M399" s="60"/>
      <c r="N399" s="60"/>
      <c r="O399" s="60"/>
      <c r="P399" s="7" t="str">
        <f t="shared" si="13"/>
        <v/>
      </c>
      <c r="Q399" s="8">
        <f>IFERROR(VLOOKUP(VALUE(A399),WEEKLY_DATA!$A:$H,2,0),0)</f>
        <v>0</v>
      </c>
      <c r="R399" s="8">
        <f>IFERROR(VLOOKUP(VALUE(A399),WEEKLY_DATA!$A:$H,3,0),0)</f>
        <v>0</v>
      </c>
      <c r="S399" s="8">
        <f>IFERROR(VLOOKUP(VALUE(A399),WEEKLY_DATA!$A:$H,4,0),0)</f>
        <v>0</v>
      </c>
      <c r="T399" s="51">
        <f>IFERROR(VLOOKUP(VALUE(A399),WEEKLY_DATA!$A:$H,5,0),0)</f>
        <v>0</v>
      </c>
      <c r="U399" s="51">
        <f>IFERROR(VLOOKUP(VALUE(A399),WEEKLY_DATA!$A:$H,6,0),0)</f>
        <v>0</v>
      </c>
      <c r="V399" s="51">
        <f>IFERROR(VLOOKUP(VALUE(A399),WEEKLY_DATA!$A:$H,7,0),0)</f>
        <v>0</v>
      </c>
      <c r="W399" s="9" t="str">
        <f>IFERROR(IF(OR(Q399="",Q399=0),"",IF(VLOOKUP(VALUE($A399),WEEKLY_DATA!$A:$H,6,0)=0,"No Sales",Q399/(VLOOKUP(VALUE($A399),WEEKLY_DATA!$A:$H,6,0)/13))),"")</f>
        <v/>
      </c>
      <c r="X399" s="10">
        <f>IFERROR(VLOOKUP(VALUE(A399),WEEKLY_DATA!$A:$H,8,0),0)</f>
        <v>0</v>
      </c>
      <c r="Y399" s="13" t="str">
        <f t="shared" si="12"/>
        <v>—</v>
      </c>
      <c r="Z399" s="11"/>
      <c r="AA399" s="11"/>
      <c r="AB399" s="11"/>
      <c r="AC399" s="11"/>
      <c r="AD399" s="11"/>
      <c r="AE399" s="11"/>
      <c r="AF399" s="61"/>
      <c r="AG399" s="61"/>
      <c r="AH399" s="62"/>
      <c r="AI399" s="62"/>
      <c r="AJ399" s="61"/>
      <c r="AK399" s="61"/>
      <c r="AL399" s="61"/>
      <c r="AM399" s="58"/>
      <c r="AN399" s="58"/>
      <c r="AO399" s="58"/>
      <c r="AP399" s="58"/>
      <c r="AQ399" s="58"/>
      <c r="AR399" s="58"/>
      <c r="AS399" s="91"/>
      <c r="AT399" s="93"/>
      <c r="AU399" s="93"/>
      <c r="AV399" s="93"/>
      <c r="AW399" s="93"/>
    </row>
    <row r="400" spans="1:49" x14ac:dyDescent="0.25">
      <c r="A400" s="59"/>
      <c r="B400" s="12"/>
      <c r="C400" s="12"/>
      <c r="D400" s="60"/>
      <c r="E400" s="6"/>
      <c r="F400" s="6"/>
      <c r="G400" s="12"/>
      <c r="H400" s="12"/>
      <c r="I400" s="12" t="str" cm="2">
        <f t="array" ref="I400">IFERROR(INDEX(BrandList!$B$2:$B$200,MATCH(TRUE,ISNUMBER(SEARCH(BrandList!$B$2:$B$200,G400)),0)),"")</f>
        <v/>
      </c>
      <c r="J400" s="12"/>
      <c r="K400" s="12"/>
      <c r="L400" s="60"/>
      <c r="M400" s="60"/>
      <c r="N400" s="60"/>
      <c r="O400" s="60"/>
      <c r="P400" s="7" t="str">
        <f t="shared" si="13"/>
        <v/>
      </c>
      <c r="Q400" s="8">
        <f>IFERROR(VLOOKUP(VALUE(A400),WEEKLY_DATA!$A:$H,2,0),0)</f>
        <v>0</v>
      </c>
      <c r="R400" s="8">
        <f>IFERROR(VLOOKUP(VALUE(A400),WEEKLY_DATA!$A:$H,3,0),0)</f>
        <v>0</v>
      </c>
      <c r="S400" s="8">
        <f>IFERROR(VLOOKUP(VALUE(A400),WEEKLY_DATA!$A:$H,4,0),0)</f>
        <v>0</v>
      </c>
      <c r="T400" s="51">
        <f>IFERROR(VLOOKUP(VALUE(A400),WEEKLY_DATA!$A:$H,5,0),0)</f>
        <v>0</v>
      </c>
      <c r="U400" s="51">
        <f>IFERROR(VLOOKUP(VALUE(A400),WEEKLY_DATA!$A:$H,6,0),0)</f>
        <v>0</v>
      </c>
      <c r="V400" s="51">
        <f>IFERROR(VLOOKUP(VALUE(A400),WEEKLY_DATA!$A:$H,7,0),0)</f>
        <v>0</v>
      </c>
      <c r="W400" s="9" t="str">
        <f>IFERROR(IF(OR(Q400="",Q400=0),"",IF(VLOOKUP(VALUE($A400),WEEKLY_DATA!$A:$H,6,0)=0,"No Sales",Q400/(VLOOKUP(VALUE($A400),WEEKLY_DATA!$A:$H,6,0)/13))),"")</f>
        <v/>
      </c>
      <c r="X400" s="10">
        <f>IFERROR(VLOOKUP(VALUE(A400),WEEKLY_DATA!$A:$H,8,0),0)</f>
        <v>0</v>
      </c>
      <c r="Y400" s="13" t="str">
        <f t="shared" si="12"/>
        <v>—</v>
      </c>
      <c r="Z400" s="11"/>
      <c r="AA400" s="11"/>
      <c r="AB400" s="11"/>
      <c r="AC400" s="11"/>
      <c r="AD400" s="11"/>
      <c r="AE400" s="11"/>
      <c r="AF400" s="61"/>
      <c r="AG400" s="61"/>
      <c r="AH400" s="62"/>
      <c r="AI400" s="62"/>
      <c r="AJ400" s="61"/>
      <c r="AK400" s="61"/>
      <c r="AL400" s="61"/>
      <c r="AM400" s="58"/>
      <c r="AN400" s="58"/>
      <c r="AO400" s="58"/>
      <c r="AP400" s="58"/>
      <c r="AQ400" s="58"/>
      <c r="AR400" s="58"/>
      <c r="AS400" s="91"/>
      <c r="AT400" s="93"/>
      <c r="AU400" s="93"/>
      <c r="AV400" s="93"/>
      <c r="AW400" s="93"/>
    </row>
    <row r="401" spans="1:49" x14ac:dyDescent="0.25">
      <c r="A401" s="59"/>
      <c r="B401" s="12"/>
      <c r="C401" s="12"/>
      <c r="D401" s="60"/>
      <c r="E401" s="6"/>
      <c r="F401" s="6"/>
      <c r="G401" s="12"/>
      <c r="H401" s="12"/>
      <c r="I401" s="12" t="str" cm="2">
        <f t="array" ref="I401">IFERROR(INDEX(BrandList!$B$2:$B$200,MATCH(TRUE,ISNUMBER(SEARCH(BrandList!$B$2:$B$200,G401)),0)),"")</f>
        <v/>
      </c>
      <c r="J401" s="12"/>
      <c r="K401" s="12"/>
      <c r="L401" s="60"/>
      <c r="M401" s="60"/>
      <c r="N401" s="60"/>
      <c r="O401" s="60"/>
      <c r="P401" s="7" t="str">
        <f t="shared" si="13"/>
        <v/>
      </c>
      <c r="Q401" s="8">
        <f>IFERROR(VLOOKUP(VALUE(A401),WEEKLY_DATA!$A:$H,2,0),0)</f>
        <v>0</v>
      </c>
      <c r="R401" s="8">
        <f>IFERROR(VLOOKUP(VALUE(A401),WEEKLY_DATA!$A:$H,3,0),0)</f>
        <v>0</v>
      </c>
      <c r="S401" s="8">
        <f>IFERROR(VLOOKUP(VALUE(A401),WEEKLY_DATA!$A:$H,4,0),0)</f>
        <v>0</v>
      </c>
      <c r="T401" s="51">
        <f>IFERROR(VLOOKUP(VALUE(A401),WEEKLY_DATA!$A:$H,5,0),0)</f>
        <v>0</v>
      </c>
      <c r="U401" s="51">
        <f>IFERROR(VLOOKUP(VALUE(A401),WEEKLY_DATA!$A:$H,6,0),0)</f>
        <v>0</v>
      </c>
      <c r="V401" s="51">
        <f>IFERROR(VLOOKUP(VALUE(A401),WEEKLY_DATA!$A:$H,7,0),0)</f>
        <v>0</v>
      </c>
      <c r="W401" s="9" t="str">
        <f>IFERROR(IF(OR(Q401="",Q401=0),"",IF(VLOOKUP(VALUE($A401),WEEKLY_DATA!$A:$H,6,0)=0,"No Sales",Q401/(VLOOKUP(VALUE($A401),WEEKLY_DATA!$A:$H,6,0)/13))),"")</f>
        <v/>
      </c>
      <c r="X401" s="10">
        <f>IFERROR(VLOOKUP(VALUE(A401),WEEKLY_DATA!$A:$H,8,0),0)</f>
        <v>0</v>
      </c>
      <c r="Y401" s="13" t="str">
        <f t="shared" si="12"/>
        <v>—</v>
      </c>
      <c r="Z401" s="11"/>
      <c r="AA401" s="11"/>
      <c r="AB401" s="11"/>
      <c r="AC401" s="11"/>
      <c r="AD401" s="11"/>
      <c r="AE401" s="11"/>
      <c r="AF401" s="61"/>
      <c r="AG401" s="61"/>
      <c r="AH401" s="62"/>
      <c r="AI401" s="62"/>
      <c r="AJ401" s="61"/>
      <c r="AK401" s="61"/>
      <c r="AL401" s="61"/>
      <c r="AM401" s="58"/>
      <c r="AN401" s="58"/>
      <c r="AO401" s="58"/>
      <c r="AP401" s="58"/>
      <c r="AQ401" s="58"/>
      <c r="AR401" s="58"/>
      <c r="AS401" s="91"/>
      <c r="AT401" s="93"/>
      <c r="AU401" s="93"/>
      <c r="AV401" s="93"/>
      <c r="AW401" s="93"/>
    </row>
    <row r="402" spans="1:49" x14ac:dyDescent="0.25">
      <c r="A402" s="59"/>
      <c r="B402" s="12"/>
      <c r="C402" s="12"/>
      <c r="D402" s="60"/>
      <c r="E402" s="6"/>
      <c r="F402" s="6"/>
      <c r="G402" s="12"/>
      <c r="H402" s="12"/>
      <c r="I402" s="12" t="str" cm="2">
        <f t="array" ref="I402">IFERROR(INDEX(BrandList!$B$2:$B$200,MATCH(TRUE,ISNUMBER(SEARCH(BrandList!$B$2:$B$200,G402)),0)),"")</f>
        <v/>
      </c>
      <c r="J402" s="12"/>
      <c r="K402" s="12"/>
      <c r="L402" s="60"/>
      <c r="M402" s="60"/>
      <c r="N402" s="60"/>
      <c r="O402" s="60"/>
      <c r="P402" s="7" t="str">
        <f t="shared" si="13"/>
        <v/>
      </c>
      <c r="Q402" s="8">
        <f>IFERROR(VLOOKUP(VALUE(A402),WEEKLY_DATA!$A:$H,2,0),0)</f>
        <v>0</v>
      </c>
      <c r="R402" s="8">
        <f>IFERROR(VLOOKUP(VALUE(A402),WEEKLY_DATA!$A:$H,3,0),0)</f>
        <v>0</v>
      </c>
      <c r="S402" s="8">
        <f>IFERROR(VLOOKUP(VALUE(A402),WEEKLY_DATA!$A:$H,4,0),0)</f>
        <v>0</v>
      </c>
      <c r="T402" s="51">
        <f>IFERROR(VLOOKUP(VALUE(A402),WEEKLY_DATA!$A:$H,5,0),0)</f>
        <v>0</v>
      </c>
      <c r="U402" s="51">
        <f>IFERROR(VLOOKUP(VALUE(A402),WEEKLY_DATA!$A:$H,6,0),0)</f>
        <v>0</v>
      </c>
      <c r="V402" s="51">
        <f>IFERROR(VLOOKUP(VALUE(A402),WEEKLY_DATA!$A:$H,7,0),0)</f>
        <v>0</v>
      </c>
      <c r="W402" s="9" t="str">
        <f>IFERROR(IF(OR(Q402="",Q402=0),"",IF(VLOOKUP(VALUE($A402),WEEKLY_DATA!$A:$H,6,0)=0,"No Sales",Q402/(VLOOKUP(VALUE($A402),WEEKLY_DATA!$A:$H,6,0)/13))),"")</f>
        <v/>
      </c>
      <c r="X402" s="10">
        <f>IFERROR(VLOOKUP(VALUE(A402),WEEKLY_DATA!$A:$H,8,0),0)</f>
        <v>0</v>
      </c>
      <c r="Y402" s="13" t="str">
        <f t="shared" si="12"/>
        <v>—</v>
      </c>
      <c r="Z402" s="11"/>
      <c r="AA402" s="11"/>
      <c r="AB402" s="11"/>
      <c r="AC402" s="11"/>
      <c r="AD402" s="11"/>
      <c r="AE402" s="11"/>
      <c r="AF402" s="61"/>
      <c r="AG402" s="61"/>
      <c r="AH402" s="62"/>
      <c r="AI402" s="62"/>
      <c r="AJ402" s="61"/>
      <c r="AK402" s="61"/>
      <c r="AL402" s="61"/>
      <c r="AM402" s="58"/>
      <c r="AN402" s="58"/>
      <c r="AO402" s="58"/>
      <c r="AP402" s="58"/>
      <c r="AQ402" s="58"/>
      <c r="AR402" s="58"/>
      <c r="AS402" s="91"/>
      <c r="AT402" s="93"/>
      <c r="AU402" s="93"/>
      <c r="AV402" s="93"/>
      <c r="AW402" s="93"/>
    </row>
    <row r="403" spans="1:49" x14ac:dyDescent="0.25">
      <c r="A403" s="59"/>
      <c r="B403" s="12"/>
      <c r="C403" s="12"/>
      <c r="D403" s="60"/>
      <c r="E403" s="6"/>
      <c r="F403" s="6"/>
      <c r="G403" s="12"/>
      <c r="H403" s="12"/>
      <c r="I403" s="12" t="str" cm="2">
        <f t="array" ref="I403">IFERROR(INDEX(BrandList!$B$2:$B$200,MATCH(TRUE,ISNUMBER(SEARCH(BrandList!$B$2:$B$200,G403)),0)),"")</f>
        <v/>
      </c>
      <c r="J403" s="12"/>
      <c r="K403" s="12"/>
      <c r="L403" s="60"/>
      <c r="M403" s="60"/>
      <c r="N403" s="60"/>
      <c r="O403" s="60"/>
      <c r="P403" s="7" t="str">
        <f t="shared" si="13"/>
        <v/>
      </c>
      <c r="Q403" s="8">
        <f>IFERROR(VLOOKUP(VALUE(A403),WEEKLY_DATA!$A:$H,2,0),0)</f>
        <v>0</v>
      </c>
      <c r="R403" s="8">
        <f>IFERROR(VLOOKUP(VALUE(A403),WEEKLY_DATA!$A:$H,3,0),0)</f>
        <v>0</v>
      </c>
      <c r="S403" s="8">
        <f>IFERROR(VLOOKUP(VALUE(A403),WEEKLY_DATA!$A:$H,4,0),0)</f>
        <v>0</v>
      </c>
      <c r="T403" s="51">
        <f>IFERROR(VLOOKUP(VALUE(A403),WEEKLY_DATA!$A:$H,5,0),0)</f>
        <v>0</v>
      </c>
      <c r="U403" s="51">
        <f>IFERROR(VLOOKUP(VALUE(A403),WEEKLY_DATA!$A:$H,6,0),0)</f>
        <v>0</v>
      </c>
      <c r="V403" s="51">
        <f>IFERROR(VLOOKUP(VALUE(A403),WEEKLY_DATA!$A:$H,7,0),0)</f>
        <v>0</v>
      </c>
      <c r="W403" s="9" t="str">
        <f>IFERROR(IF(OR(Q403="",Q403=0),"",IF(VLOOKUP(VALUE($A403),WEEKLY_DATA!$A:$H,6,0)=0,"No Sales",Q403/(VLOOKUP(VALUE($A403),WEEKLY_DATA!$A:$H,6,0)/13))),"")</f>
        <v/>
      </c>
      <c r="X403" s="10">
        <f>IFERROR(VLOOKUP(VALUE(A403),WEEKLY_DATA!$A:$H,8,0),0)</f>
        <v>0</v>
      </c>
      <c r="Y403" s="13" t="str">
        <f t="shared" si="12"/>
        <v>—</v>
      </c>
      <c r="Z403" s="11"/>
      <c r="AA403" s="11"/>
      <c r="AB403" s="11"/>
      <c r="AC403" s="11"/>
      <c r="AD403" s="11"/>
      <c r="AE403" s="11"/>
      <c r="AF403" s="61"/>
      <c r="AG403" s="61"/>
      <c r="AH403" s="62"/>
      <c r="AI403" s="62"/>
      <c r="AJ403" s="61"/>
      <c r="AK403" s="61"/>
      <c r="AL403" s="61"/>
      <c r="AM403" s="58"/>
      <c r="AN403" s="58"/>
      <c r="AO403" s="58"/>
      <c r="AP403" s="58"/>
      <c r="AQ403" s="58"/>
      <c r="AR403" s="58"/>
      <c r="AS403" s="91"/>
      <c r="AT403" s="93"/>
      <c r="AU403" s="93"/>
      <c r="AV403" s="93"/>
      <c r="AW403" s="93"/>
    </row>
    <row r="404" spans="1:49" x14ac:dyDescent="0.25">
      <c r="A404" s="59"/>
      <c r="B404" s="12"/>
      <c r="C404" s="12"/>
      <c r="D404" s="60"/>
      <c r="E404" s="6"/>
      <c r="F404" s="6"/>
      <c r="G404" s="12"/>
      <c r="H404" s="12"/>
      <c r="I404" s="12" t="str" cm="2">
        <f t="array" ref="I404">IFERROR(INDEX(BrandList!$B$2:$B$200,MATCH(TRUE,ISNUMBER(SEARCH(BrandList!$B$2:$B$200,G404)),0)),"")</f>
        <v/>
      </c>
      <c r="J404" s="12"/>
      <c r="K404" s="12"/>
      <c r="L404" s="60"/>
      <c r="M404" s="60"/>
      <c r="N404" s="60"/>
      <c r="O404" s="60"/>
      <c r="P404" s="7" t="str">
        <f t="shared" si="13"/>
        <v/>
      </c>
      <c r="Q404" s="8">
        <f>IFERROR(VLOOKUP(VALUE(A404),WEEKLY_DATA!$A:$H,2,0),0)</f>
        <v>0</v>
      </c>
      <c r="R404" s="8">
        <f>IFERROR(VLOOKUP(VALUE(A404),WEEKLY_DATA!$A:$H,3,0),0)</f>
        <v>0</v>
      </c>
      <c r="S404" s="8">
        <f>IFERROR(VLOOKUP(VALUE(A404),WEEKLY_DATA!$A:$H,4,0),0)</f>
        <v>0</v>
      </c>
      <c r="T404" s="51">
        <f>IFERROR(VLOOKUP(VALUE(A404),WEEKLY_DATA!$A:$H,5,0),0)</f>
        <v>0</v>
      </c>
      <c r="U404" s="51">
        <f>IFERROR(VLOOKUP(VALUE(A404),WEEKLY_DATA!$A:$H,6,0),0)</f>
        <v>0</v>
      </c>
      <c r="V404" s="51">
        <f>IFERROR(VLOOKUP(VALUE(A404),WEEKLY_DATA!$A:$H,7,0),0)</f>
        <v>0</v>
      </c>
      <c r="W404" s="9" t="str">
        <f>IFERROR(IF(OR(Q404="",Q404=0),"",IF(VLOOKUP(VALUE($A404),WEEKLY_DATA!$A:$H,6,0)=0,"No Sales",Q404/(VLOOKUP(VALUE($A404),WEEKLY_DATA!$A:$H,6,0)/13))),"")</f>
        <v/>
      </c>
      <c r="X404" s="10">
        <f>IFERROR(VLOOKUP(VALUE(A404),WEEKLY_DATA!$A:$H,8,0),0)</f>
        <v>0</v>
      </c>
      <c r="Y404" s="13" t="str">
        <f t="shared" si="12"/>
        <v>—</v>
      </c>
      <c r="Z404" s="11"/>
      <c r="AA404" s="11"/>
      <c r="AB404" s="11"/>
      <c r="AC404" s="11"/>
      <c r="AD404" s="11"/>
      <c r="AE404" s="11"/>
      <c r="AF404" s="61"/>
      <c r="AG404" s="61"/>
      <c r="AH404" s="62"/>
      <c r="AI404" s="62"/>
      <c r="AJ404" s="61"/>
      <c r="AK404" s="61"/>
      <c r="AL404" s="61"/>
      <c r="AM404" s="58"/>
      <c r="AN404" s="58"/>
      <c r="AO404" s="58"/>
      <c r="AP404" s="58"/>
      <c r="AQ404" s="58"/>
      <c r="AR404" s="58"/>
      <c r="AS404" s="91"/>
      <c r="AT404" s="93"/>
      <c r="AU404" s="93"/>
      <c r="AV404" s="93"/>
      <c r="AW404" s="93"/>
    </row>
    <row r="405" spans="1:49" x14ac:dyDescent="0.25">
      <c r="A405" s="59"/>
      <c r="B405" s="12"/>
      <c r="C405" s="12"/>
      <c r="D405" s="60"/>
      <c r="E405" s="6"/>
      <c r="F405" s="6"/>
      <c r="G405" s="12"/>
      <c r="H405" s="12"/>
      <c r="I405" s="12" t="str" cm="2">
        <f t="array" ref="I405">IFERROR(INDEX(BrandList!$B$2:$B$200,MATCH(TRUE,ISNUMBER(SEARCH(BrandList!$B$2:$B$200,G405)),0)),"")</f>
        <v/>
      </c>
      <c r="J405" s="12"/>
      <c r="K405" s="12"/>
      <c r="L405" s="60"/>
      <c r="M405" s="60"/>
      <c r="N405" s="60"/>
      <c r="O405" s="60"/>
      <c r="P405" s="7" t="str">
        <f t="shared" si="13"/>
        <v/>
      </c>
      <c r="Q405" s="8">
        <f>IFERROR(VLOOKUP(VALUE(A405),WEEKLY_DATA!$A:$H,2,0),0)</f>
        <v>0</v>
      </c>
      <c r="R405" s="8">
        <f>IFERROR(VLOOKUP(VALUE(A405),WEEKLY_DATA!$A:$H,3,0),0)</f>
        <v>0</v>
      </c>
      <c r="S405" s="8">
        <f>IFERROR(VLOOKUP(VALUE(A405),WEEKLY_DATA!$A:$H,4,0),0)</f>
        <v>0</v>
      </c>
      <c r="T405" s="51">
        <f>IFERROR(VLOOKUP(VALUE(A405),WEEKLY_DATA!$A:$H,5,0),0)</f>
        <v>0</v>
      </c>
      <c r="U405" s="51">
        <f>IFERROR(VLOOKUP(VALUE(A405),WEEKLY_DATA!$A:$H,6,0),0)</f>
        <v>0</v>
      </c>
      <c r="V405" s="51">
        <f>IFERROR(VLOOKUP(VALUE(A405),WEEKLY_DATA!$A:$H,7,0),0)</f>
        <v>0</v>
      </c>
      <c r="W405" s="9" t="str">
        <f>IFERROR(IF(OR(Q405="",Q405=0),"",IF(VLOOKUP(VALUE($A405),WEEKLY_DATA!$A:$H,6,0)=0,"No Sales",Q405/(VLOOKUP(VALUE($A405),WEEKLY_DATA!$A:$H,6,0)/13))),"")</f>
        <v/>
      </c>
      <c r="X405" s="10">
        <f>IFERROR(VLOOKUP(VALUE(A405),WEEKLY_DATA!$A:$H,8,0),0)</f>
        <v>0</v>
      </c>
      <c r="Y405" s="13" t="str">
        <f t="shared" si="12"/>
        <v>—</v>
      </c>
      <c r="Z405" s="11"/>
      <c r="AA405" s="11"/>
      <c r="AB405" s="11"/>
      <c r="AC405" s="11"/>
      <c r="AD405" s="11"/>
      <c r="AE405" s="11"/>
      <c r="AF405" s="61"/>
      <c r="AG405" s="61"/>
      <c r="AH405" s="62"/>
      <c r="AI405" s="62"/>
      <c r="AJ405" s="61"/>
      <c r="AK405" s="61"/>
      <c r="AL405" s="61"/>
      <c r="AM405" s="58"/>
      <c r="AN405" s="58"/>
      <c r="AO405" s="58"/>
      <c r="AP405" s="58"/>
      <c r="AQ405" s="58"/>
      <c r="AR405" s="58"/>
      <c r="AS405" s="91"/>
      <c r="AT405" s="93"/>
      <c r="AU405" s="93"/>
      <c r="AV405" s="93"/>
      <c r="AW405" s="93"/>
    </row>
    <row r="406" spans="1:49" x14ac:dyDescent="0.25">
      <c r="A406" s="59"/>
      <c r="B406" s="12"/>
      <c r="C406" s="12"/>
      <c r="D406" s="60"/>
      <c r="E406" s="6"/>
      <c r="F406" s="6"/>
      <c r="G406" s="12"/>
      <c r="H406" s="12"/>
      <c r="I406" s="12" t="str" cm="2">
        <f t="array" ref="I406">IFERROR(INDEX(BrandList!$B$2:$B$200,MATCH(TRUE,ISNUMBER(SEARCH(BrandList!$B$2:$B$200,G406)),0)),"")</f>
        <v/>
      </c>
      <c r="J406" s="12"/>
      <c r="K406" s="12"/>
      <c r="L406" s="60"/>
      <c r="M406" s="60"/>
      <c r="N406" s="60"/>
      <c r="O406" s="60"/>
      <c r="P406" s="7" t="str">
        <f t="shared" si="13"/>
        <v/>
      </c>
      <c r="Q406" s="8">
        <f>IFERROR(VLOOKUP(VALUE(A406),WEEKLY_DATA!$A:$H,2,0),0)</f>
        <v>0</v>
      </c>
      <c r="R406" s="8">
        <f>IFERROR(VLOOKUP(VALUE(A406),WEEKLY_DATA!$A:$H,3,0),0)</f>
        <v>0</v>
      </c>
      <c r="S406" s="8">
        <f>IFERROR(VLOOKUP(VALUE(A406),WEEKLY_DATA!$A:$H,4,0),0)</f>
        <v>0</v>
      </c>
      <c r="T406" s="51">
        <f>IFERROR(VLOOKUP(VALUE(A406),WEEKLY_DATA!$A:$H,5,0),0)</f>
        <v>0</v>
      </c>
      <c r="U406" s="51">
        <f>IFERROR(VLOOKUP(VALUE(A406),WEEKLY_DATA!$A:$H,6,0),0)</f>
        <v>0</v>
      </c>
      <c r="V406" s="51">
        <f>IFERROR(VLOOKUP(VALUE(A406),WEEKLY_DATA!$A:$H,7,0),0)</f>
        <v>0</v>
      </c>
      <c r="W406" s="9" t="str">
        <f>IFERROR(IF(OR(Q406="",Q406=0),"",IF(VLOOKUP(VALUE($A406),WEEKLY_DATA!$A:$H,6,0)=0,"No Sales",Q406/(VLOOKUP(VALUE($A406),WEEKLY_DATA!$A:$H,6,0)/13))),"")</f>
        <v/>
      </c>
      <c r="X406" s="10">
        <f>IFERROR(VLOOKUP(VALUE(A406),WEEKLY_DATA!$A:$H,8,0),0)</f>
        <v>0</v>
      </c>
      <c r="Y406" s="13" t="str">
        <f t="shared" si="12"/>
        <v>—</v>
      </c>
      <c r="Z406" s="11"/>
      <c r="AA406" s="11"/>
      <c r="AB406" s="11"/>
      <c r="AC406" s="11"/>
      <c r="AD406" s="11"/>
      <c r="AE406" s="11"/>
      <c r="AF406" s="61"/>
      <c r="AG406" s="61"/>
      <c r="AH406" s="62"/>
      <c r="AI406" s="62"/>
      <c r="AJ406" s="61"/>
      <c r="AK406" s="61"/>
      <c r="AL406" s="61"/>
      <c r="AM406" s="58"/>
      <c r="AN406" s="58"/>
      <c r="AO406" s="58"/>
      <c r="AP406" s="58"/>
      <c r="AQ406" s="58"/>
      <c r="AR406" s="58"/>
      <c r="AS406" s="91"/>
      <c r="AT406" s="93"/>
      <c r="AU406" s="93"/>
      <c r="AV406" s="93"/>
      <c r="AW406" s="93"/>
    </row>
    <row r="407" spans="1:49" x14ac:dyDescent="0.25">
      <c r="A407" s="59"/>
      <c r="B407" s="12"/>
      <c r="C407" s="12"/>
      <c r="D407" s="60"/>
      <c r="E407" s="6"/>
      <c r="F407" s="6"/>
      <c r="G407" s="12"/>
      <c r="H407" s="12"/>
      <c r="I407" s="12" t="str" cm="2">
        <f t="array" ref="I407">IFERROR(INDEX(BrandList!$B$2:$B$200,MATCH(TRUE,ISNUMBER(SEARCH(BrandList!$B$2:$B$200,G407)),0)),"")</f>
        <v/>
      </c>
      <c r="J407" s="12"/>
      <c r="K407" s="12"/>
      <c r="L407" s="60"/>
      <c r="M407" s="60"/>
      <c r="N407" s="60"/>
      <c r="O407" s="60"/>
      <c r="P407" s="7" t="str">
        <f t="shared" si="13"/>
        <v/>
      </c>
      <c r="Q407" s="8">
        <f>IFERROR(VLOOKUP(VALUE(A407),WEEKLY_DATA!$A:$H,2,0),0)</f>
        <v>0</v>
      </c>
      <c r="R407" s="8">
        <f>IFERROR(VLOOKUP(VALUE(A407),WEEKLY_DATA!$A:$H,3,0),0)</f>
        <v>0</v>
      </c>
      <c r="S407" s="8">
        <f>IFERROR(VLOOKUP(VALUE(A407),WEEKLY_DATA!$A:$H,4,0),0)</f>
        <v>0</v>
      </c>
      <c r="T407" s="51">
        <f>IFERROR(VLOOKUP(VALUE(A407),WEEKLY_DATA!$A:$H,5,0),0)</f>
        <v>0</v>
      </c>
      <c r="U407" s="51">
        <f>IFERROR(VLOOKUP(VALUE(A407),WEEKLY_DATA!$A:$H,6,0),0)</f>
        <v>0</v>
      </c>
      <c r="V407" s="51">
        <f>IFERROR(VLOOKUP(VALUE(A407),WEEKLY_DATA!$A:$H,7,0),0)</f>
        <v>0</v>
      </c>
      <c r="W407" s="9" t="str">
        <f>IFERROR(IF(OR(Q407="",Q407=0),"",IF(VLOOKUP(VALUE($A407),WEEKLY_DATA!$A:$H,6,0)=0,"No Sales",Q407/(VLOOKUP(VALUE($A407),WEEKLY_DATA!$A:$H,6,0)/13))),"")</f>
        <v/>
      </c>
      <c r="X407" s="10">
        <f>IFERROR(VLOOKUP(VALUE(A407),WEEKLY_DATA!$A:$H,8,0),0)</f>
        <v>0</v>
      </c>
      <c r="Y407" s="13" t="str">
        <f t="shared" si="12"/>
        <v>—</v>
      </c>
      <c r="Z407" s="11"/>
      <c r="AA407" s="11"/>
      <c r="AB407" s="11"/>
      <c r="AC407" s="11"/>
      <c r="AD407" s="11"/>
      <c r="AE407" s="11"/>
      <c r="AF407" s="61"/>
      <c r="AG407" s="61"/>
      <c r="AH407" s="62"/>
      <c r="AI407" s="62"/>
      <c r="AJ407" s="61"/>
      <c r="AK407" s="61"/>
      <c r="AL407" s="61"/>
      <c r="AM407" s="58"/>
      <c r="AN407" s="58"/>
      <c r="AO407" s="58"/>
      <c r="AP407" s="58"/>
      <c r="AQ407" s="58"/>
      <c r="AR407" s="58"/>
      <c r="AS407" s="91"/>
      <c r="AT407" s="93"/>
      <c r="AU407" s="93"/>
      <c r="AV407" s="93"/>
      <c r="AW407" s="93"/>
    </row>
    <row r="408" spans="1:49" x14ac:dyDescent="0.25">
      <c r="A408" s="59"/>
      <c r="B408" s="12"/>
      <c r="C408" s="12"/>
      <c r="D408" s="60"/>
      <c r="E408" s="6"/>
      <c r="F408" s="6"/>
      <c r="G408" s="12"/>
      <c r="H408" s="12"/>
      <c r="I408" s="12" t="str" cm="2">
        <f t="array" ref="I408">IFERROR(INDEX(BrandList!$B$2:$B$200,MATCH(TRUE,ISNUMBER(SEARCH(BrandList!$B$2:$B$200,G408)),0)),"")</f>
        <v/>
      </c>
      <c r="J408" s="12"/>
      <c r="K408" s="12"/>
      <c r="L408" s="60"/>
      <c r="M408" s="60"/>
      <c r="N408" s="60"/>
      <c r="O408" s="60"/>
      <c r="P408" s="7" t="str">
        <f t="shared" si="13"/>
        <v/>
      </c>
      <c r="Q408" s="8">
        <f>IFERROR(VLOOKUP(VALUE(A408),WEEKLY_DATA!$A:$H,2,0),0)</f>
        <v>0</v>
      </c>
      <c r="R408" s="8">
        <f>IFERROR(VLOOKUP(VALUE(A408),WEEKLY_DATA!$A:$H,3,0),0)</f>
        <v>0</v>
      </c>
      <c r="S408" s="8">
        <f>IFERROR(VLOOKUP(VALUE(A408),WEEKLY_DATA!$A:$H,4,0),0)</f>
        <v>0</v>
      </c>
      <c r="T408" s="51">
        <f>IFERROR(VLOOKUP(VALUE(A408),WEEKLY_DATA!$A:$H,5,0),0)</f>
        <v>0</v>
      </c>
      <c r="U408" s="51">
        <f>IFERROR(VLOOKUP(VALUE(A408),WEEKLY_DATA!$A:$H,6,0),0)</f>
        <v>0</v>
      </c>
      <c r="V408" s="51">
        <f>IFERROR(VLOOKUP(VALUE(A408),WEEKLY_DATA!$A:$H,7,0),0)</f>
        <v>0</v>
      </c>
      <c r="W408" s="9" t="str">
        <f>IFERROR(IF(OR(Q408="",Q408=0),"",IF(VLOOKUP(VALUE($A408),WEEKLY_DATA!$A:$H,6,0)=0,"No Sales",Q408/(VLOOKUP(VALUE($A408),WEEKLY_DATA!$A:$H,6,0)/13))),"")</f>
        <v/>
      </c>
      <c r="X408" s="10">
        <f>IFERROR(VLOOKUP(VALUE(A408),WEEKLY_DATA!$A:$H,8,0),0)</f>
        <v>0</v>
      </c>
      <c r="Y408" s="13" t="str">
        <f t="shared" si="12"/>
        <v>—</v>
      </c>
      <c r="Z408" s="11"/>
      <c r="AA408" s="11"/>
      <c r="AB408" s="11"/>
      <c r="AC408" s="11"/>
      <c r="AD408" s="11"/>
      <c r="AE408" s="11"/>
      <c r="AF408" s="61"/>
      <c r="AG408" s="61"/>
      <c r="AH408" s="62"/>
      <c r="AI408" s="62"/>
      <c r="AJ408" s="61"/>
      <c r="AK408" s="61"/>
      <c r="AL408" s="61"/>
      <c r="AM408" s="58"/>
      <c r="AN408" s="58"/>
      <c r="AO408" s="58"/>
      <c r="AP408" s="58"/>
      <c r="AQ408" s="58"/>
      <c r="AR408" s="58"/>
      <c r="AS408" s="91"/>
      <c r="AT408" s="93"/>
      <c r="AU408" s="93"/>
      <c r="AV408" s="93"/>
      <c r="AW408" s="93"/>
    </row>
    <row r="409" spans="1:49" x14ac:dyDescent="0.25">
      <c r="A409" s="59"/>
      <c r="B409" s="12"/>
      <c r="C409" s="12"/>
      <c r="D409" s="60"/>
      <c r="E409" s="6"/>
      <c r="F409" s="6"/>
      <c r="G409" s="12"/>
      <c r="H409" s="12"/>
      <c r="I409" s="12" t="str" cm="2">
        <f t="array" ref="I409">IFERROR(INDEX(BrandList!$B$2:$B$200,MATCH(TRUE,ISNUMBER(SEARCH(BrandList!$B$2:$B$200,G409)),0)),"")</f>
        <v/>
      </c>
      <c r="J409" s="12"/>
      <c r="K409" s="12"/>
      <c r="L409" s="60"/>
      <c r="M409" s="60"/>
      <c r="N409" s="60"/>
      <c r="O409" s="60"/>
      <c r="P409" s="7" t="str">
        <f t="shared" si="13"/>
        <v/>
      </c>
      <c r="Q409" s="8">
        <f>IFERROR(VLOOKUP(VALUE(A409),WEEKLY_DATA!$A:$H,2,0),0)</f>
        <v>0</v>
      </c>
      <c r="R409" s="8">
        <f>IFERROR(VLOOKUP(VALUE(A409),WEEKLY_DATA!$A:$H,3,0),0)</f>
        <v>0</v>
      </c>
      <c r="S409" s="8">
        <f>IFERROR(VLOOKUP(VALUE(A409),WEEKLY_DATA!$A:$H,4,0),0)</f>
        <v>0</v>
      </c>
      <c r="T409" s="51">
        <f>IFERROR(VLOOKUP(VALUE(A409),WEEKLY_DATA!$A:$H,5,0),0)</f>
        <v>0</v>
      </c>
      <c r="U409" s="51">
        <f>IFERROR(VLOOKUP(VALUE(A409),WEEKLY_DATA!$A:$H,6,0),0)</f>
        <v>0</v>
      </c>
      <c r="V409" s="51">
        <f>IFERROR(VLOOKUP(VALUE(A409),WEEKLY_DATA!$A:$H,7,0),0)</f>
        <v>0</v>
      </c>
      <c r="W409" s="9" t="str">
        <f>IFERROR(IF(OR(Q409="",Q409=0),"",IF(VLOOKUP(VALUE($A409),WEEKLY_DATA!$A:$H,6,0)=0,"No Sales",Q409/(VLOOKUP(VALUE($A409),WEEKLY_DATA!$A:$H,6,0)/13))),"")</f>
        <v/>
      </c>
      <c r="X409" s="10">
        <f>IFERROR(VLOOKUP(VALUE(A409),WEEKLY_DATA!$A:$H,8,0),0)</f>
        <v>0</v>
      </c>
      <c r="Y409" s="13" t="str">
        <f t="shared" si="12"/>
        <v>—</v>
      </c>
      <c r="Z409" s="11"/>
      <c r="AA409" s="11"/>
      <c r="AB409" s="11"/>
      <c r="AC409" s="11"/>
      <c r="AD409" s="11"/>
      <c r="AE409" s="11"/>
      <c r="AF409" s="61"/>
      <c r="AG409" s="61"/>
      <c r="AH409" s="62"/>
      <c r="AI409" s="62"/>
      <c r="AJ409" s="61"/>
      <c r="AK409" s="61"/>
      <c r="AL409" s="61"/>
      <c r="AM409" s="58"/>
      <c r="AN409" s="58"/>
      <c r="AO409" s="58"/>
      <c r="AP409" s="58"/>
      <c r="AQ409" s="58"/>
      <c r="AR409" s="58"/>
      <c r="AS409" s="91"/>
      <c r="AT409" s="93"/>
      <c r="AU409" s="93"/>
      <c r="AV409" s="93"/>
      <c r="AW409" s="93"/>
    </row>
    <row r="410" spans="1:49" x14ac:dyDescent="0.25">
      <c r="A410" s="59"/>
      <c r="B410" s="12"/>
      <c r="C410" s="12"/>
      <c r="D410" s="60"/>
      <c r="E410" s="6"/>
      <c r="F410" s="6"/>
      <c r="G410" s="12"/>
      <c r="H410" s="12"/>
      <c r="I410" s="12" t="str" cm="2">
        <f t="array" ref="I410">IFERROR(INDEX(BrandList!$B$2:$B$200,MATCH(TRUE,ISNUMBER(SEARCH(BrandList!$B$2:$B$200,G410)),0)),"")</f>
        <v/>
      </c>
      <c r="J410" s="12"/>
      <c r="K410" s="12"/>
      <c r="L410" s="60"/>
      <c r="M410" s="60"/>
      <c r="N410" s="60"/>
      <c r="O410" s="60"/>
      <c r="P410" s="7" t="str">
        <f t="shared" si="13"/>
        <v/>
      </c>
      <c r="Q410" s="8">
        <f>IFERROR(VLOOKUP(VALUE(A410),WEEKLY_DATA!$A:$H,2,0),0)</f>
        <v>0</v>
      </c>
      <c r="R410" s="8">
        <f>IFERROR(VLOOKUP(VALUE(A410),WEEKLY_DATA!$A:$H,3,0),0)</f>
        <v>0</v>
      </c>
      <c r="S410" s="8">
        <f>IFERROR(VLOOKUP(VALUE(A410),WEEKLY_DATA!$A:$H,4,0),0)</f>
        <v>0</v>
      </c>
      <c r="T410" s="51">
        <f>IFERROR(VLOOKUP(VALUE(A410),WEEKLY_DATA!$A:$H,5,0),0)</f>
        <v>0</v>
      </c>
      <c r="U410" s="51">
        <f>IFERROR(VLOOKUP(VALUE(A410),WEEKLY_DATA!$A:$H,6,0),0)</f>
        <v>0</v>
      </c>
      <c r="V410" s="51">
        <f>IFERROR(VLOOKUP(VALUE(A410),WEEKLY_DATA!$A:$H,7,0),0)</f>
        <v>0</v>
      </c>
      <c r="W410" s="9" t="str">
        <f>IFERROR(IF(OR(Q410="",Q410=0),"",IF(VLOOKUP(VALUE($A410),WEEKLY_DATA!$A:$H,6,0)=0,"No Sales",Q410/(VLOOKUP(VALUE($A410),WEEKLY_DATA!$A:$H,6,0)/13))),"")</f>
        <v/>
      </c>
      <c r="X410" s="10">
        <f>IFERROR(VLOOKUP(VALUE(A410),WEEKLY_DATA!$A:$H,8,0),0)</f>
        <v>0</v>
      </c>
      <c r="Y410" s="13" t="str">
        <f t="shared" si="12"/>
        <v>—</v>
      </c>
      <c r="Z410" s="11"/>
      <c r="AA410" s="11"/>
      <c r="AB410" s="11"/>
      <c r="AC410" s="11"/>
      <c r="AD410" s="11"/>
      <c r="AE410" s="11"/>
      <c r="AF410" s="61"/>
      <c r="AG410" s="61"/>
      <c r="AH410" s="62"/>
      <c r="AI410" s="62"/>
      <c r="AJ410" s="61"/>
      <c r="AK410" s="61"/>
      <c r="AL410" s="61"/>
      <c r="AM410" s="58"/>
      <c r="AN410" s="58"/>
      <c r="AO410" s="58"/>
      <c r="AP410" s="58"/>
      <c r="AQ410" s="58"/>
      <c r="AR410" s="58"/>
      <c r="AS410" s="91"/>
      <c r="AT410" s="93"/>
      <c r="AU410" s="93"/>
      <c r="AV410" s="93"/>
      <c r="AW410" s="93"/>
    </row>
    <row r="411" spans="1:49" x14ac:dyDescent="0.25">
      <c r="A411" s="59"/>
      <c r="B411" s="12"/>
      <c r="C411" s="12"/>
      <c r="D411" s="60"/>
      <c r="E411" s="6"/>
      <c r="F411" s="6"/>
      <c r="G411" s="12"/>
      <c r="H411" s="12"/>
      <c r="I411" s="12" t="str" cm="2">
        <f t="array" ref="I411">IFERROR(INDEX(BrandList!$B$2:$B$200,MATCH(TRUE,ISNUMBER(SEARCH(BrandList!$B$2:$B$200,G411)),0)),"")</f>
        <v/>
      </c>
      <c r="J411" s="12"/>
      <c r="K411" s="12"/>
      <c r="L411" s="60"/>
      <c r="M411" s="60"/>
      <c r="N411" s="60"/>
      <c r="O411" s="60"/>
      <c r="P411" s="7" t="str">
        <f t="shared" si="13"/>
        <v/>
      </c>
      <c r="Q411" s="8">
        <f>IFERROR(VLOOKUP(VALUE(A411),WEEKLY_DATA!$A:$H,2,0),0)</f>
        <v>0</v>
      </c>
      <c r="R411" s="8">
        <f>IFERROR(VLOOKUP(VALUE(A411),WEEKLY_DATA!$A:$H,3,0),0)</f>
        <v>0</v>
      </c>
      <c r="S411" s="8">
        <f>IFERROR(VLOOKUP(VALUE(A411),WEEKLY_DATA!$A:$H,4,0),0)</f>
        <v>0</v>
      </c>
      <c r="T411" s="51">
        <f>IFERROR(VLOOKUP(VALUE(A411),WEEKLY_DATA!$A:$H,5,0),0)</f>
        <v>0</v>
      </c>
      <c r="U411" s="51">
        <f>IFERROR(VLOOKUP(VALUE(A411),WEEKLY_DATA!$A:$H,6,0),0)</f>
        <v>0</v>
      </c>
      <c r="V411" s="51">
        <f>IFERROR(VLOOKUP(VALUE(A411),WEEKLY_DATA!$A:$H,7,0),0)</f>
        <v>0</v>
      </c>
      <c r="W411" s="9" t="str">
        <f>IFERROR(IF(OR(Q411="",Q411=0),"",IF(VLOOKUP(VALUE($A411),WEEKLY_DATA!$A:$H,6,0)=0,"No Sales",Q411/(VLOOKUP(VALUE($A411),WEEKLY_DATA!$A:$H,6,0)/13))),"")</f>
        <v/>
      </c>
      <c r="X411" s="10">
        <f>IFERROR(VLOOKUP(VALUE(A411),WEEKLY_DATA!$A:$H,8,0),0)</f>
        <v>0</v>
      </c>
      <c r="Y411" s="13" t="str">
        <f t="shared" si="12"/>
        <v>—</v>
      </c>
      <c r="Z411" s="11"/>
      <c r="AA411" s="11"/>
      <c r="AB411" s="11"/>
      <c r="AC411" s="11"/>
      <c r="AD411" s="11"/>
      <c r="AE411" s="11"/>
      <c r="AF411" s="61"/>
      <c r="AG411" s="61"/>
      <c r="AH411" s="62"/>
      <c r="AI411" s="62"/>
      <c r="AJ411" s="61"/>
      <c r="AK411" s="61"/>
      <c r="AL411" s="61"/>
      <c r="AM411" s="58"/>
      <c r="AN411" s="58"/>
      <c r="AO411" s="58"/>
      <c r="AP411" s="58"/>
      <c r="AQ411" s="58"/>
      <c r="AR411" s="58"/>
      <c r="AS411" s="91"/>
      <c r="AT411" s="93"/>
      <c r="AU411" s="93"/>
      <c r="AV411" s="93"/>
      <c r="AW411" s="93"/>
    </row>
    <row r="412" spans="1:49" x14ac:dyDescent="0.25">
      <c r="A412" s="59"/>
      <c r="B412" s="12"/>
      <c r="C412" s="12"/>
      <c r="D412" s="60"/>
      <c r="E412" s="6"/>
      <c r="F412" s="6"/>
      <c r="G412" s="12"/>
      <c r="H412" s="12"/>
      <c r="I412" s="12" t="str" cm="2">
        <f t="array" ref="I412">IFERROR(INDEX(BrandList!$B$2:$B$200,MATCH(TRUE,ISNUMBER(SEARCH(BrandList!$B$2:$B$200,G412)),0)),"")</f>
        <v/>
      </c>
      <c r="J412" s="12"/>
      <c r="K412" s="12"/>
      <c r="L412" s="60"/>
      <c r="M412" s="60"/>
      <c r="N412" s="60"/>
      <c r="O412" s="60"/>
      <c r="P412" s="7" t="str">
        <f t="shared" si="13"/>
        <v/>
      </c>
      <c r="Q412" s="8">
        <f>IFERROR(VLOOKUP(VALUE(A412),WEEKLY_DATA!$A:$H,2,0),0)</f>
        <v>0</v>
      </c>
      <c r="R412" s="8">
        <f>IFERROR(VLOOKUP(VALUE(A412),WEEKLY_DATA!$A:$H,3,0),0)</f>
        <v>0</v>
      </c>
      <c r="S412" s="8">
        <f>IFERROR(VLOOKUP(VALUE(A412),WEEKLY_DATA!$A:$H,4,0),0)</f>
        <v>0</v>
      </c>
      <c r="T412" s="51">
        <f>IFERROR(VLOOKUP(VALUE(A412),WEEKLY_DATA!$A:$H,5,0),0)</f>
        <v>0</v>
      </c>
      <c r="U412" s="51">
        <f>IFERROR(VLOOKUP(VALUE(A412),WEEKLY_DATA!$A:$H,6,0),0)</f>
        <v>0</v>
      </c>
      <c r="V412" s="51">
        <f>IFERROR(VLOOKUP(VALUE(A412),WEEKLY_DATA!$A:$H,7,0),0)</f>
        <v>0</v>
      </c>
      <c r="W412" s="9" t="str">
        <f>IFERROR(IF(OR(Q412="",Q412=0),"",IF(VLOOKUP(VALUE($A412),WEEKLY_DATA!$A:$H,6,0)=0,"No Sales",Q412/(VLOOKUP(VALUE($A412),WEEKLY_DATA!$A:$H,6,0)/13))),"")</f>
        <v/>
      </c>
      <c r="X412" s="10">
        <f>IFERROR(VLOOKUP(VALUE(A412),WEEKLY_DATA!$A:$H,8,0),0)</f>
        <v>0</v>
      </c>
      <c r="Y412" s="13" t="str">
        <f t="shared" si="12"/>
        <v>—</v>
      </c>
      <c r="Z412" s="11"/>
      <c r="AA412" s="11"/>
      <c r="AB412" s="11"/>
      <c r="AC412" s="11"/>
      <c r="AD412" s="11"/>
      <c r="AE412" s="11"/>
      <c r="AF412" s="61"/>
      <c r="AG412" s="61"/>
      <c r="AH412" s="62"/>
      <c r="AI412" s="62"/>
      <c r="AJ412" s="61"/>
      <c r="AK412" s="61"/>
      <c r="AL412" s="61"/>
      <c r="AM412" s="58"/>
      <c r="AN412" s="58"/>
      <c r="AO412" s="58"/>
      <c r="AP412" s="58"/>
      <c r="AQ412" s="58"/>
      <c r="AR412" s="58"/>
      <c r="AS412" s="91"/>
      <c r="AT412" s="93"/>
      <c r="AU412" s="93"/>
      <c r="AV412" s="93"/>
      <c r="AW412" s="93"/>
    </row>
    <row r="413" spans="1:49" x14ac:dyDescent="0.25">
      <c r="A413" s="59"/>
      <c r="B413" s="12"/>
      <c r="C413" s="12"/>
      <c r="D413" s="60"/>
      <c r="E413" s="6"/>
      <c r="F413" s="6"/>
      <c r="G413" s="12"/>
      <c r="H413" s="12"/>
      <c r="I413" s="12" t="str" cm="2">
        <f t="array" ref="I413">IFERROR(INDEX(BrandList!$B$2:$B$200,MATCH(TRUE,ISNUMBER(SEARCH(BrandList!$B$2:$B$200,G413)),0)),"")</f>
        <v/>
      </c>
      <c r="J413" s="12"/>
      <c r="K413" s="12"/>
      <c r="L413" s="60"/>
      <c r="M413" s="60"/>
      <c r="N413" s="60"/>
      <c r="O413" s="60"/>
      <c r="P413" s="7" t="str">
        <f t="shared" si="13"/>
        <v/>
      </c>
      <c r="Q413" s="8">
        <f>IFERROR(VLOOKUP(VALUE(A413),WEEKLY_DATA!$A:$H,2,0),0)</f>
        <v>0</v>
      </c>
      <c r="R413" s="8">
        <f>IFERROR(VLOOKUP(VALUE(A413),WEEKLY_DATA!$A:$H,3,0),0)</f>
        <v>0</v>
      </c>
      <c r="S413" s="8">
        <f>IFERROR(VLOOKUP(VALUE(A413),WEEKLY_DATA!$A:$H,4,0),0)</f>
        <v>0</v>
      </c>
      <c r="T413" s="51">
        <f>IFERROR(VLOOKUP(VALUE(A413),WEEKLY_DATA!$A:$H,5,0),0)</f>
        <v>0</v>
      </c>
      <c r="U413" s="51">
        <f>IFERROR(VLOOKUP(VALUE(A413),WEEKLY_DATA!$A:$H,6,0),0)</f>
        <v>0</v>
      </c>
      <c r="V413" s="51">
        <f>IFERROR(VLOOKUP(VALUE(A413),WEEKLY_DATA!$A:$H,7,0),0)</f>
        <v>0</v>
      </c>
      <c r="W413" s="9" t="str">
        <f>IFERROR(IF(OR(Q413="",Q413=0),"",IF(VLOOKUP(VALUE($A413),WEEKLY_DATA!$A:$H,6,0)=0,"No Sales",Q413/(VLOOKUP(VALUE($A413),WEEKLY_DATA!$A:$H,6,0)/13))),"")</f>
        <v/>
      </c>
      <c r="X413" s="10">
        <f>IFERROR(VLOOKUP(VALUE(A413),WEEKLY_DATA!$A:$H,8,0),0)</f>
        <v>0</v>
      </c>
      <c r="Y413" s="13" t="str">
        <f t="shared" si="12"/>
        <v>—</v>
      </c>
      <c r="Z413" s="11"/>
      <c r="AA413" s="11"/>
      <c r="AB413" s="11"/>
      <c r="AC413" s="11"/>
      <c r="AD413" s="11"/>
      <c r="AE413" s="11"/>
      <c r="AF413" s="61"/>
      <c r="AG413" s="61"/>
      <c r="AH413" s="62"/>
      <c r="AI413" s="62"/>
      <c r="AJ413" s="61"/>
      <c r="AK413" s="61"/>
      <c r="AL413" s="61"/>
      <c r="AM413" s="58"/>
      <c r="AN413" s="58"/>
      <c r="AO413" s="58"/>
      <c r="AP413" s="58"/>
      <c r="AQ413" s="58"/>
      <c r="AR413" s="58"/>
      <c r="AS413" s="91"/>
      <c r="AT413" s="93"/>
      <c r="AU413" s="93"/>
      <c r="AV413" s="93"/>
      <c r="AW413" s="93"/>
    </row>
    <row r="414" spans="1:49" x14ac:dyDescent="0.25">
      <c r="A414" s="59"/>
      <c r="B414" s="12"/>
      <c r="C414" s="12"/>
      <c r="D414" s="60"/>
      <c r="E414" s="6"/>
      <c r="F414" s="6"/>
      <c r="G414" s="12"/>
      <c r="H414" s="12"/>
      <c r="I414" s="12" t="str" cm="2">
        <f t="array" ref="I414">IFERROR(INDEX(BrandList!$B$2:$B$200,MATCH(TRUE,ISNUMBER(SEARCH(BrandList!$B$2:$B$200,G414)),0)),"")</f>
        <v/>
      </c>
      <c r="J414" s="12"/>
      <c r="K414" s="12"/>
      <c r="L414" s="60"/>
      <c r="M414" s="60"/>
      <c r="N414" s="60"/>
      <c r="O414" s="60"/>
      <c r="P414" s="7" t="str">
        <f t="shared" si="13"/>
        <v/>
      </c>
      <c r="Q414" s="8">
        <f>IFERROR(VLOOKUP(VALUE(A414),WEEKLY_DATA!$A:$H,2,0),0)</f>
        <v>0</v>
      </c>
      <c r="R414" s="8">
        <f>IFERROR(VLOOKUP(VALUE(A414),WEEKLY_DATA!$A:$H,3,0),0)</f>
        <v>0</v>
      </c>
      <c r="S414" s="8">
        <f>IFERROR(VLOOKUP(VALUE(A414),WEEKLY_DATA!$A:$H,4,0),0)</f>
        <v>0</v>
      </c>
      <c r="T414" s="51">
        <f>IFERROR(VLOOKUP(VALUE(A414),WEEKLY_DATA!$A:$H,5,0),0)</f>
        <v>0</v>
      </c>
      <c r="U414" s="51">
        <f>IFERROR(VLOOKUP(VALUE(A414),WEEKLY_DATA!$A:$H,6,0),0)</f>
        <v>0</v>
      </c>
      <c r="V414" s="51">
        <f>IFERROR(VLOOKUP(VALUE(A414),WEEKLY_DATA!$A:$H,7,0),0)</f>
        <v>0</v>
      </c>
      <c r="W414" s="9" t="str">
        <f>IFERROR(IF(OR(Q414="",Q414=0),"",IF(VLOOKUP(VALUE($A414),WEEKLY_DATA!$A:$H,6,0)=0,"No Sales",Q414/(VLOOKUP(VALUE($A414),WEEKLY_DATA!$A:$H,6,0)/13))),"")</f>
        <v/>
      </c>
      <c r="X414" s="10">
        <f>IFERROR(VLOOKUP(VALUE(A414),WEEKLY_DATA!$A:$H,8,0),0)</f>
        <v>0</v>
      </c>
      <c r="Y414" s="13" t="str">
        <f t="shared" si="12"/>
        <v>—</v>
      </c>
      <c r="Z414" s="11"/>
      <c r="AA414" s="11"/>
      <c r="AB414" s="11"/>
      <c r="AC414" s="11"/>
      <c r="AD414" s="11"/>
      <c r="AE414" s="11"/>
      <c r="AF414" s="61"/>
      <c r="AG414" s="61"/>
      <c r="AH414" s="62"/>
      <c r="AI414" s="62"/>
      <c r="AJ414" s="61"/>
      <c r="AK414" s="61"/>
      <c r="AL414" s="61"/>
      <c r="AM414" s="58"/>
      <c r="AN414" s="58"/>
      <c r="AO414" s="58"/>
      <c r="AP414" s="58"/>
      <c r="AQ414" s="58"/>
      <c r="AR414" s="58"/>
      <c r="AS414" s="91"/>
      <c r="AT414" s="93"/>
      <c r="AU414" s="93"/>
      <c r="AV414" s="93"/>
      <c r="AW414" s="93"/>
    </row>
    <row r="415" spans="1:49" x14ac:dyDescent="0.25">
      <c r="A415" s="59"/>
      <c r="B415" s="12"/>
      <c r="C415" s="12"/>
      <c r="D415" s="60"/>
      <c r="E415" s="6"/>
      <c r="F415" s="6"/>
      <c r="G415" s="12"/>
      <c r="H415" s="12"/>
      <c r="I415" s="12" t="str" cm="2">
        <f t="array" ref="I415">IFERROR(INDEX(BrandList!$B$2:$B$200,MATCH(TRUE,ISNUMBER(SEARCH(BrandList!$B$2:$B$200,G415)),0)),"")</f>
        <v/>
      </c>
      <c r="J415" s="12"/>
      <c r="K415" s="12"/>
      <c r="L415" s="60"/>
      <c r="M415" s="60"/>
      <c r="N415" s="60"/>
      <c r="O415" s="60"/>
      <c r="P415" s="7" t="str">
        <f t="shared" si="13"/>
        <v/>
      </c>
      <c r="Q415" s="8">
        <f>IFERROR(VLOOKUP(VALUE(A415),WEEKLY_DATA!$A:$H,2,0),0)</f>
        <v>0</v>
      </c>
      <c r="R415" s="8">
        <f>IFERROR(VLOOKUP(VALUE(A415),WEEKLY_DATA!$A:$H,3,0),0)</f>
        <v>0</v>
      </c>
      <c r="S415" s="8">
        <f>IFERROR(VLOOKUP(VALUE(A415),WEEKLY_DATA!$A:$H,4,0),0)</f>
        <v>0</v>
      </c>
      <c r="T415" s="51">
        <f>IFERROR(VLOOKUP(VALUE(A415),WEEKLY_DATA!$A:$H,5,0),0)</f>
        <v>0</v>
      </c>
      <c r="U415" s="51">
        <f>IFERROR(VLOOKUP(VALUE(A415),WEEKLY_DATA!$A:$H,6,0),0)</f>
        <v>0</v>
      </c>
      <c r="V415" s="51">
        <f>IFERROR(VLOOKUP(VALUE(A415),WEEKLY_DATA!$A:$H,7,0),0)</f>
        <v>0</v>
      </c>
      <c r="W415" s="9" t="str">
        <f>IFERROR(IF(OR(Q415="",Q415=0),"",IF(VLOOKUP(VALUE($A415),WEEKLY_DATA!$A:$H,6,0)=0,"No Sales",Q415/(VLOOKUP(VALUE($A415),WEEKLY_DATA!$A:$H,6,0)/13))),"")</f>
        <v/>
      </c>
      <c r="X415" s="10">
        <f>IFERROR(VLOOKUP(VALUE(A415),WEEKLY_DATA!$A:$H,8,0),0)</f>
        <v>0</v>
      </c>
      <c r="Y415" s="13" t="str">
        <f t="shared" si="12"/>
        <v>—</v>
      </c>
      <c r="Z415" s="11"/>
      <c r="AA415" s="11"/>
      <c r="AB415" s="11"/>
      <c r="AC415" s="11"/>
      <c r="AD415" s="11"/>
      <c r="AE415" s="11"/>
      <c r="AF415" s="61"/>
      <c r="AG415" s="61"/>
      <c r="AH415" s="62"/>
      <c r="AI415" s="62"/>
      <c r="AJ415" s="61"/>
      <c r="AK415" s="61"/>
      <c r="AL415" s="61"/>
      <c r="AM415" s="58"/>
      <c r="AN415" s="58"/>
      <c r="AO415" s="58"/>
      <c r="AP415" s="58"/>
      <c r="AQ415" s="58"/>
      <c r="AR415" s="58"/>
      <c r="AS415" s="91"/>
      <c r="AT415" s="93"/>
      <c r="AU415" s="93"/>
      <c r="AV415" s="93"/>
      <c r="AW415" s="93"/>
    </row>
    <row r="416" spans="1:49" x14ac:dyDescent="0.25">
      <c r="A416" s="59"/>
      <c r="B416" s="12"/>
      <c r="C416" s="12"/>
      <c r="D416" s="60"/>
      <c r="E416" s="6"/>
      <c r="F416" s="6"/>
      <c r="G416" s="12"/>
      <c r="H416" s="12"/>
      <c r="I416" s="12" t="str" cm="2">
        <f t="array" ref="I416">IFERROR(INDEX(BrandList!$B$2:$B$200,MATCH(TRUE,ISNUMBER(SEARCH(BrandList!$B$2:$B$200,G416)),0)),"")</f>
        <v/>
      </c>
      <c r="J416" s="12"/>
      <c r="K416" s="12"/>
      <c r="L416" s="60"/>
      <c r="M416" s="60"/>
      <c r="N416" s="60"/>
      <c r="O416" s="60"/>
      <c r="P416" s="7" t="str">
        <f t="shared" si="13"/>
        <v/>
      </c>
      <c r="Q416" s="8">
        <f>IFERROR(VLOOKUP(VALUE(A416),WEEKLY_DATA!$A:$H,2,0),0)</f>
        <v>0</v>
      </c>
      <c r="R416" s="8">
        <f>IFERROR(VLOOKUP(VALUE(A416),WEEKLY_DATA!$A:$H,3,0),0)</f>
        <v>0</v>
      </c>
      <c r="S416" s="8">
        <f>IFERROR(VLOOKUP(VALUE(A416),WEEKLY_DATA!$A:$H,4,0),0)</f>
        <v>0</v>
      </c>
      <c r="T416" s="51">
        <f>IFERROR(VLOOKUP(VALUE(A416),WEEKLY_DATA!$A:$H,5,0),0)</f>
        <v>0</v>
      </c>
      <c r="U416" s="51">
        <f>IFERROR(VLOOKUP(VALUE(A416),WEEKLY_DATA!$A:$H,6,0),0)</f>
        <v>0</v>
      </c>
      <c r="V416" s="51">
        <f>IFERROR(VLOOKUP(VALUE(A416),WEEKLY_DATA!$A:$H,7,0),0)</f>
        <v>0</v>
      </c>
      <c r="W416" s="9" t="str">
        <f>IFERROR(IF(OR(Q416="",Q416=0),"",IF(VLOOKUP(VALUE($A416),WEEKLY_DATA!$A:$H,6,0)=0,"No Sales",Q416/(VLOOKUP(VALUE($A416),WEEKLY_DATA!$A:$H,6,0)/13))),"")</f>
        <v/>
      </c>
      <c r="X416" s="10">
        <f>IFERROR(VLOOKUP(VALUE(A416),WEEKLY_DATA!$A:$H,8,0),0)</f>
        <v>0</v>
      </c>
      <c r="Y416" s="13" t="str">
        <f t="shared" si="12"/>
        <v>—</v>
      </c>
      <c r="Z416" s="11"/>
      <c r="AA416" s="11"/>
      <c r="AB416" s="11"/>
      <c r="AC416" s="11"/>
      <c r="AD416" s="11"/>
      <c r="AE416" s="11"/>
      <c r="AF416" s="61"/>
      <c r="AG416" s="61"/>
      <c r="AH416" s="62"/>
      <c r="AI416" s="62"/>
      <c r="AJ416" s="61"/>
      <c r="AK416" s="61"/>
      <c r="AL416" s="61"/>
      <c r="AM416" s="58"/>
      <c r="AN416" s="58"/>
      <c r="AO416" s="58"/>
      <c r="AP416" s="58"/>
      <c r="AQ416" s="58"/>
      <c r="AR416" s="58"/>
      <c r="AS416" s="91"/>
      <c r="AT416" s="93"/>
      <c r="AU416" s="93"/>
      <c r="AV416" s="93"/>
      <c r="AW416" s="93"/>
    </row>
    <row r="417" spans="1:49" x14ac:dyDescent="0.25">
      <c r="A417" s="59"/>
      <c r="B417" s="12"/>
      <c r="C417" s="12"/>
      <c r="D417" s="60"/>
      <c r="E417" s="6"/>
      <c r="F417" s="6"/>
      <c r="G417" s="12"/>
      <c r="H417" s="12"/>
      <c r="I417" s="12" t="str" cm="2">
        <f t="array" ref="I417">IFERROR(INDEX(BrandList!$B$2:$B$200,MATCH(TRUE,ISNUMBER(SEARCH(BrandList!$B$2:$B$200,G417)),0)),"")</f>
        <v/>
      </c>
      <c r="J417" s="12"/>
      <c r="K417" s="12"/>
      <c r="L417" s="60"/>
      <c r="M417" s="60"/>
      <c r="N417" s="60"/>
      <c r="O417" s="60"/>
      <c r="P417" s="7" t="str">
        <f t="shared" si="13"/>
        <v/>
      </c>
      <c r="Q417" s="8">
        <f>IFERROR(VLOOKUP(VALUE(A417),WEEKLY_DATA!$A:$H,2,0),0)</f>
        <v>0</v>
      </c>
      <c r="R417" s="8">
        <f>IFERROR(VLOOKUP(VALUE(A417),WEEKLY_DATA!$A:$H,3,0),0)</f>
        <v>0</v>
      </c>
      <c r="S417" s="8">
        <f>IFERROR(VLOOKUP(VALUE(A417),WEEKLY_DATA!$A:$H,4,0),0)</f>
        <v>0</v>
      </c>
      <c r="T417" s="51">
        <f>IFERROR(VLOOKUP(VALUE(A417),WEEKLY_DATA!$A:$H,5,0),0)</f>
        <v>0</v>
      </c>
      <c r="U417" s="51">
        <f>IFERROR(VLOOKUP(VALUE(A417),WEEKLY_DATA!$A:$H,6,0),0)</f>
        <v>0</v>
      </c>
      <c r="V417" s="51">
        <f>IFERROR(VLOOKUP(VALUE(A417),WEEKLY_DATA!$A:$H,7,0),0)</f>
        <v>0</v>
      </c>
      <c r="W417" s="9" t="str">
        <f>IFERROR(IF(OR(Q417="",Q417=0),"",IF(VLOOKUP(VALUE($A417),WEEKLY_DATA!$A:$H,6,0)=0,"No Sales",Q417/(VLOOKUP(VALUE($A417),WEEKLY_DATA!$A:$H,6,0)/13))),"")</f>
        <v/>
      </c>
      <c r="X417" s="10">
        <f>IFERROR(VLOOKUP(VALUE(A417),WEEKLY_DATA!$A:$H,8,0),0)</f>
        <v>0</v>
      </c>
      <c r="Y417" s="13" t="str">
        <f t="shared" si="12"/>
        <v>—</v>
      </c>
      <c r="Z417" s="11"/>
      <c r="AA417" s="11"/>
      <c r="AB417" s="11"/>
      <c r="AC417" s="11"/>
      <c r="AD417" s="11"/>
      <c r="AE417" s="11"/>
      <c r="AF417" s="61"/>
      <c r="AG417" s="61"/>
      <c r="AH417" s="62"/>
      <c r="AI417" s="62"/>
      <c r="AJ417" s="61"/>
      <c r="AK417" s="61"/>
      <c r="AL417" s="61"/>
      <c r="AM417" s="58"/>
      <c r="AN417" s="58"/>
      <c r="AO417" s="58"/>
      <c r="AP417" s="58"/>
      <c r="AQ417" s="58"/>
      <c r="AR417" s="58"/>
      <c r="AS417" s="91"/>
      <c r="AT417" s="93"/>
      <c r="AU417" s="93"/>
      <c r="AV417" s="93"/>
      <c r="AW417" s="93"/>
    </row>
    <row r="418" spans="1:49" x14ac:dyDescent="0.25">
      <c r="A418" s="59"/>
      <c r="B418" s="12"/>
      <c r="C418" s="12"/>
      <c r="D418" s="60"/>
      <c r="E418" s="6"/>
      <c r="F418" s="6"/>
      <c r="G418" s="12"/>
      <c r="H418" s="12"/>
      <c r="I418" s="12" t="str" cm="2">
        <f t="array" ref="I418">IFERROR(INDEX(BrandList!$B$2:$B$200,MATCH(TRUE,ISNUMBER(SEARCH(BrandList!$B$2:$B$200,G418)),0)),"")</f>
        <v/>
      </c>
      <c r="J418" s="12"/>
      <c r="K418" s="12"/>
      <c r="L418" s="60"/>
      <c r="M418" s="60"/>
      <c r="N418" s="60"/>
      <c r="O418" s="60"/>
      <c r="P418" s="7" t="str">
        <f t="shared" si="13"/>
        <v/>
      </c>
      <c r="Q418" s="8">
        <f>IFERROR(VLOOKUP(VALUE(A418),WEEKLY_DATA!$A:$H,2,0),0)</f>
        <v>0</v>
      </c>
      <c r="R418" s="8">
        <f>IFERROR(VLOOKUP(VALUE(A418),WEEKLY_DATA!$A:$H,3,0),0)</f>
        <v>0</v>
      </c>
      <c r="S418" s="8">
        <f>IFERROR(VLOOKUP(VALUE(A418),WEEKLY_DATA!$A:$H,4,0),0)</f>
        <v>0</v>
      </c>
      <c r="T418" s="51">
        <f>IFERROR(VLOOKUP(VALUE(A418),WEEKLY_DATA!$A:$H,5,0),0)</f>
        <v>0</v>
      </c>
      <c r="U418" s="51">
        <f>IFERROR(VLOOKUP(VALUE(A418),WEEKLY_DATA!$A:$H,6,0),0)</f>
        <v>0</v>
      </c>
      <c r="V418" s="51">
        <f>IFERROR(VLOOKUP(VALUE(A418),WEEKLY_DATA!$A:$H,7,0),0)</f>
        <v>0</v>
      </c>
      <c r="W418" s="9" t="str">
        <f>IFERROR(IF(OR(Q418="",Q418=0),"",IF(VLOOKUP(VALUE($A418),WEEKLY_DATA!$A:$H,6,0)=0,"No Sales",Q418/(VLOOKUP(VALUE($A418),WEEKLY_DATA!$A:$H,6,0)/13))),"")</f>
        <v/>
      </c>
      <c r="X418" s="10">
        <f>IFERROR(VLOOKUP(VALUE(A418),WEEKLY_DATA!$A:$H,8,0),0)</f>
        <v>0</v>
      </c>
      <c r="Y418" s="13" t="str">
        <f t="shared" si="12"/>
        <v>—</v>
      </c>
      <c r="Z418" s="11"/>
      <c r="AA418" s="11"/>
      <c r="AB418" s="11"/>
      <c r="AC418" s="11"/>
      <c r="AD418" s="11"/>
      <c r="AE418" s="11"/>
      <c r="AF418" s="61"/>
      <c r="AG418" s="61"/>
      <c r="AH418" s="62"/>
      <c r="AI418" s="62"/>
      <c r="AJ418" s="61"/>
      <c r="AK418" s="61"/>
      <c r="AL418" s="61"/>
      <c r="AM418" s="58"/>
      <c r="AN418" s="58"/>
      <c r="AO418" s="58"/>
      <c r="AP418" s="58"/>
      <c r="AQ418" s="58"/>
      <c r="AR418" s="58"/>
      <c r="AS418" s="91"/>
      <c r="AT418" s="93"/>
      <c r="AU418" s="93"/>
      <c r="AV418" s="93"/>
      <c r="AW418" s="93"/>
    </row>
    <row r="419" spans="1:49" x14ac:dyDescent="0.25">
      <c r="A419" s="59"/>
      <c r="B419" s="12"/>
      <c r="C419" s="12"/>
      <c r="D419" s="60"/>
      <c r="E419" s="6"/>
      <c r="F419" s="6"/>
      <c r="G419" s="12"/>
      <c r="H419" s="12"/>
      <c r="I419" s="12" t="str" cm="2">
        <f t="array" ref="I419">IFERROR(INDEX(BrandList!$B$2:$B$200,MATCH(TRUE,ISNUMBER(SEARCH(BrandList!$B$2:$B$200,G419)),0)),"")</f>
        <v/>
      </c>
      <c r="J419" s="12"/>
      <c r="K419" s="12"/>
      <c r="L419" s="60"/>
      <c r="M419" s="60"/>
      <c r="N419" s="60"/>
      <c r="O419" s="60"/>
      <c r="P419" s="7" t="str">
        <f t="shared" si="13"/>
        <v/>
      </c>
      <c r="Q419" s="8">
        <f>IFERROR(VLOOKUP(VALUE(A419),WEEKLY_DATA!$A:$H,2,0),0)</f>
        <v>0</v>
      </c>
      <c r="R419" s="8">
        <f>IFERROR(VLOOKUP(VALUE(A419),WEEKLY_DATA!$A:$H,3,0),0)</f>
        <v>0</v>
      </c>
      <c r="S419" s="8">
        <f>IFERROR(VLOOKUP(VALUE(A419),WEEKLY_DATA!$A:$H,4,0),0)</f>
        <v>0</v>
      </c>
      <c r="T419" s="51">
        <f>IFERROR(VLOOKUP(VALUE(A419),WEEKLY_DATA!$A:$H,5,0),0)</f>
        <v>0</v>
      </c>
      <c r="U419" s="51">
        <f>IFERROR(VLOOKUP(VALUE(A419),WEEKLY_DATA!$A:$H,6,0),0)</f>
        <v>0</v>
      </c>
      <c r="V419" s="51">
        <f>IFERROR(VLOOKUP(VALUE(A419),WEEKLY_DATA!$A:$H,7,0),0)</f>
        <v>0</v>
      </c>
      <c r="W419" s="9" t="str">
        <f>IFERROR(IF(OR(Q419="",Q419=0),"",IF(VLOOKUP(VALUE($A419),WEEKLY_DATA!$A:$H,6,0)=0,"No Sales",Q419/(VLOOKUP(VALUE($A419),WEEKLY_DATA!$A:$H,6,0)/13))),"")</f>
        <v/>
      </c>
      <c r="X419" s="10">
        <f>IFERROR(VLOOKUP(VALUE(A419),WEEKLY_DATA!$A:$H,8,0),0)</f>
        <v>0</v>
      </c>
      <c r="Y419" s="13" t="str">
        <f t="shared" si="12"/>
        <v>—</v>
      </c>
      <c r="Z419" s="11"/>
      <c r="AA419" s="11"/>
      <c r="AB419" s="11"/>
      <c r="AC419" s="11"/>
      <c r="AD419" s="11"/>
      <c r="AE419" s="11"/>
      <c r="AF419" s="61"/>
      <c r="AG419" s="61"/>
      <c r="AH419" s="62"/>
      <c r="AI419" s="62"/>
      <c r="AJ419" s="61"/>
      <c r="AK419" s="61"/>
      <c r="AL419" s="61"/>
      <c r="AM419" s="58"/>
      <c r="AN419" s="58"/>
      <c r="AO419" s="58"/>
      <c r="AP419" s="58"/>
      <c r="AQ419" s="58"/>
      <c r="AR419" s="58"/>
      <c r="AS419" s="91"/>
      <c r="AT419" s="93"/>
      <c r="AU419" s="93"/>
      <c r="AV419" s="93"/>
      <c r="AW419" s="93"/>
    </row>
    <row r="420" spans="1:49" x14ac:dyDescent="0.25">
      <c r="A420" s="59"/>
      <c r="B420" s="12"/>
      <c r="C420" s="12"/>
      <c r="D420" s="60"/>
      <c r="E420" s="6"/>
      <c r="F420" s="6"/>
      <c r="G420" s="12"/>
      <c r="H420" s="12"/>
      <c r="I420" s="12" t="str" cm="2">
        <f t="array" ref="I420">IFERROR(INDEX(BrandList!$B$2:$B$200,MATCH(TRUE,ISNUMBER(SEARCH(BrandList!$B$2:$B$200,G420)),0)),"")</f>
        <v/>
      </c>
      <c r="J420" s="12"/>
      <c r="K420" s="12"/>
      <c r="L420" s="60"/>
      <c r="M420" s="60"/>
      <c r="N420" s="60"/>
      <c r="O420" s="60"/>
      <c r="P420" s="7" t="str">
        <f t="shared" si="13"/>
        <v/>
      </c>
      <c r="Q420" s="8">
        <f>IFERROR(VLOOKUP(VALUE(A420),WEEKLY_DATA!$A:$H,2,0),0)</f>
        <v>0</v>
      </c>
      <c r="R420" s="8">
        <f>IFERROR(VLOOKUP(VALUE(A420),WEEKLY_DATA!$A:$H,3,0),0)</f>
        <v>0</v>
      </c>
      <c r="S420" s="8">
        <f>IFERROR(VLOOKUP(VALUE(A420),WEEKLY_DATA!$A:$H,4,0),0)</f>
        <v>0</v>
      </c>
      <c r="T420" s="51">
        <f>IFERROR(VLOOKUP(VALUE(A420),WEEKLY_DATA!$A:$H,5,0),0)</f>
        <v>0</v>
      </c>
      <c r="U420" s="51">
        <f>IFERROR(VLOOKUP(VALUE(A420),WEEKLY_DATA!$A:$H,6,0),0)</f>
        <v>0</v>
      </c>
      <c r="V420" s="51">
        <f>IFERROR(VLOOKUP(VALUE(A420),WEEKLY_DATA!$A:$H,7,0),0)</f>
        <v>0</v>
      </c>
      <c r="W420" s="9" t="str">
        <f>IFERROR(IF(OR(Q420="",Q420=0),"",IF(VLOOKUP(VALUE($A420),WEEKLY_DATA!$A:$H,6,0)=0,"No Sales",Q420/(VLOOKUP(VALUE($A420),WEEKLY_DATA!$A:$H,6,0)/13))),"")</f>
        <v/>
      </c>
      <c r="X420" s="10">
        <f>IFERROR(VLOOKUP(VALUE(A420),WEEKLY_DATA!$A:$H,8,0),0)</f>
        <v>0</v>
      </c>
      <c r="Y420" s="13" t="str">
        <f t="shared" si="12"/>
        <v>—</v>
      </c>
      <c r="Z420" s="11"/>
      <c r="AA420" s="11"/>
      <c r="AB420" s="11"/>
      <c r="AC420" s="11"/>
      <c r="AD420" s="11"/>
      <c r="AE420" s="11"/>
      <c r="AF420" s="61"/>
      <c r="AG420" s="61"/>
      <c r="AH420" s="62"/>
      <c r="AI420" s="62"/>
      <c r="AJ420" s="61"/>
      <c r="AK420" s="61"/>
      <c r="AL420" s="61"/>
      <c r="AM420" s="58"/>
      <c r="AN420" s="58"/>
      <c r="AO420" s="58"/>
      <c r="AP420" s="58"/>
      <c r="AQ420" s="58"/>
      <c r="AR420" s="58"/>
      <c r="AS420" s="91"/>
      <c r="AT420" s="93"/>
      <c r="AU420" s="93"/>
      <c r="AV420" s="93"/>
      <c r="AW420" s="93"/>
    </row>
    <row r="421" spans="1:49" x14ac:dyDescent="0.25">
      <c r="A421" s="59"/>
      <c r="B421" s="12"/>
      <c r="C421" s="12"/>
      <c r="D421" s="60"/>
      <c r="E421" s="6"/>
      <c r="F421" s="6"/>
      <c r="G421" s="12"/>
      <c r="H421" s="12"/>
      <c r="I421" s="12" t="str" cm="2">
        <f t="array" ref="I421">IFERROR(INDEX(BrandList!$B$2:$B$200,MATCH(TRUE,ISNUMBER(SEARCH(BrandList!$B$2:$B$200,G421)),0)),"")</f>
        <v/>
      </c>
      <c r="J421" s="12"/>
      <c r="K421" s="12"/>
      <c r="L421" s="60"/>
      <c r="M421" s="60"/>
      <c r="N421" s="60"/>
      <c r="O421" s="60"/>
      <c r="P421" s="7" t="str">
        <f t="shared" si="13"/>
        <v/>
      </c>
      <c r="Q421" s="8">
        <f>IFERROR(VLOOKUP(VALUE(A421),WEEKLY_DATA!$A:$H,2,0),0)</f>
        <v>0</v>
      </c>
      <c r="R421" s="8">
        <f>IFERROR(VLOOKUP(VALUE(A421),WEEKLY_DATA!$A:$H,3,0),0)</f>
        <v>0</v>
      </c>
      <c r="S421" s="8">
        <f>IFERROR(VLOOKUP(VALUE(A421),WEEKLY_DATA!$A:$H,4,0),0)</f>
        <v>0</v>
      </c>
      <c r="T421" s="51">
        <f>IFERROR(VLOOKUP(VALUE(A421),WEEKLY_DATA!$A:$H,5,0),0)</f>
        <v>0</v>
      </c>
      <c r="U421" s="51">
        <f>IFERROR(VLOOKUP(VALUE(A421),WEEKLY_DATA!$A:$H,6,0),0)</f>
        <v>0</v>
      </c>
      <c r="V421" s="51">
        <f>IFERROR(VLOOKUP(VALUE(A421),WEEKLY_DATA!$A:$H,7,0),0)</f>
        <v>0</v>
      </c>
      <c r="W421" s="9" t="str">
        <f>IFERROR(IF(OR(Q421="",Q421=0),"",IF(VLOOKUP(VALUE($A421),WEEKLY_DATA!$A:$H,6,0)=0,"No Sales",Q421/(VLOOKUP(VALUE($A421),WEEKLY_DATA!$A:$H,6,0)/13))),"")</f>
        <v/>
      </c>
      <c r="X421" s="10">
        <f>IFERROR(VLOOKUP(VALUE(A421),WEEKLY_DATA!$A:$H,8,0),0)</f>
        <v>0</v>
      </c>
      <c r="Y421" s="13" t="str">
        <f t="shared" si="12"/>
        <v>—</v>
      </c>
      <c r="Z421" s="11"/>
      <c r="AA421" s="11"/>
      <c r="AB421" s="11"/>
      <c r="AC421" s="11"/>
      <c r="AD421" s="11"/>
      <c r="AE421" s="11"/>
      <c r="AF421" s="61"/>
      <c r="AG421" s="61"/>
      <c r="AH421" s="62"/>
      <c r="AI421" s="62"/>
      <c r="AJ421" s="61"/>
      <c r="AK421" s="61"/>
      <c r="AL421" s="61"/>
      <c r="AM421" s="58"/>
      <c r="AN421" s="58"/>
      <c r="AO421" s="58"/>
      <c r="AP421" s="58"/>
      <c r="AQ421" s="58"/>
      <c r="AR421" s="58"/>
      <c r="AS421" s="91"/>
      <c r="AT421" s="93"/>
      <c r="AU421" s="93"/>
      <c r="AV421" s="93"/>
      <c r="AW421" s="93"/>
    </row>
    <row r="422" spans="1:49" x14ac:dyDescent="0.25">
      <c r="A422" s="59"/>
      <c r="B422" s="12"/>
      <c r="C422" s="12"/>
      <c r="D422" s="60"/>
      <c r="E422" s="6"/>
      <c r="F422" s="6"/>
      <c r="G422" s="12"/>
      <c r="H422" s="12"/>
      <c r="I422" s="12" t="str" cm="2">
        <f t="array" ref="I422">IFERROR(INDEX(BrandList!$B$2:$B$200,MATCH(TRUE,ISNUMBER(SEARCH(BrandList!$B$2:$B$200,G422)),0)),"")</f>
        <v/>
      </c>
      <c r="J422" s="12"/>
      <c r="K422" s="12"/>
      <c r="L422" s="60"/>
      <c r="M422" s="60"/>
      <c r="N422" s="60"/>
      <c r="O422" s="60"/>
      <c r="P422" s="7" t="str">
        <f t="shared" si="13"/>
        <v/>
      </c>
      <c r="Q422" s="8">
        <f>IFERROR(VLOOKUP(VALUE(A422),WEEKLY_DATA!$A:$H,2,0),0)</f>
        <v>0</v>
      </c>
      <c r="R422" s="8">
        <f>IFERROR(VLOOKUP(VALUE(A422),WEEKLY_DATA!$A:$H,3,0),0)</f>
        <v>0</v>
      </c>
      <c r="S422" s="8">
        <f>IFERROR(VLOOKUP(VALUE(A422),WEEKLY_DATA!$A:$H,4,0),0)</f>
        <v>0</v>
      </c>
      <c r="T422" s="51">
        <f>IFERROR(VLOOKUP(VALUE(A422),WEEKLY_DATA!$A:$H,5,0),0)</f>
        <v>0</v>
      </c>
      <c r="U422" s="51">
        <f>IFERROR(VLOOKUP(VALUE(A422),WEEKLY_DATA!$A:$H,6,0),0)</f>
        <v>0</v>
      </c>
      <c r="V422" s="51">
        <f>IFERROR(VLOOKUP(VALUE(A422),WEEKLY_DATA!$A:$H,7,0),0)</f>
        <v>0</v>
      </c>
      <c r="W422" s="9" t="str">
        <f>IFERROR(IF(OR(Q422="",Q422=0),"",IF(VLOOKUP(VALUE($A422),WEEKLY_DATA!$A:$H,6,0)=0,"No Sales",Q422/(VLOOKUP(VALUE($A422),WEEKLY_DATA!$A:$H,6,0)/13))),"")</f>
        <v/>
      </c>
      <c r="X422" s="10">
        <f>IFERROR(VLOOKUP(VALUE(A422),WEEKLY_DATA!$A:$H,8,0),0)</f>
        <v>0</v>
      </c>
      <c r="Y422" s="13" t="str">
        <f t="shared" si="12"/>
        <v>—</v>
      </c>
      <c r="Z422" s="11"/>
      <c r="AA422" s="11"/>
      <c r="AB422" s="11"/>
      <c r="AC422" s="11"/>
      <c r="AD422" s="11"/>
      <c r="AE422" s="11"/>
      <c r="AF422" s="61"/>
      <c r="AG422" s="61"/>
      <c r="AH422" s="62"/>
      <c r="AI422" s="62"/>
      <c r="AJ422" s="61"/>
      <c r="AK422" s="61"/>
      <c r="AL422" s="61"/>
      <c r="AM422" s="58"/>
      <c r="AN422" s="58"/>
      <c r="AO422" s="58"/>
      <c r="AP422" s="58"/>
      <c r="AQ422" s="58"/>
      <c r="AR422" s="58"/>
      <c r="AS422" s="91"/>
      <c r="AT422" s="93"/>
      <c r="AU422" s="93"/>
      <c r="AV422" s="93"/>
      <c r="AW422" s="93"/>
    </row>
    <row r="423" spans="1:49" x14ac:dyDescent="0.25">
      <c r="A423" s="59"/>
      <c r="B423" s="12"/>
      <c r="C423" s="12"/>
      <c r="D423" s="60"/>
      <c r="E423" s="6"/>
      <c r="F423" s="6"/>
      <c r="G423" s="12"/>
      <c r="H423" s="12"/>
      <c r="I423" s="12" t="str" cm="2">
        <f t="array" ref="I423">IFERROR(INDEX(BrandList!$B$2:$B$200,MATCH(TRUE,ISNUMBER(SEARCH(BrandList!$B$2:$B$200,G423)),0)),"")</f>
        <v/>
      </c>
      <c r="J423" s="12"/>
      <c r="K423" s="12"/>
      <c r="L423" s="60"/>
      <c r="M423" s="60"/>
      <c r="N423" s="60"/>
      <c r="O423" s="60"/>
      <c r="P423" s="7" t="str">
        <f t="shared" si="13"/>
        <v/>
      </c>
      <c r="Q423" s="8">
        <f>IFERROR(VLOOKUP(VALUE(A423),WEEKLY_DATA!$A:$H,2,0),0)</f>
        <v>0</v>
      </c>
      <c r="R423" s="8">
        <f>IFERROR(VLOOKUP(VALUE(A423),WEEKLY_DATA!$A:$H,3,0),0)</f>
        <v>0</v>
      </c>
      <c r="S423" s="8">
        <f>IFERROR(VLOOKUP(VALUE(A423),WEEKLY_DATA!$A:$H,4,0),0)</f>
        <v>0</v>
      </c>
      <c r="T423" s="51">
        <f>IFERROR(VLOOKUP(VALUE(A423),WEEKLY_DATA!$A:$H,5,0),0)</f>
        <v>0</v>
      </c>
      <c r="U423" s="51">
        <f>IFERROR(VLOOKUP(VALUE(A423),WEEKLY_DATA!$A:$H,6,0),0)</f>
        <v>0</v>
      </c>
      <c r="V423" s="51">
        <f>IFERROR(VLOOKUP(VALUE(A423),WEEKLY_DATA!$A:$H,7,0),0)</f>
        <v>0</v>
      </c>
      <c r="W423" s="9" t="str">
        <f>IFERROR(IF(OR(Q423="",Q423=0),"",IF(VLOOKUP(VALUE($A423),WEEKLY_DATA!$A:$H,6,0)=0,"No Sales",Q423/(VLOOKUP(VALUE($A423),WEEKLY_DATA!$A:$H,6,0)/13))),"")</f>
        <v/>
      </c>
      <c r="X423" s="10">
        <f>IFERROR(VLOOKUP(VALUE(A423),WEEKLY_DATA!$A:$H,8,0),0)</f>
        <v>0</v>
      </c>
      <c r="Y423" s="13" t="str">
        <f t="shared" si="12"/>
        <v>—</v>
      </c>
      <c r="Z423" s="11"/>
      <c r="AA423" s="11"/>
      <c r="AB423" s="11"/>
      <c r="AC423" s="11"/>
      <c r="AD423" s="11"/>
      <c r="AE423" s="11"/>
      <c r="AF423" s="61"/>
      <c r="AG423" s="61"/>
      <c r="AH423" s="62"/>
      <c r="AI423" s="62"/>
      <c r="AJ423" s="61"/>
      <c r="AK423" s="61"/>
      <c r="AL423" s="61"/>
      <c r="AM423" s="58"/>
      <c r="AN423" s="58"/>
      <c r="AO423" s="58"/>
      <c r="AP423" s="58"/>
      <c r="AQ423" s="58"/>
      <c r="AR423" s="58"/>
      <c r="AS423" s="91"/>
      <c r="AT423" s="93"/>
      <c r="AU423" s="93"/>
      <c r="AV423" s="93"/>
      <c r="AW423" s="93"/>
    </row>
    <row r="424" spans="1:49" x14ac:dyDescent="0.25">
      <c r="A424" s="59"/>
      <c r="B424" s="12"/>
      <c r="C424" s="12"/>
      <c r="D424" s="60"/>
      <c r="E424" s="6"/>
      <c r="F424" s="6"/>
      <c r="G424" s="12"/>
      <c r="H424" s="12"/>
      <c r="I424" s="12" t="str" cm="2">
        <f t="array" ref="I424">IFERROR(INDEX(BrandList!$B$2:$B$200,MATCH(TRUE,ISNUMBER(SEARCH(BrandList!$B$2:$B$200,G424)),0)),"")</f>
        <v/>
      </c>
      <c r="J424" s="12"/>
      <c r="K424" s="12"/>
      <c r="L424" s="60"/>
      <c r="M424" s="60"/>
      <c r="N424" s="60"/>
      <c r="O424" s="60"/>
      <c r="P424" s="7" t="str">
        <f t="shared" si="13"/>
        <v/>
      </c>
      <c r="Q424" s="8">
        <f>IFERROR(VLOOKUP(VALUE(A424),WEEKLY_DATA!$A:$H,2,0),0)</f>
        <v>0</v>
      </c>
      <c r="R424" s="8">
        <f>IFERROR(VLOOKUP(VALUE(A424),WEEKLY_DATA!$A:$H,3,0),0)</f>
        <v>0</v>
      </c>
      <c r="S424" s="8">
        <f>IFERROR(VLOOKUP(VALUE(A424),WEEKLY_DATA!$A:$H,4,0),0)</f>
        <v>0</v>
      </c>
      <c r="T424" s="51">
        <f>IFERROR(VLOOKUP(VALUE(A424),WEEKLY_DATA!$A:$H,5,0),0)</f>
        <v>0</v>
      </c>
      <c r="U424" s="51">
        <f>IFERROR(VLOOKUP(VALUE(A424),WEEKLY_DATA!$A:$H,6,0),0)</f>
        <v>0</v>
      </c>
      <c r="V424" s="51">
        <f>IFERROR(VLOOKUP(VALUE(A424),WEEKLY_DATA!$A:$H,7,0),0)</f>
        <v>0</v>
      </c>
      <c r="W424" s="9" t="str">
        <f>IFERROR(IF(OR(Q424="",Q424=0),"",IF(VLOOKUP(VALUE($A424),WEEKLY_DATA!$A:$H,6,0)=0,"No Sales",Q424/(VLOOKUP(VALUE($A424),WEEKLY_DATA!$A:$H,6,0)/13))),"")</f>
        <v/>
      </c>
      <c r="X424" s="10">
        <f>IFERROR(VLOOKUP(VALUE(A424),WEEKLY_DATA!$A:$H,8,0),0)</f>
        <v>0</v>
      </c>
      <c r="Y424" s="13" t="str">
        <f t="shared" si="12"/>
        <v>—</v>
      </c>
      <c r="Z424" s="11"/>
      <c r="AA424" s="11"/>
      <c r="AB424" s="11"/>
      <c r="AC424" s="11"/>
      <c r="AD424" s="11"/>
      <c r="AE424" s="11"/>
      <c r="AF424" s="61"/>
      <c r="AG424" s="61"/>
      <c r="AH424" s="62"/>
      <c r="AI424" s="62"/>
      <c r="AJ424" s="61"/>
      <c r="AK424" s="61"/>
      <c r="AL424" s="61"/>
      <c r="AM424" s="58"/>
      <c r="AN424" s="58"/>
      <c r="AO424" s="58"/>
      <c r="AP424" s="58"/>
      <c r="AQ424" s="58"/>
      <c r="AR424" s="58"/>
      <c r="AS424" s="91"/>
      <c r="AT424" s="93"/>
      <c r="AU424" s="93"/>
      <c r="AV424" s="93"/>
      <c r="AW424" s="93"/>
    </row>
    <row r="425" spans="1:49" x14ac:dyDescent="0.25">
      <c r="A425" s="59"/>
      <c r="B425" s="12"/>
      <c r="C425" s="12"/>
      <c r="D425" s="60"/>
      <c r="E425" s="6"/>
      <c r="F425" s="6"/>
      <c r="G425" s="12"/>
      <c r="H425" s="12"/>
      <c r="I425" s="12" t="str" cm="2">
        <f t="array" ref="I425">IFERROR(INDEX(BrandList!$B$2:$B$200,MATCH(TRUE,ISNUMBER(SEARCH(BrandList!$B$2:$B$200,G425)),0)),"")</f>
        <v/>
      </c>
      <c r="J425" s="12"/>
      <c r="K425" s="12"/>
      <c r="L425" s="60"/>
      <c r="M425" s="60"/>
      <c r="N425" s="60"/>
      <c r="O425" s="60"/>
      <c r="P425" s="7" t="str">
        <f t="shared" si="13"/>
        <v/>
      </c>
      <c r="Q425" s="8">
        <f>IFERROR(VLOOKUP(VALUE(A425),WEEKLY_DATA!$A:$H,2,0),0)</f>
        <v>0</v>
      </c>
      <c r="R425" s="8">
        <f>IFERROR(VLOOKUP(VALUE(A425),WEEKLY_DATA!$A:$H,3,0),0)</f>
        <v>0</v>
      </c>
      <c r="S425" s="8">
        <f>IFERROR(VLOOKUP(VALUE(A425),WEEKLY_DATA!$A:$H,4,0),0)</f>
        <v>0</v>
      </c>
      <c r="T425" s="51">
        <f>IFERROR(VLOOKUP(VALUE(A425),WEEKLY_DATA!$A:$H,5,0),0)</f>
        <v>0</v>
      </c>
      <c r="U425" s="51">
        <f>IFERROR(VLOOKUP(VALUE(A425),WEEKLY_DATA!$A:$H,6,0),0)</f>
        <v>0</v>
      </c>
      <c r="V425" s="51">
        <f>IFERROR(VLOOKUP(VALUE(A425),WEEKLY_DATA!$A:$H,7,0),0)</f>
        <v>0</v>
      </c>
      <c r="W425" s="9" t="str">
        <f>IFERROR(IF(OR(Q425="",Q425=0),"",IF(VLOOKUP(VALUE($A425),WEEKLY_DATA!$A:$H,6,0)=0,"No Sales",Q425/(VLOOKUP(VALUE($A425),WEEKLY_DATA!$A:$H,6,0)/13))),"")</f>
        <v/>
      </c>
      <c r="X425" s="10">
        <f>IFERROR(VLOOKUP(VALUE(A425),WEEKLY_DATA!$A:$H,8,0),0)</f>
        <v>0</v>
      </c>
      <c r="Y425" s="13" t="str">
        <f t="shared" si="12"/>
        <v>—</v>
      </c>
      <c r="Z425" s="11"/>
      <c r="AA425" s="11"/>
      <c r="AB425" s="11"/>
      <c r="AC425" s="11"/>
      <c r="AD425" s="11"/>
      <c r="AE425" s="11"/>
      <c r="AF425" s="61"/>
      <c r="AG425" s="61"/>
      <c r="AH425" s="62"/>
      <c r="AI425" s="62"/>
      <c r="AJ425" s="61"/>
      <c r="AK425" s="61"/>
      <c r="AL425" s="61"/>
      <c r="AM425" s="58"/>
      <c r="AN425" s="58"/>
      <c r="AO425" s="58"/>
      <c r="AP425" s="58"/>
      <c r="AQ425" s="58"/>
      <c r="AR425" s="58"/>
      <c r="AS425" s="91"/>
      <c r="AT425" s="93"/>
      <c r="AU425" s="93"/>
      <c r="AV425" s="93"/>
      <c r="AW425" s="93"/>
    </row>
    <row r="426" spans="1:49" x14ac:dyDescent="0.25">
      <c r="A426" s="59"/>
      <c r="B426" s="12"/>
      <c r="C426" s="12"/>
      <c r="D426" s="60"/>
      <c r="E426" s="6"/>
      <c r="F426" s="6"/>
      <c r="G426" s="12"/>
      <c r="H426" s="12"/>
      <c r="I426" s="12" t="str" cm="2">
        <f t="array" ref="I426">IFERROR(INDEX(BrandList!$B$2:$B$200,MATCH(TRUE,ISNUMBER(SEARCH(BrandList!$B$2:$B$200,G426)),0)),"")</f>
        <v/>
      </c>
      <c r="J426" s="12"/>
      <c r="K426" s="12"/>
      <c r="L426" s="60"/>
      <c r="M426" s="60"/>
      <c r="N426" s="60"/>
      <c r="O426" s="60"/>
      <c r="P426" s="7" t="str">
        <f t="shared" si="13"/>
        <v/>
      </c>
      <c r="Q426" s="8">
        <f>IFERROR(VLOOKUP(VALUE(A426),WEEKLY_DATA!$A:$H,2,0),0)</f>
        <v>0</v>
      </c>
      <c r="R426" s="8">
        <f>IFERROR(VLOOKUP(VALUE(A426),WEEKLY_DATA!$A:$H,3,0),0)</f>
        <v>0</v>
      </c>
      <c r="S426" s="8">
        <f>IFERROR(VLOOKUP(VALUE(A426),WEEKLY_DATA!$A:$H,4,0),0)</f>
        <v>0</v>
      </c>
      <c r="T426" s="51">
        <f>IFERROR(VLOOKUP(VALUE(A426),WEEKLY_DATA!$A:$H,5,0),0)</f>
        <v>0</v>
      </c>
      <c r="U426" s="51">
        <f>IFERROR(VLOOKUP(VALUE(A426),WEEKLY_DATA!$A:$H,6,0),0)</f>
        <v>0</v>
      </c>
      <c r="V426" s="51">
        <f>IFERROR(VLOOKUP(VALUE(A426),WEEKLY_DATA!$A:$H,7,0),0)</f>
        <v>0</v>
      </c>
      <c r="W426" s="9" t="str">
        <f>IFERROR(IF(OR(Q426="",Q426=0),"",IF(VLOOKUP(VALUE($A426),WEEKLY_DATA!$A:$H,6,0)=0,"No Sales",Q426/(VLOOKUP(VALUE($A426),WEEKLY_DATA!$A:$H,6,0)/13))),"")</f>
        <v/>
      </c>
      <c r="X426" s="10">
        <f>IFERROR(VLOOKUP(VALUE(A426),WEEKLY_DATA!$A:$H,8,0),0)</f>
        <v>0</v>
      </c>
      <c r="Y426" s="13" t="str">
        <f t="shared" si="12"/>
        <v>—</v>
      </c>
      <c r="Z426" s="11"/>
      <c r="AA426" s="11"/>
      <c r="AB426" s="11"/>
      <c r="AC426" s="11"/>
      <c r="AD426" s="11"/>
      <c r="AE426" s="11"/>
      <c r="AF426" s="61"/>
      <c r="AG426" s="61"/>
      <c r="AH426" s="62"/>
      <c r="AI426" s="62"/>
      <c r="AJ426" s="61"/>
      <c r="AK426" s="61"/>
      <c r="AL426" s="61"/>
      <c r="AM426" s="58"/>
      <c r="AN426" s="58"/>
      <c r="AO426" s="58"/>
      <c r="AP426" s="58"/>
      <c r="AQ426" s="58"/>
      <c r="AR426" s="58"/>
      <c r="AS426" s="91"/>
      <c r="AT426" s="93"/>
      <c r="AU426" s="93"/>
      <c r="AV426" s="93"/>
      <c r="AW426" s="93"/>
    </row>
    <row r="427" spans="1:49" x14ac:dyDescent="0.25">
      <c r="A427" s="59"/>
      <c r="B427" s="12"/>
      <c r="C427" s="12"/>
      <c r="D427" s="60"/>
      <c r="E427" s="6"/>
      <c r="F427" s="6"/>
      <c r="G427" s="12"/>
      <c r="H427" s="12"/>
      <c r="I427" s="12" t="str" cm="2">
        <f t="array" ref="I427">IFERROR(INDEX(BrandList!$B$2:$B$200,MATCH(TRUE,ISNUMBER(SEARCH(BrandList!$B$2:$B$200,G427)),0)),"")</f>
        <v/>
      </c>
      <c r="J427" s="12"/>
      <c r="K427" s="12"/>
      <c r="L427" s="60"/>
      <c r="M427" s="60"/>
      <c r="N427" s="60"/>
      <c r="O427" s="60"/>
      <c r="P427" s="7" t="str">
        <f t="shared" si="13"/>
        <v/>
      </c>
      <c r="Q427" s="8">
        <f>IFERROR(VLOOKUP(VALUE(A427),WEEKLY_DATA!$A:$H,2,0),0)</f>
        <v>0</v>
      </c>
      <c r="R427" s="8">
        <f>IFERROR(VLOOKUP(VALUE(A427),WEEKLY_DATA!$A:$H,3,0),0)</f>
        <v>0</v>
      </c>
      <c r="S427" s="8">
        <f>IFERROR(VLOOKUP(VALUE(A427),WEEKLY_DATA!$A:$H,4,0),0)</f>
        <v>0</v>
      </c>
      <c r="T427" s="51">
        <f>IFERROR(VLOOKUP(VALUE(A427),WEEKLY_DATA!$A:$H,5,0),0)</f>
        <v>0</v>
      </c>
      <c r="U427" s="51">
        <f>IFERROR(VLOOKUP(VALUE(A427),WEEKLY_DATA!$A:$H,6,0),0)</f>
        <v>0</v>
      </c>
      <c r="V427" s="51">
        <f>IFERROR(VLOOKUP(VALUE(A427),WEEKLY_DATA!$A:$H,7,0),0)</f>
        <v>0</v>
      </c>
      <c r="W427" s="9" t="str">
        <f>IFERROR(IF(OR(Q427="",Q427=0),"",IF(VLOOKUP(VALUE($A427),WEEKLY_DATA!$A:$H,6,0)=0,"No Sales",Q427/(VLOOKUP(VALUE($A427),WEEKLY_DATA!$A:$H,6,0)/13))),"")</f>
        <v/>
      </c>
      <c r="X427" s="10">
        <f>IFERROR(VLOOKUP(VALUE(A427),WEEKLY_DATA!$A:$H,8,0),0)</f>
        <v>0</v>
      </c>
      <c r="Y427" s="13" t="str">
        <f t="shared" si="12"/>
        <v>—</v>
      </c>
      <c r="Z427" s="11"/>
      <c r="AA427" s="11"/>
      <c r="AB427" s="11"/>
      <c r="AC427" s="11"/>
      <c r="AD427" s="11"/>
      <c r="AE427" s="11"/>
      <c r="AF427" s="61"/>
      <c r="AG427" s="61"/>
      <c r="AH427" s="62"/>
      <c r="AI427" s="62"/>
      <c r="AJ427" s="61"/>
      <c r="AK427" s="61"/>
      <c r="AL427" s="61"/>
      <c r="AM427" s="58"/>
      <c r="AN427" s="58"/>
      <c r="AO427" s="58"/>
      <c r="AP427" s="58"/>
      <c r="AQ427" s="58"/>
      <c r="AR427" s="58"/>
      <c r="AS427" s="91"/>
      <c r="AT427" s="93"/>
      <c r="AU427" s="93"/>
      <c r="AV427" s="93"/>
      <c r="AW427" s="93"/>
    </row>
    <row r="428" spans="1:49" x14ac:dyDescent="0.25">
      <c r="A428" s="59"/>
      <c r="B428" s="12"/>
      <c r="C428" s="12"/>
      <c r="D428" s="60"/>
      <c r="E428" s="6"/>
      <c r="F428" s="6"/>
      <c r="G428" s="12"/>
      <c r="H428" s="12"/>
      <c r="I428" s="12" t="str" cm="2">
        <f t="array" ref="I428">IFERROR(INDEX(BrandList!$B$2:$B$200,MATCH(TRUE,ISNUMBER(SEARCH(BrandList!$B$2:$B$200,G428)),0)),"")</f>
        <v/>
      </c>
      <c r="J428" s="12"/>
      <c r="K428" s="12"/>
      <c r="L428" s="60"/>
      <c r="M428" s="60"/>
      <c r="N428" s="60"/>
      <c r="O428" s="60"/>
      <c r="P428" s="7" t="str">
        <f t="shared" si="13"/>
        <v/>
      </c>
      <c r="Q428" s="8">
        <f>IFERROR(VLOOKUP(VALUE(A428),WEEKLY_DATA!$A:$H,2,0),0)</f>
        <v>0</v>
      </c>
      <c r="R428" s="8">
        <f>IFERROR(VLOOKUP(VALUE(A428),WEEKLY_DATA!$A:$H,3,0),0)</f>
        <v>0</v>
      </c>
      <c r="S428" s="8">
        <f>IFERROR(VLOOKUP(VALUE(A428),WEEKLY_DATA!$A:$H,4,0),0)</f>
        <v>0</v>
      </c>
      <c r="T428" s="51">
        <f>IFERROR(VLOOKUP(VALUE(A428),WEEKLY_DATA!$A:$H,5,0),0)</f>
        <v>0</v>
      </c>
      <c r="U428" s="51">
        <f>IFERROR(VLOOKUP(VALUE(A428),WEEKLY_DATA!$A:$H,6,0),0)</f>
        <v>0</v>
      </c>
      <c r="V428" s="51">
        <f>IFERROR(VLOOKUP(VALUE(A428),WEEKLY_DATA!$A:$H,7,0),0)</f>
        <v>0</v>
      </c>
      <c r="W428" s="9" t="str">
        <f>IFERROR(IF(OR(Q428="",Q428=0),"",IF(VLOOKUP(VALUE($A428),WEEKLY_DATA!$A:$H,6,0)=0,"No Sales",Q428/(VLOOKUP(VALUE($A428),WEEKLY_DATA!$A:$H,6,0)/13))),"")</f>
        <v/>
      </c>
      <c r="X428" s="10">
        <f>IFERROR(VLOOKUP(VALUE(A428),WEEKLY_DATA!$A:$H,8,0),0)</f>
        <v>0</v>
      </c>
      <c r="Y428" s="13" t="str">
        <f t="shared" si="12"/>
        <v>—</v>
      </c>
      <c r="Z428" s="11"/>
      <c r="AA428" s="11"/>
      <c r="AB428" s="11"/>
      <c r="AC428" s="11"/>
      <c r="AD428" s="11"/>
      <c r="AE428" s="11"/>
      <c r="AF428" s="61"/>
      <c r="AG428" s="61"/>
      <c r="AH428" s="62"/>
      <c r="AI428" s="62"/>
      <c r="AJ428" s="61"/>
      <c r="AK428" s="61"/>
      <c r="AL428" s="61"/>
      <c r="AM428" s="58"/>
      <c r="AN428" s="58"/>
      <c r="AO428" s="58"/>
      <c r="AP428" s="58"/>
      <c r="AQ428" s="58"/>
      <c r="AR428" s="58"/>
      <c r="AS428" s="91"/>
      <c r="AT428" s="93"/>
      <c r="AU428" s="93"/>
      <c r="AV428" s="93"/>
      <c r="AW428" s="93"/>
    </row>
    <row r="429" spans="1:49" x14ac:dyDescent="0.25">
      <c r="A429" s="59"/>
      <c r="B429" s="12"/>
      <c r="C429" s="12"/>
      <c r="D429" s="60"/>
      <c r="E429" s="6"/>
      <c r="F429" s="6"/>
      <c r="G429" s="12"/>
      <c r="H429" s="12"/>
      <c r="I429" s="12" t="str" cm="2">
        <f t="array" ref="I429">IFERROR(INDEX(BrandList!$B$2:$B$200,MATCH(TRUE,ISNUMBER(SEARCH(BrandList!$B$2:$B$200,G429)),0)),"")</f>
        <v/>
      </c>
      <c r="J429" s="12"/>
      <c r="K429" s="12"/>
      <c r="L429" s="60"/>
      <c r="M429" s="60"/>
      <c r="N429" s="60"/>
      <c r="O429" s="60"/>
      <c r="P429" s="7" t="str">
        <f t="shared" si="13"/>
        <v/>
      </c>
      <c r="Q429" s="8">
        <f>IFERROR(VLOOKUP(VALUE(A429),WEEKLY_DATA!$A:$H,2,0),0)</f>
        <v>0</v>
      </c>
      <c r="R429" s="8">
        <f>IFERROR(VLOOKUP(VALUE(A429),WEEKLY_DATA!$A:$H,3,0),0)</f>
        <v>0</v>
      </c>
      <c r="S429" s="8">
        <f>IFERROR(VLOOKUP(VALUE(A429),WEEKLY_DATA!$A:$H,4,0),0)</f>
        <v>0</v>
      </c>
      <c r="T429" s="51">
        <f>IFERROR(VLOOKUP(VALUE(A429),WEEKLY_DATA!$A:$H,5,0),0)</f>
        <v>0</v>
      </c>
      <c r="U429" s="51">
        <f>IFERROR(VLOOKUP(VALUE(A429),WEEKLY_DATA!$A:$H,6,0),0)</f>
        <v>0</v>
      </c>
      <c r="V429" s="51">
        <f>IFERROR(VLOOKUP(VALUE(A429),WEEKLY_DATA!$A:$H,7,0),0)</f>
        <v>0</v>
      </c>
      <c r="W429" s="9" t="str">
        <f>IFERROR(IF(OR(Q429="",Q429=0),"",IF(VLOOKUP(VALUE($A429),WEEKLY_DATA!$A:$H,6,0)=0,"No Sales",Q429/(VLOOKUP(VALUE($A429),WEEKLY_DATA!$A:$H,6,0)/13))),"")</f>
        <v/>
      </c>
      <c r="X429" s="10">
        <f>IFERROR(VLOOKUP(VALUE(A429),WEEKLY_DATA!$A:$H,8,0),0)</f>
        <v>0</v>
      </c>
      <c r="Y429" s="13" t="str">
        <f t="shared" si="12"/>
        <v>—</v>
      </c>
      <c r="Z429" s="11"/>
      <c r="AA429" s="11"/>
      <c r="AB429" s="11"/>
      <c r="AC429" s="11"/>
      <c r="AD429" s="11"/>
      <c r="AE429" s="11"/>
      <c r="AF429" s="61"/>
      <c r="AG429" s="61"/>
      <c r="AH429" s="62"/>
      <c r="AI429" s="62"/>
      <c r="AJ429" s="61"/>
      <c r="AK429" s="61"/>
      <c r="AL429" s="61"/>
      <c r="AM429" s="58"/>
      <c r="AN429" s="58"/>
      <c r="AO429" s="58"/>
      <c r="AP429" s="58"/>
      <c r="AQ429" s="58"/>
      <c r="AR429" s="58"/>
      <c r="AS429" s="91"/>
      <c r="AT429" s="93"/>
      <c r="AU429" s="93"/>
      <c r="AV429" s="93"/>
      <c r="AW429" s="93"/>
    </row>
    <row r="430" spans="1:49" x14ac:dyDescent="0.25">
      <c r="A430" s="59"/>
      <c r="B430" s="12"/>
      <c r="C430" s="12"/>
      <c r="D430" s="60"/>
      <c r="E430" s="6"/>
      <c r="F430" s="6"/>
      <c r="G430" s="12"/>
      <c r="H430" s="12"/>
      <c r="I430" s="12" t="str" cm="2">
        <f t="array" ref="I430">IFERROR(INDEX(BrandList!$B$2:$B$200,MATCH(TRUE,ISNUMBER(SEARCH(BrandList!$B$2:$B$200,G430)),0)),"")</f>
        <v/>
      </c>
      <c r="J430" s="12"/>
      <c r="K430" s="12"/>
      <c r="L430" s="60"/>
      <c r="M430" s="60"/>
      <c r="N430" s="60"/>
      <c r="O430" s="60"/>
      <c r="P430" s="7" t="str">
        <f t="shared" si="13"/>
        <v/>
      </c>
      <c r="Q430" s="8">
        <f>IFERROR(VLOOKUP(VALUE(A430),WEEKLY_DATA!$A:$H,2,0),0)</f>
        <v>0</v>
      </c>
      <c r="R430" s="8">
        <f>IFERROR(VLOOKUP(VALUE(A430),WEEKLY_DATA!$A:$H,3,0),0)</f>
        <v>0</v>
      </c>
      <c r="S430" s="8">
        <f>IFERROR(VLOOKUP(VALUE(A430),WEEKLY_DATA!$A:$H,4,0),0)</f>
        <v>0</v>
      </c>
      <c r="T430" s="51">
        <f>IFERROR(VLOOKUP(VALUE(A430),WEEKLY_DATA!$A:$H,5,0),0)</f>
        <v>0</v>
      </c>
      <c r="U430" s="51">
        <f>IFERROR(VLOOKUP(VALUE(A430),WEEKLY_DATA!$A:$H,6,0),0)</f>
        <v>0</v>
      </c>
      <c r="V430" s="51">
        <f>IFERROR(VLOOKUP(VALUE(A430),WEEKLY_DATA!$A:$H,7,0),0)</f>
        <v>0</v>
      </c>
      <c r="W430" s="9" t="str">
        <f>IFERROR(IF(OR(Q430="",Q430=0),"",IF(VLOOKUP(VALUE($A430),WEEKLY_DATA!$A:$H,6,0)=0,"No Sales",Q430/(VLOOKUP(VALUE($A430),WEEKLY_DATA!$A:$H,6,0)/13))),"")</f>
        <v/>
      </c>
      <c r="X430" s="10">
        <f>IFERROR(VLOOKUP(VALUE(A430),WEEKLY_DATA!$A:$H,8,0),0)</f>
        <v>0</v>
      </c>
      <c r="Y430" s="13" t="str">
        <f t="shared" si="12"/>
        <v>—</v>
      </c>
      <c r="Z430" s="11"/>
      <c r="AA430" s="11"/>
      <c r="AB430" s="11"/>
      <c r="AC430" s="11"/>
      <c r="AD430" s="11"/>
      <c r="AE430" s="11"/>
      <c r="AF430" s="61"/>
      <c r="AG430" s="61"/>
      <c r="AH430" s="62"/>
      <c r="AI430" s="62"/>
      <c r="AJ430" s="61"/>
      <c r="AK430" s="61"/>
      <c r="AL430" s="61"/>
      <c r="AM430" s="58"/>
      <c r="AN430" s="58"/>
      <c r="AO430" s="58"/>
      <c r="AP430" s="58"/>
      <c r="AQ430" s="58"/>
      <c r="AR430" s="58"/>
      <c r="AS430" s="91"/>
      <c r="AT430" s="93"/>
      <c r="AU430" s="93"/>
      <c r="AV430" s="93"/>
      <c r="AW430" s="93"/>
    </row>
    <row r="431" spans="1:49" x14ac:dyDescent="0.25">
      <c r="A431" s="59"/>
      <c r="B431" s="12"/>
      <c r="C431" s="12"/>
      <c r="D431" s="60"/>
      <c r="E431" s="6"/>
      <c r="F431" s="6"/>
      <c r="G431" s="12"/>
      <c r="H431" s="12"/>
      <c r="I431" s="12" t="str" cm="2">
        <f t="array" ref="I431">IFERROR(INDEX(BrandList!$B$2:$B$200,MATCH(TRUE,ISNUMBER(SEARCH(BrandList!$B$2:$B$200,G431)),0)),"")</f>
        <v/>
      </c>
      <c r="J431" s="12"/>
      <c r="K431" s="12"/>
      <c r="L431" s="60"/>
      <c r="M431" s="60"/>
      <c r="N431" s="60"/>
      <c r="O431" s="60"/>
      <c r="P431" s="7" t="str">
        <f t="shared" si="13"/>
        <v/>
      </c>
      <c r="Q431" s="8">
        <f>IFERROR(VLOOKUP(VALUE(A431),WEEKLY_DATA!$A:$H,2,0),0)</f>
        <v>0</v>
      </c>
      <c r="R431" s="8">
        <f>IFERROR(VLOOKUP(VALUE(A431),WEEKLY_DATA!$A:$H,3,0),0)</f>
        <v>0</v>
      </c>
      <c r="S431" s="8">
        <f>IFERROR(VLOOKUP(VALUE(A431),WEEKLY_DATA!$A:$H,4,0),0)</f>
        <v>0</v>
      </c>
      <c r="T431" s="51">
        <f>IFERROR(VLOOKUP(VALUE(A431),WEEKLY_DATA!$A:$H,5,0),0)</f>
        <v>0</v>
      </c>
      <c r="U431" s="51">
        <f>IFERROR(VLOOKUP(VALUE(A431),WEEKLY_DATA!$A:$H,6,0),0)</f>
        <v>0</v>
      </c>
      <c r="V431" s="51">
        <f>IFERROR(VLOOKUP(VALUE(A431),WEEKLY_DATA!$A:$H,7,0),0)</f>
        <v>0</v>
      </c>
      <c r="W431" s="9" t="str">
        <f>IFERROR(IF(OR(Q431="",Q431=0),"",IF(VLOOKUP(VALUE($A431),WEEKLY_DATA!$A:$H,6,0)=0,"No Sales",Q431/(VLOOKUP(VALUE($A431),WEEKLY_DATA!$A:$H,6,0)/13))),"")</f>
        <v/>
      </c>
      <c r="X431" s="10">
        <f>IFERROR(VLOOKUP(VALUE(A431),WEEKLY_DATA!$A:$H,8,0),0)</f>
        <v>0</v>
      </c>
      <c r="Y431" s="13" t="str">
        <f t="shared" si="12"/>
        <v>—</v>
      </c>
      <c r="Z431" s="11"/>
      <c r="AA431" s="11"/>
      <c r="AB431" s="11"/>
      <c r="AC431" s="11"/>
      <c r="AD431" s="11"/>
      <c r="AE431" s="11"/>
      <c r="AF431" s="61"/>
      <c r="AG431" s="61"/>
      <c r="AH431" s="62"/>
      <c r="AI431" s="62"/>
      <c r="AJ431" s="61"/>
      <c r="AK431" s="61"/>
      <c r="AL431" s="61"/>
      <c r="AM431" s="58"/>
      <c r="AN431" s="58"/>
      <c r="AO431" s="58"/>
      <c r="AP431" s="58"/>
      <c r="AQ431" s="58"/>
      <c r="AR431" s="58"/>
      <c r="AS431" s="91"/>
      <c r="AT431" s="93"/>
      <c r="AU431" s="93"/>
      <c r="AV431" s="93"/>
      <c r="AW431" s="93"/>
    </row>
    <row r="432" spans="1:49" x14ac:dyDescent="0.25">
      <c r="A432" s="59"/>
      <c r="B432" s="12"/>
      <c r="C432" s="12"/>
      <c r="D432" s="60"/>
      <c r="E432" s="6"/>
      <c r="F432" s="6"/>
      <c r="G432" s="12"/>
      <c r="H432" s="12"/>
      <c r="I432" s="12" t="str" cm="2">
        <f t="array" ref="I432">IFERROR(INDEX(BrandList!$B$2:$B$200,MATCH(TRUE,ISNUMBER(SEARCH(BrandList!$B$2:$B$200,G432)),0)),"")</f>
        <v/>
      </c>
      <c r="J432" s="12"/>
      <c r="K432" s="12"/>
      <c r="L432" s="60"/>
      <c r="M432" s="60"/>
      <c r="N432" s="60"/>
      <c r="O432" s="60"/>
      <c r="P432" s="7" t="str">
        <f t="shared" si="13"/>
        <v/>
      </c>
      <c r="Q432" s="8">
        <f>IFERROR(VLOOKUP(VALUE(A432),WEEKLY_DATA!$A:$H,2,0),0)</f>
        <v>0</v>
      </c>
      <c r="R432" s="8">
        <f>IFERROR(VLOOKUP(VALUE(A432),WEEKLY_DATA!$A:$H,3,0),0)</f>
        <v>0</v>
      </c>
      <c r="S432" s="8">
        <f>IFERROR(VLOOKUP(VALUE(A432),WEEKLY_DATA!$A:$H,4,0),0)</f>
        <v>0</v>
      </c>
      <c r="T432" s="51">
        <f>IFERROR(VLOOKUP(VALUE(A432),WEEKLY_DATA!$A:$H,5,0),0)</f>
        <v>0</v>
      </c>
      <c r="U432" s="51">
        <f>IFERROR(VLOOKUP(VALUE(A432),WEEKLY_DATA!$A:$H,6,0),0)</f>
        <v>0</v>
      </c>
      <c r="V432" s="51">
        <f>IFERROR(VLOOKUP(VALUE(A432),WEEKLY_DATA!$A:$H,7,0),0)</f>
        <v>0</v>
      </c>
      <c r="W432" s="9" t="str">
        <f>IFERROR(IF(OR(Q432="",Q432=0),"",IF(VLOOKUP(VALUE($A432),WEEKLY_DATA!$A:$H,6,0)=0,"No Sales",Q432/(VLOOKUP(VALUE($A432),WEEKLY_DATA!$A:$H,6,0)/13))),"")</f>
        <v/>
      </c>
      <c r="X432" s="10">
        <f>IFERROR(VLOOKUP(VALUE(A432),WEEKLY_DATA!$A:$H,8,0),0)</f>
        <v>0</v>
      </c>
      <c r="Y432" s="13" t="str">
        <f t="shared" si="12"/>
        <v>—</v>
      </c>
      <c r="Z432" s="11"/>
      <c r="AA432" s="11"/>
      <c r="AB432" s="11"/>
      <c r="AC432" s="11"/>
      <c r="AD432" s="11"/>
      <c r="AE432" s="11"/>
      <c r="AF432" s="61"/>
      <c r="AG432" s="61"/>
      <c r="AH432" s="62"/>
      <c r="AI432" s="62"/>
      <c r="AJ432" s="61"/>
      <c r="AK432" s="61"/>
      <c r="AL432" s="61"/>
      <c r="AM432" s="58"/>
      <c r="AN432" s="58"/>
      <c r="AO432" s="58"/>
      <c r="AP432" s="58"/>
      <c r="AQ432" s="58"/>
      <c r="AR432" s="58"/>
      <c r="AS432" s="91"/>
      <c r="AT432" s="93"/>
      <c r="AU432" s="93"/>
      <c r="AV432" s="93"/>
      <c r="AW432" s="93"/>
    </row>
    <row r="433" spans="1:49" x14ac:dyDescent="0.25">
      <c r="A433" s="59"/>
      <c r="B433" s="12"/>
      <c r="C433" s="12"/>
      <c r="D433" s="60"/>
      <c r="E433" s="6"/>
      <c r="F433" s="6"/>
      <c r="G433" s="12"/>
      <c r="H433" s="12"/>
      <c r="I433" s="12" t="str" cm="2">
        <f t="array" ref="I433">IFERROR(INDEX(BrandList!$B$2:$B$200,MATCH(TRUE,ISNUMBER(SEARCH(BrandList!$B$2:$B$200,G433)),0)),"")</f>
        <v/>
      </c>
      <c r="J433" s="12"/>
      <c r="K433" s="12"/>
      <c r="L433" s="60"/>
      <c r="M433" s="60"/>
      <c r="N433" s="60"/>
      <c r="O433" s="60"/>
      <c r="P433" s="7" t="str">
        <f t="shared" si="13"/>
        <v/>
      </c>
      <c r="Q433" s="8">
        <f>IFERROR(VLOOKUP(VALUE(A433),WEEKLY_DATA!$A:$H,2,0),0)</f>
        <v>0</v>
      </c>
      <c r="R433" s="8">
        <f>IFERROR(VLOOKUP(VALUE(A433),WEEKLY_DATA!$A:$H,3,0),0)</f>
        <v>0</v>
      </c>
      <c r="S433" s="8">
        <f>IFERROR(VLOOKUP(VALUE(A433),WEEKLY_DATA!$A:$H,4,0),0)</f>
        <v>0</v>
      </c>
      <c r="T433" s="51">
        <f>IFERROR(VLOOKUP(VALUE(A433),WEEKLY_DATA!$A:$H,5,0),0)</f>
        <v>0</v>
      </c>
      <c r="U433" s="51">
        <f>IFERROR(VLOOKUP(VALUE(A433),WEEKLY_DATA!$A:$H,6,0),0)</f>
        <v>0</v>
      </c>
      <c r="V433" s="51">
        <f>IFERROR(VLOOKUP(VALUE(A433),WEEKLY_DATA!$A:$H,7,0),0)</f>
        <v>0</v>
      </c>
      <c r="W433" s="9" t="str">
        <f>IFERROR(IF(OR(Q433="",Q433=0),"",IF(VLOOKUP(VALUE($A433),WEEKLY_DATA!$A:$H,6,0)=0,"No Sales",Q433/(VLOOKUP(VALUE($A433),WEEKLY_DATA!$A:$H,6,0)/13))),"")</f>
        <v/>
      </c>
      <c r="X433" s="10">
        <f>IFERROR(VLOOKUP(VALUE(A433),WEEKLY_DATA!$A:$H,8,0),0)</f>
        <v>0</v>
      </c>
      <c r="Y433" s="13" t="str">
        <f t="shared" si="12"/>
        <v>—</v>
      </c>
      <c r="Z433" s="11"/>
      <c r="AA433" s="11"/>
      <c r="AB433" s="11"/>
      <c r="AC433" s="11"/>
      <c r="AD433" s="11"/>
      <c r="AE433" s="11"/>
      <c r="AF433" s="61"/>
      <c r="AG433" s="61"/>
      <c r="AH433" s="62"/>
      <c r="AI433" s="62"/>
      <c r="AJ433" s="61"/>
      <c r="AK433" s="61"/>
      <c r="AL433" s="61"/>
      <c r="AM433" s="58"/>
      <c r="AN433" s="58"/>
      <c r="AO433" s="58"/>
      <c r="AP433" s="58"/>
      <c r="AQ433" s="58"/>
      <c r="AR433" s="58"/>
      <c r="AS433" s="91"/>
      <c r="AT433" s="93"/>
      <c r="AU433" s="93"/>
      <c r="AV433" s="93"/>
      <c r="AW433" s="93"/>
    </row>
    <row r="434" spans="1:49" x14ac:dyDescent="0.25">
      <c r="A434" s="59"/>
      <c r="B434" s="12"/>
      <c r="C434" s="12"/>
      <c r="D434" s="60"/>
      <c r="E434" s="6"/>
      <c r="F434" s="6"/>
      <c r="G434" s="12"/>
      <c r="H434" s="12"/>
      <c r="I434" s="12" t="str" cm="2">
        <f t="array" ref="I434">IFERROR(INDEX(BrandList!$B$2:$B$200,MATCH(TRUE,ISNUMBER(SEARCH(BrandList!$B$2:$B$200,G434)),0)),"")</f>
        <v/>
      </c>
      <c r="J434" s="12"/>
      <c r="K434" s="12"/>
      <c r="L434" s="60"/>
      <c r="M434" s="60"/>
      <c r="N434" s="60"/>
      <c r="O434" s="60"/>
      <c r="P434" s="7" t="str">
        <f t="shared" si="13"/>
        <v/>
      </c>
      <c r="Q434" s="8">
        <f>IFERROR(VLOOKUP(VALUE(A434),WEEKLY_DATA!$A:$H,2,0),0)</f>
        <v>0</v>
      </c>
      <c r="R434" s="8">
        <f>IFERROR(VLOOKUP(VALUE(A434),WEEKLY_DATA!$A:$H,3,0),0)</f>
        <v>0</v>
      </c>
      <c r="S434" s="8">
        <f>IFERROR(VLOOKUP(VALUE(A434),WEEKLY_DATA!$A:$H,4,0),0)</f>
        <v>0</v>
      </c>
      <c r="T434" s="51">
        <f>IFERROR(VLOOKUP(VALUE(A434),WEEKLY_DATA!$A:$H,5,0),0)</f>
        <v>0</v>
      </c>
      <c r="U434" s="51">
        <f>IFERROR(VLOOKUP(VALUE(A434),WEEKLY_DATA!$A:$H,6,0),0)</f>
        <v>0</v>
      </c>
      <c r="V434" s="51">
        <f>IFERROR(VLOOKUP(VALUE(A434),WEEKLY_DATA!$A:$H,7,0),0)</f>
        <v>0</v>
      </c>
      <c r="W434" s="9" t="str">
        <f>IFERROR(IF(OR(Q434="",Q434=0),"",IF(VLOOKUP(VALUE($A434),WEEKLY_DATA!$A:$H,6,0)=0,"No Sales",Q434/(VLOOKUP(VALUE($A434),WEEKLY_DATA!$A:$H,6,0)/13))),"")</f>
        <v/>
      </c>
      <c r="X434" s="10">
        <f>IFERROR(VLOOKUP(VALUE(A434),WEEKLY_DATA!$A:$H,8,0),0)</f>
        <v>0</v>
      </c>
      <c r="Y434" s="13" t="str">
        <f t="shared" si="12"/>
        <v>—</v>
      </c>
      <c r="Z434" s="11"/>
      <c r="AA434" s="11"/>
      <c r="AB434" s="11"/>
      <c r="AC434" s="11"/>
      <c r="AD434" s="11"/>
      <c r="AE434" s="11"/>
      <c r="AF434" s="61"/>
      <c r="AG434" s="61"/>
      <c r="AH434" s="62"/>
      <c r="AI434" s="62"/>
      <c r="AJ434" s="61"/>
      <c r="AK434" s="61"/>
      <c r="AL434" s="61"/>
      <c r="AM434" s="58"/>
      <c r="AN434" s="58"/>
      <c r="AO434" s="58"/>
      <c r="AP434" s="58"/>
      <c r="AQ434" s="58"/>
      <c r="AR434" s="58"/>
      <c r="AS434" s="91"/>
      <c r="AT434" s="93"/>
      <c r="AU434" s="93"/>
      <c r="AV434" s="93"/>
      <c r="AW434" s="93"/>
    </row>
    <row r="435" spans="1:49" x14ac:dyDescent="0.25">
      <c r="A435" s="59"/>
      <c r="B435" s="12"/>
      <c r="C435" s="12"/>
      <c r="D435" s="60"/>
      <c r="E435" s="6"/>
      <c r="F435" s="6"/>
      <c r="G435" s="12"/>
      <c r="H435" s="12"/>
      <c r="I435" s="12" t="str" cm="2">
        <f t="array" ref="I435">IFERROR(INDEX(BrandList!$B$2:$B$200,MATCH(TRUE,ISNUMBER(SEARCH(BrandList!$B$2:$B$200,G435)),0)),"")</f>
        <v/>
      </c>
      <c r="J435" s="12"/>
      <c r="K435" s="12"/>
      <c r="L435" s="60"/>
      <c r="M435" s="60"/>
      <c r="N435" s="60"/>
      <c r="O435" s="60"/>
      <c r="P435" s="7" t="str">
        <f t="shared" si="13"/>
        <v/>
      </c>
      <c r="Q435" s="8">
        <f>IFERROR(VLOOKUP(VALUE(A435),WEEKLY_DATA!$A:$H,2,0),0)</f>
        <v>0</v>
      </c>
      <c r="R435" s="8">
        <f>IFERROR(VLOOKUP(VALUE(A435),WEEKLY_DATA!$A:$H,3,0),0)</f>
        <v>0</v>
      </c>
      <c r="S435" s="8">
        <f>IFERROR(VLOOKUP(VALUE(A435),WEEKLY_DATA!$A:$H,4,0),0)</f>
        <v>0</v>
      </c>
      <c r="T435" s="51">
        <f>IFERROR(VLOOKUP(VALUE(A435),WEEKLY_DATA!$A:$H,5,0),0)</f>
        <v>0</v>
      </c>
      <c r="U435" s="51">
        <f>IFERROR(VLOOKUP(VALUE(A435),WEEKLY_DATA!$A:$H,6,0),0)</f>
        <v>0</v>
      </c>
      <c r="V435" s="51">
        <f>IFERROR(VLOOKUP(VALUE(A435),WEEKLY_DATA!$A:$H,7,0),0)</f>
        <v>0</v>
      </c>
      <c r="W435" s="9" t="str">
        <f>IFERROR(IF(OR(Q435="",Q435=0),"",IF(VLOOKUP(VALUE($A435),WEEKLY_DATA!$A:$H,6,0)=0,"No Sales",Q435/(VLOOKUP(VALUE($A435),WEEKLY_DATA!$A:$H,6,0)/13))),"")</f>
        <v/>
      </c>
      <c r="X435" s="10">
        <f>IFERROR(VLOOKUP(VALUE(A435),WEEKLY_DATA!$A:$H,8,0),0)</f>
        <v>0</v>
      </c>
      <c r="Y435" s="13" t="str">
        <f t="shared" si="12"/>
        <v>—</v>
      </c>
      <c r="Z435" s="11"/>
      <c r="AA435" s="11"/>
      <c r="AB435" s="11"/>
      <c r="AC435" s="11"/>
      <c r="AD435" s="11"/>
      <c r="AE435" s="11"/>
      <c r="AF435" s="61"/>
      <c r="AG435" s="61"/>
      <c r="AH435" s="62"/>
      <c r="AI435" s="62"/>
      <c r="AJ435" s="61"/>
      <c r="AK435" s="61"/>
      <c r="AL435" s="61"/>
      <c r="AM435" s="58"/>
      <c r="AN435" s="58"/>
      <c r="AO435" s="58"/>
      <c r="AP435" s="58"/>
      <c r="AQ435" s="58"/>
      <c r="AR435" s="58"/>
      <c r="AS435" s="91"/>
      <c r="AT435" s="93"/>
      <c r="AU435" s="93"/>
      <c r="AV435" s="93"/>
      <c r="AW435" s="93"/>
    </row>
    <row r="436" spans="1:49" x14ac:dyDescent="0.25">
      <c r="A436" s="59"/>
      <c r="B436" s="12"/>
      <c r="C436" s="12"/>
      <c r="D436" s="60"/>
      <c r="E436" s="6"/>
      <c r="F436" s="6"/>
      <c r="G436" s="12"/>
      <c r="H436" s="12"/>
      <c r="I436" s="12" t="str" cm="2">
        <f t="array" ref="I436">IFERROR(INDEX(BrandList!$B$2:$B$200,MATCH(TRUE,ISNUMBER(SEARCH(BrandList!$B$2:$B$200,G436)),0)),"")</f>
        <v/>
      </c>
      <c r="J436" s="12"/>
      <c r="K436" s="12"/>
      <c r="L436" s="60"/>
      <c r="M436" s="60"/>
      <c r="N436" s="60"/>
      <c r="O436" s="60"/>
      <c r="P436" s="7" t="str">
        <f t="shared" si="13"/>
        <v/>
      </c>
      <c r="Q436" s="8">
        <f>IFERROR(VLOOKUP(VALUE(A436),WEEKLY_DATA!$A:$H,2,0),0)</f>
        <v>0</v>
      </c>
      <c r="R436" s="8">
        <f>IFERROR(VLOOKUP(VALUE(A436),WEEKLY_DATA!$A:$H,3,0),0)</f>
        <v>0</v>
      </c>
      <c r="S436" s="8">
        <f>IFERROR(VLOOKUP(VALUE(A436),WEEKLY_DATA!$A:$H,4,0),0)</f>
        <v>0</v>
      </c>
      <c r="T436" s="51">
        <f>IFERROR(VLOOKUP(VALUE(A436),WEEKLY_DATA!$A:$H,5,0),0)</f>
        <v>0</v>
      </c>
      <c r="U436" s="51">
        <f>IFERROR(VLOOKUP(VALUE(A436),WEEKLY_DATA!$A:$H,6,0),0)</f>
        <v>0</v>
      </c>
      <c r="V436" s="51">
        <f>IFERROR(VLOOKUP(VALUE(A436),WEEKLY_DATA!$A:$H,7,0),0)</f>
        <v>0</v>
      </c>
      <c r="W436" s="9" t="str">
        <f>IFERROR(IF(OR(Q436="",Q436=0),"",IF(VLOOKUP(VALUE($A436),WEEKLY_DATA!$A:$H,6,0)=0,"No Sales",Q436/(VLOOKUP(VALUE($A436),WEEKLY_DATA!$A:$H,6,0)/13))),"")</f>
        <v/>
      </c>
      <c r="X436" s="10">
        <f>IFERROR(VLOOKUP(VALUE(A436),WEEKLY_DATA!$A:$H,8,0),0)</f>
        <v>0</v>
      </c>
      <c r="Y436" s="13" t="str">
        <f t="shared" si="12"/>
        <v>—</v>
      </c>
      <c r="Z436" s="11"/>
      <c r="AA436" s="11"/>
      <c r="AB436" s="11"/>
      <c r="AC436" s="11"/>
      <c r="AD436" s="11"/>
      <c r="AE436" s="11"/>
      <c r="AF436" s="61"/>
      <c r="AG436" s="61"/>
      <c r="AH436" s="62"/>
      <c r="AI436" s="62"/>
      <c r="AJ436" s="61"/>
      <c r="AK436" s="61"/>
      <c r="AL436" s="61"/>
      <c r="AM436" s="58"/>
      <c r="AN436" s="58"/>
      <c r="AO436" s="58"/>
      <c r="AP436" s="58"/>
      <c r="AQ436" s="58"/>
      <c r="AR436" s="58"/>
      <c r="AS436" s="91"/>
      <c r="AT436" s="93"/>
      <c r="AU436" s="93"/>
      <c r="AV436" s="93"/>
      <c r="AW436" s="93"/>
    </row>
    <row r="437" spans="1:49" x14ac:dyDescent="0.25">
      <c r="A437" s="59"/>
      <c r="B437" s="12"/>
      <c r="C437" s="12"/>
      <c r="D437" s="60"/>
      <c r="E437" s="6"/>
      <c r="F437" s="6"/>
      <c r="G437" s="12"/>
      <c r="H437" s="12"/>
      <c r="I437" s="12" t="str" cm="2">
        <f t="array" ref="I437">IFERROR(INDEX(BrandList!$B$2:$B$200,MATCH(TRUE,ISNUMBER(SEARCH(BrandList!$B$2:$B$200,G437)),0)),"")</f>
        <v/>
      </c>
      <c r="J437" s="12"/>
      <c r="K437" s="12"/>
      <c r="L437" s="60"/>
      <c r="M437" s="60"/>
      <c r="N437" s="60"/>
      <c r="O437" s="60"/>
      <c r="P437" s="7" t="str">
        <f t="shared" si="13"/>
        <v/>
      </c>
      <c r="Q437" s="8">
        <f>IFERROR(VLOOKUP(VALUE(A437),WEEKLY_DATA!$A:$H,2,0),0)</f>
        <v>0</v>
      </c>
      <c r="R437" s="8">
        <f>IFERROR(VLOOKUP(VALUE(A437),WEEKLY_DATA!$A:$H,3,0),0)</f>
        <v>0</v>
      </c>
      <c r="S437" s="8">
        <f>IFERROR(VLOOKUP(VALUE(A437),WEEKLY_DATA!$A:$H,4,0),0)</f>
        <v>0</v>
      </c>
      <c r="T437" s="51">
        <f>IFERROR(VLOOKUP(VALUE(A437),WEEKLY_DATA!$A:$H,5,0),0)</f>
        <v>0</v>
      </c>
      <c r="U437" s="51">
        <f>IFERROR(VLOOKUP(VALUE(A437),WEEKLY_DATA!$A:$H,6,0),0)</f>
        <v>0</v>
      </c>
      <c r="V437" s="51">
        <f>IFERROR(VLOOKUP(VALUE(A437),WEEKLY_DATA!$A:$H,7,0),0)</f>
        <v>0</v>
      </c>
      <c r="W437" s="9" t="str">
        <f>IFERROR(IF(OR(Q437="",Q437=0),"",IF(VLOOKUP(VALUE($A437),WEEKLY_DATA!$A:$H,6,0)=0,"No Sales",Q437/(VLOOKUP(VALUE($A437),WEEKLY_DATA!$A:$H,6,0)/13))),"")</f>
        <v/>
      </c>
      <c r="X437" s="10">
        <f>IFERROR(VLOOKUP(VALUE(A437),WEEKLY_DATA!$A:$H,8,0),0)</f>
        <v>0</v>
      </c>
      <c r="Y437" s="13" t="str">
        <f t="shared" si="12"/>
        <v>—</v>
      </c>
      <c r="Z437" s="11"/>
      <c r="AA437" s="11"/>
      <c r="AB437" s="11"/>
      <c r="AC437" s="11"/>
      <c r="AD437" s="11"/>
      <c r="AE437" s="11"/>
      <c r="AF437" s="61"/>
      <c r="AG437" s="61"/>
      <c r="AH437" s="62"/>
      <c r="AI437" s="62"/>
      <c r="AJ437" s="61"/>
      <c r="AK437" s="61"/>
      <c r="AL437" s="61"/>
      <c r="AM437" s="58"/>
      <c r="AN437" s="58"/>
      <c r="AO437" s="58"/>
      <c r="AP437" s="58"/>
      <c r="AQ437" s="58"/>
      <c r="AR437" s="58"/>
      <c r="AS437" s="91"/>
      <c r="AT437" s="93"/>
      <c r="AU437" s="93"/>
      <c r="AV437" s="93"/>
      <c r="AW437" s="93"/>
    </row>
    <row r="438" spans="1:49" x14ac:dyDescent="0.25">
      <c r="A438" s="59"/>
      <c r="B438" s="12"/>
      <c r="C438" s="12"/>
      <c r="D438" s="60"/>
      <c r="E438" s="6"/>
      <c r="F438" s="6"/>
      <c r="G438" s="12"/>
      <c r="H438" s="12"/>
      <c r="I438" s="12" t="str" cm="2">
        <f t="array" ref="I438">IFERROR(INDEX(BrandList!$B$2:$B$200,MATCH(TRUE,ISNUMBER(SEARCH(BrandList!$B$2:$B$200,G438)),0)),"")</f>
        <v/>
      </c>
      <c r="J438" s="12"/>
      <c r="K438" s="12"/>
      <c r="L438" s="60"/>
      <c r="M438" s="60"/>
      <c r="N438" s="60"/>
      <c r="O438" s="60"/>
      <c r="P438" s="7" t="str">
        <f t="shared" si="13"/>
        <v/>
      </c>
      <c r="Q438" s="8">
        <f>IFERROR(VLOOKUP(VALUE(A438),WEEKLY_DATA!$A:$H,2,0),0)</f>
        <v>0</v>
      </c>
      <c r="R438" s="8">
        <f>IFERROR(VLOOKUP(VALUE(A438),WEEKLY_DATA!$A:$H,3,0),0)</f>
        <v>0</v>
      </c>
      <c r="S438" s="8">
        <f>IFERROR(VLOOKUP(VALUE(A438),WEEKLY_DATA!$A:$H,4,0),0)</f>
        <v>0</v>
      </c>
      <c r="T438" s="51">
        <f>IFERROR(VLOOKUP(VALUE(A438),WEEKLY_DATA!$A:$H,5,0),0)</f>
        <v>0</v>
      </c>
      <c r="U438" s="51">
        <f>IFERROR(VLOOKUP(VALUE(A438),WEEKLY_DATA!$A:$H,6,0),0)</f>
        <v>0</v>
      </c>
      <c r="V438" s="51">
        <f>IFERROR(VLOOKUP(VALUE(A438),WEEKLY_DATA!$A:$H,7,0),0)</f>
        <v>0</v>
      </c>
      <c r="W438" s="9" t="str">
        <f>IFERROR(IF(OR(Q438="",Q438=0),"",IF(VLOOKUP(VALUE($A438),WEEKLY_DATA!$A:$H,6,0)=0,"No Sales",Q438/(VLOOKUP(VALUE($A438),WEEKLY_DATA!$A:$H,6,0)/13))),"")</f>
        <v/>
      </c>
      <c r="X438" s="10">
        <f>IFERROR(VLOOKUP(VALUE(A438),WEEKLY_DATA!$A:$H,8,0),0)</f>
        <v>0</v>
      </c>
      <c r="Y438" s="13" t="str">
        <f t="shared" si="12"/>
        <v>—</v>
      </c>
      <c r="Z438" s="11"/>
      <c r="AA438" s="11"/>
      <c r="AB438" s="11"/>
      <c r="AC438" s="11"/>
      <c r="AD438" s="11"/>
      <c r="AE438" s="11"/>
      <c r="AF438" s="61"/>
      <c r="AG438" s="61"/>
      <c r="AH438" s="62"/>
      <c r="AI438" s="62"/>
      <c r="AJ438" s="61"/>
      <c r="AK438" s="61"/>
      <c r="AL438" s="61"/>
      <c r="AM438" s="58"/>
      <c r="AN438" s="58"/>
      <c r="AO438" s="58"/>
      <c r="AP438" s="58"/>
      <c r="AQ438" s="58"/>
      <c r="AR438" s="58"/>
      <c r="AS438" s="91"/>
      <c r="AT438" s="93"/>
      <c r="AU438" s="93"/>
      <c r="AV438" s="93"/>
      <c r="AW438" s="93"/>
    </row>
    <row r="439" spans="1:49" x14ac:dyDescent="0.25">
      <c r="A439" s="59"/>
      <c r="B439" s="12"/>
      <c r="C439" s="12"/>
      <c r="D439" s="60"/>
      <c r="E439" s="6"/>
      <c r="F439" s="6"/>
      <c r="G439" s="12"/>
      <c r="H439" s="12"/>
      <c r="I439" s="12" t="str" cm="2">
        <f t="array" ref="I439">IFERROR(INDEX(BrandList!$B$2:$B$200,MATCH(TRUE,ISNUMBER(SEARCH(BrandList!$B$2:$B$200,G439)),0)),"")</f>
        <v/>
      </c>
      <c r="J439" s="12"/>
      <c r="K439" s="12"/>
      <c r="L439" s="60"/>
      <c r="M439" s="60"/>
      <c r="N439" s="60"/>
      <c r="O439" s="60"/>
      <c r="P439" s="7" t="str">
        <f t="shared" si="13"/>
        <v/>
      </c>
      <c r="Q439" s="8">
        <f>IFERROR(VLOOKUP(VALUE(A439),WEEKLY_DATA!$A:$H,2,0),0)</f>
        <v>0</v>
      </c>
      <c r="R439" s="8">
        <f>IFERROR(VLOOKUP(VALUE(A439),WEEKLY_DATA!$A:$H,3,0),0)</f>
        <v>0</v>
      </c>
      <c r="S439" s="8">
        <f>IFERROR(VLOOKUP(VALUE(A439),WEEKLY_DATA!$A:$H,4,0),0)</f>
        <v>0</v>
      </c>
      <c r="T439" s="51">
        <f>IFERROR(VLOOKUP(VALUE(A439),WEEKLY_DATA!$A:$H,5,0),0)</f>
        <v>0</v>
      </c>
      <c r="U439" s="51">
        <f>IFERROR(VLOOKUP(VALUE(A439),WEEKLY_DATA!$A:$H,6,0),0)</f>
        <v>0</v>
      </c>
      <c r="V439" s="51">
        <f>IFERROR(VLOOKUP(VALUE(A439),WEEKLY_DATA!$A:$H,7,0),0)</f>
        <v>0</v>
      </c>
      <c r="W439" s="9" t="str">
        <f>IFERROR(IF(OR(Q439="",Q439=0),"",IF(VLOOKUP(VALUE($A439),WEEKLY_DATA!$A:$H,6,0)=0,"No Sales",Q439/(VLOOKUP(VALUE($A439),WEEKLY_DATA!$A:$H,6,0)/13))),"")</f>
        <v/>
      </c>
      <c r="X439" s="10">
        <f>IFERROR(VLOOKUP(VALUE(A439),WEEKLY_DATA!$A:$H,8,0),0)</f>
        <v>0</v>
      </c>
      <c r="Y439" s="13" t="str">
        <f t="shared" si="12"/>
        <v>—</v>
      </c>
      <c r="Z439" s="11"/>
      <c r="AA439" s="11"/>
      <c r="AB439" s="11"/>
      <c r="AC439" s="11"/>
      <c r="AD439" s="11"/>
      <c r="AE439" s="11"/>
      <c r="AF439" s="61"/>
      <c r="AG439" s="61"/>
      <c r="AH439" s="62"/>
      <c r="AI439" s="62"/>
      <c r="AJ439" s="61"/>
      <c r="AK439" s="61"/>
      <c r="AL439" s="61"/>
      <c r="AM439" s="58"/>
      <c r="AN439" s="58"/>
      <c r="AO439" s="58"/>
      <c r="AP439" s="58"/>
      <c r="AQ439" s="58"/>
      <c r="AR439" s="58"/>
      <c r="AS439" s="91"/>
      <c r="AT439" s="93"/>
      <c r="AU439" s="93"/>
      <c r="AV439" s="93"/>
      <c r="AW439" s="93"/>
    </row>
    <row r="440" spans="1:49" x14ac:dyDescent="0.25">
      <c r="A440" s="59"/>
      <c r="B440" s="12"/>
      <c r="C440" s="12"/>
      <c r="D440" s="60"/>
      <c r="E440" s="6"/>
      <c r="F440" s="6"/>
      <c r="G440" s="12"/>
      <c r="H440" s="12"/>
      <c r="I440" s="12" t="str" cm="2">
        <f t="array" ref="I440">IFERROR(INDEX(BrandList!$B$2:$B$200,MATCH(TRUE,ISNUMBER(SEARCH(BrandList!$B$2:$B$200,G440)),0)),"")</f>
        <v/>
      </c>
      <c r="J440" s="12"/>
      <c r="K440" s="12"/>
      <c r="L440" s="60"/>
      <c r="M440" s="60"/>
      <c r="N440" s="60"/>
      <c r="O440" s="60"/>
      <c r="P440" s="7" t="str">
        <f t="shared" si="13"/>
        <v/>
      </c>
      <c r="Q440" s="8">
        <f>IFERROR(VLOOKUP(VALUE(A440),WEEKLY_DATA!$A:$H,2,0),0)</f>
        <v>0</v>
      </c>
      <c r="R440" s="8">
        <f>IFERROR(VLOOKUP(VALUE(A440),WEEKLY_DATA!$A:$H,3,0),0)</f>
        <v>0</v>
      </c>
      <c r="S440" s="8">
        <f>IFERROR(VLOOKUP(VALUE(A440),WEEKLY_DATA!$A:$H,4,0),0)</f>
        <v>0</v>
      </c>
      <c r="T440" s="51">
        <f>IFERROR(VLOOKUP(VALUE(A440),WEEKLY_DATA!$A:$H,5,0),0)</f>
        <v>0</v>
      </c>
      <c r="U440" s="51">
        <f>IFERROR(VLOOKUP(VALUE(A440),WEEKLY_DATA!$A:$H,6,0),0)</f>
        <v>0</v>
      </c>
      <c r="V440" s="51">
        <f>IFERROR(VLOOKUP(VALUE(A440),WEEKLY_DATA!$A:$H,7,0),0)</f>
        <v>0</v>
      </c>
      <c r="W440" s="9" t="str">
        <f>IFERROR(IF(OR(Q440="",Q440=0),"",IF(VLOOKUP(VALUE($A440),WEEKLY_DATA!$A:$H,6,0)=0,"No Sales",Q440/(VLOOKUP(VALUE($A440),WEEKLY_DATA!$A:$H,6,0)/13))),"")</f>
        <v/>
      </c>
      <c r="X440" s="10">
        <f>IFERROR(VLOOKUP(VALUE(A440),WEEKLY_DATA!$A:$H,8,0),0)</f>
        <v>0</v>
      </c>
      <c r="Y440" s="13" t="str">
        <f t="shared" si="12"/>
        <v>—</v>
      </c>
      <c r="Z440" s="11"/>
      <c r="AA440" s="11"/>
      <c r="AB440" s="11"/>
      <c r="AC440" s="11"/>
      <c r="AD440" s="11"/>
      <c r="AE440" s="11"/>
      <c r="AF440" s="61"/>
      <c r="AG440" s="61"/>
      <c r="AH440" s="62"/>
      <c r="AI440" s="62"/>
      <c r="AJ440" s="61"/>
      <c r="AK440" s="61"/>
      <c r="AL440" s="61"/>
      <c r="AM440" s="58"/>
      <c r="AN440" s="58"/>
      <c r="AO440" s="58"/>
      <c r="AP440" s="58"/>
      <c r="AQ440" s="58"/>
      <c r="AR440" s="58"/>
      <c r="AS440" s="91"/>
      <c r="AT440" s="93"/>
      <c r="AU440" s="93"/>
      <c r="AV440" s="93"/>
      <c r="AW440" s="93"/>
    </row>
    <row r="441" spans="1:49" x14ac:dyDescent="0.25">
      <c r="A441" s="59"/>
      <c r="B441" s="12"/>
      <c r="C441" s="12"/>
      <c r="D441" s="60"/>
      <c r="E441" s="6"/>
      <c r="F441" s="6"/>
      <c r="G441" s="12"/>
      <c r="H441" s="12"/>
      <c r="I441" s="12" t="str" cm="2">
        <f t="array" ref="I441">IFERROR(INDEX(BrandList!$B$2:$B$200,MATCH(TRUE,ISNUMBER(SEARCH(BrandList!$B$2:$B$200,G441)),0)),"")</f>
        <v/>
      </c>
      <c r="J441" s="12"/>
      <c r="K441" s="12"/>
      <c r="L441" s="60"/>
      <c r="M441" s="60"/>
      <c r="N441" s="60"/>
      <c r="O441" s="60"/>
      <c r="P441" s="7" t="str">
        <f t="shared" si="13"/>
        <v/>
      </c>
      <c r="Q441" s="8">
        <f>IFERROR(VLOOKUP(VALUE(A441),WEEKLY_DATA!$A:$H,2,0),0)</f>
        <v>0</v>
      </c>
      <c r="R441" s="8">
        <f>IFERROR(VLOOKUP(VALUE(A441),WEEKLY_DATA!$A:$H,3,0),0)</f>
        <v>0</v>
      </c>
      <c r="S441" s="8">
        <f>IFERROR(VLOOKUP(VALUE(A441),WEEKLY_DATA!$A:$H,4,0),0)</f>
        <v>0</v>
      </c>
      <c r="T441" s="51">
        <f>IFERROR(VLOOKUP(VALUE(A441),WEEKLY_DATA!$A:$H,5,0),0)</f>
        <v>0</v>
      </c>
      <c r="U441" s="51">
        <f>IFERROR(VLOOKUP(VALUE(A441),WEEKLY_DATA!$A:$H,6,0),0)</f>
        <v>0</v>
      </c>
      <c r="V441" s="51">
        <f>IFERROR(VLOOKUP(VALUE(A441),WEEKLY_DATA!$A:$H,7,0),0)</f>
        <v>0</v>
      </c>
      <c r="W441" s="9" t="str">
        <f>IFERROR(IF(OR(Q441="",Q441=0),"",IF(VLOOKUP(VALUE($A441),WEEKLY_DATA!$A:$H,6,0)=0,"No Sales",Q441/(VLOOKUP(VALUE($A441),WEEKLY_DATA!$A:$H,6,0)/13))),"")</f>
        <v/>
      </c>
      <c r="X441" s="10">
        <f>IFERROR(VLOOKUP(VALUE(A441),WEEKLY_DATA!$A:$H,8,0),0)</f>
        <v>0</v>
      </c>
      <c r="Y441" s="13" t="str">
        <f t="shared" si="12"/>
        <v>—</v>
      </c>
      <c r="Z441" s="11"/>
      <c r="AA441" s="11"/>
      <c r="AB441" s="11"/>
      <c r="AC441" s="11"/>
      <c r="AD441" s="11"/>
      <c r="AE441" s="11"/>
      <c r="AF441" s="61"/>
      <c r="AG441" s="61"/>
      <c r="AH441" s="62"/>
      <c r="AI441" s="62"/>
      <c r="AJ441" s="61"/>
      <c r="AK441" s="61"/>
      <c r="AL441" s="61"/>
      <c r="AM441" s="58"/>
      <c r="AN441" s="58"/>
      <c r="AO441" s="58"/>
      <c r="AP441" s="58"/>
      <c r="AQ441" s="58"/>
      <c r="AR441" s="58"/>
      <c r="AS441" s="91"/>
      <c r="AT441" s="93"/>
      <c r="AU441" s="93"/>
      <c r="AV441" s="93"/>
      <c r="AW441" s="93"/>
    </row>
    <row r="442" spans="1:49" x14ac:dyDescent="0.25">
      <c r="A442" s="59"/>
      <c r="B442" s="12"/>
      <c r="C442" s="12"/>
      <c r="D442" s="60"/>
      <c r="E442" s="6"/>
      <c r="F442" s="6"/>
      <c r="G442" s="12"/>
      <c r="H442" s="12"/>
      <c r="I442" s="12" t="str" cm="2">
        <f t="array" ref="I442">IFERROR(INDEX(BrandList!$B$2:$B$200,MATCH(TRUE,ISNUMBER(SEARCH(BrandList!$B$2:$B$200,G442)),0)),"")</f>
        <v/>
      </c>
      <c r="J442" s="12"/>
      <c r="K442" s="12"/>
      <c r="L442" s="60"/>
      <c r="M442" s="60"/>
      <c r="N442" s="60"/>
      <c r="O442" s="60"/>
      <c r="P442" s="7" t="str">
        <f t="shared" si="13"/>
        <v/>
      </c>
      <c r="Q442" s="8">
        <f>IFERROR(VLOOKUP(VALUE(A442),WEEKLY_DATA!$A:$H,2,0),0)</f>
        <v>0</v>
      </c>
      <c r="R442" s="8">
        <f>IFERROR(VLOOKUP(VALUE(A442),WEEKLY_DATA!$A:$H,3,0),0)</f>
        <v>0</v>
      </c>
      <c r="S442" s="8">
        <f>IFERROR(VLOOKUP(VALUE(A442),WEEKLY_DATA!$A:$H,4,0),0)</f>
        <v>0</v>
      </c>
      <c r="T442" s="51">
        <f>IFERROR(VLOOKUP(VALUE(A442),WEEKLY_DATA!$A:$H,5,0),0)</f>
        <v>0</v>
      </c>
      <c r="U442" s="51">
        <f>IFERROR(VLOOKUP(VALUE(A442),WEEKLY_DATA!$A:$H,6,0),0)</f>
        <v>0</v>
      </c>
      <c r="V442" s="51">
        <f>IFERROR(VLOOKUP(VALUE(A442),WEEKLY_DATA!$A:$H,7,0),0)</f>
        <v>0</v>
      </c>
      <c r="W442" s="9" t="str">
        <f>IFERROR(IF(OR(Q442="",Q442=0),"",IF(VLOOKUP(VALUE($A442),WEEKLY_DATA!$A:$H,6,0)=0,"No Sales",Q442/(VLOOKUP(VALUE($A442),WEEKLY_DATA!$A:$H,6,0)/13))),"")</f>
        <v/>
      </c>
      <c r="X442" s="10">
        <f>IFERROR(VLOOKUP(VALUE(A442),WEEKLY_DATA!$A:$H,8,0),0)</f>
        <v>0</v>
      </c>
      <c r="Y442" s="13" t="str">
        <f t="shared" si="12"/>
        <v>—</v>
      </c>
      <c r="Z442" s="11"/>
      <c r="AA442" s="11"/>
      <c r="AB442" s="11"/>
      <c r="AC442" s="11"/>
      <c r="AD442" s="11"/>
      <c r="AE442" s="11"/>
      <c r="AF442" s="61"/>
      <c r="AG442" s="61"/>
      <c r="AH442" s="62"/>
      <c r="AI442" s="62"/>
      <c r="AJ442" s="61"/>
      <c r="AK442" s="61"/>
      <c r="AL442" s="61"/>
      <c r="AM442" s="58"/>
      <c r="AN442" s="58"/>
      <c r="AO442" s="58"/>
      <c r="AP442" s="58"/>
      <c r="AQ442" s="58"/>
      <c r="AR442" s="58"/>
      <c r="AS442" s="91"/>
      <c r="AT442" s="93"/>
      <c r="AU442" s="93"/>
      <c r="AV442" s="93"/>
      <c r="AW442" s="93"/>
    </row>
    <row r="443" spans="1:49" x14ac:dyDescent="0.25">
      <c r="A443" s="59"/>
      <c r="B443" s="12"/>
      <c r="C443" s="12"/>
      <c r="D443" s="60"/>
      <c r="E443" s="6"/>
      <c r="F443" s="6"/>
      <c r="G443" s="12"/>
      <c r="H443" s="12"/>
      <c r="I443" s="12" t="str" cm="2">
        <f t="array" ref="I443">IFERROR(INDEX(BrandList!$B$2:$B$200,MATCH(TRUE,ISNUMBER(SEARCH(BrandList!$B$2:$B$200,G443)),0)),"")</f>
        <v/>
      </c>
      <c r="J443" s="12"/>
      <c r="K443" s="12"/>
      <c r="L443" s="60"/>
      <c r="M443" s="60"/>
      <c r="N443" s="60"/>
      <c r="O443" s="60"/>
      <c r="P443" s="7" t="str">
        <f t="shared" si="13"/>
        <v/>
      </c>
      <c r="Q443" s="8">
        <f>IFERROR(VLOOKUP(VALUE(A443),WEEKLY_DATA!$A:$H,2,0),0)</f>
        <v>0</v>
      </c>
      <c r="R443" s="8">
        <f>IFERROR(VLOOKUP(VALUE(A443),WEEKLY_DATA!$A:$H,3,0),0)</f>
        <v>0</v>
      </c>
      <c r="S443" s="8">
        <f>IFERROR(VLOOKUP(VALUE(A443),WEEKLY_DATA!$A:$H,4,0),0)</f>
        <v>0</v>
      </c>
      <c r="T443" s="51">
        <f>IFERROR(VLOOKUP(VALUE(A443),WEEKLY_DATA!$A:$H,5,0),0)</f>
        <v>0</v>
      </c>
      <c r="U443" s="51">
        <f>IFERROR(VLOOKUP(VALUE(A443),WEEKLY_DATA!$A:$H,6,0),0)</f>
        <v>0</v>
      </c>
      <c r="V443" s="51">
        <f>IFERROR(VLOOKUP(VALUE(A443),WEEKLY_DATA!$A:$H,7,0),0)</f>
        <v>0</v>
      </c>
      <c r="W443" s="9" t="str">
        <f>IFERROR(IF(OR(Q443="",Q443=0),"",IF(VLOOKUP(VALUE($A443),WEEKLY_DATA!$A:$H,6,0)=0,"No Sales",Q443/(VLOOKUP(VALUE($A443),WEEKLY_DATA!$A:$H,6,0)/13))),"")</f>
        <v/>
      </c>
      <c r="X443" s="10">
        <f>IFERROR(VLOOKUP(VALUE(A443),WEEKLY_DATA!$A:$H,8,0),0)</f>
        <v>0</v>
      </c>
      <c r="Y443" s="13" t="str">
        <f t="shared" si="12"/>
        <v>—</v>
      </c>
      <c r="Z443" s="11"/>
      <c r="AA443" s="11"/>
      <c r="AB443" s="11"/>
      <c r="AC443" s="11"/>
      <c r="AD443" s="11"/>
      <c r="AE443" s="11"/>
      <c r="AF443" s="61"/>
      <c r="AG443" s="61"/>
      <c r="AH443" s="62"/>
      <c r="AI443" s="62"/>
      <c r="AJ443" s="61"/>
      <c r="AK443" s="61"/>
      <c r="AL443" s="61"/>
      <c r="AM443" s="58"/>
      <c r="AN443" s="58"/>
      <c r="AO443" s="58"/>
      <c r="AP443" s="58"/>
      <c r="AQ443" s="58"/>
      <c r="AR443" s="58"/>
      <c r="AS443" s="91"/>
      <c r="AT443" s="93"/>
      <c r="AU443" s="93"/>
      <c r="AV443" s="93"/>
      <c r="AW443" s="93"/>
    </row>
    <row r="444" spans="1:49" x14ac:dyDescent="0.25">
      <c r="A444" s="59"/>
      <c r="B444" s="12"/>
      <c r="C444" s="12"/>
      <c r="D444" s="60"/>
      <c r="E444" s="6"/>
      <c r="F444" s="6"/>
      <c r="G444" s="12"/>
      <c r="H444" s="12"/>
      <c r="I444" s="12" t="str" cm="2">
        <f t="array" ref="I444">IFERROR(INDEX(BrandList!$B$2:$B$200,MATCH(TRUE,ISNUMBER(SEARCH(BrandList!$B$2:$B$200,G444)),0)),"")</f>
        <v/>
      </c>
      <c r="J444" s="12"/>
      <c r="K444" s="12"/>
      <c r="L444" s="60"/>
      <c r="M444" s="60"/>
      <c r="N444" s="60"/>
      <c r="O444" s="60"/>
      <c r="P444" s="7" t="str">
        <f t="shared" si="13"/>
        <v/>
      </c>
      <c r="Q444" s="8">
        <f>IFERROR(VLOOKUP(VALUE(A444),WEEKLY_DATA!$A:$H,2,0),0)</f>
        <v>0</v>
      </c>
      <c r="R444" s="8">
        <f>IFERROR(VLOOKUP(VALUE(A444),WEEKLY_DATA!$A:$H,3,0),0)</f>
        <v>0</v>
      </c>
      <c r="S444" s="8">
        <f>IFERROR(VLOOKUP(VALUE(A444),WEEKLY_DATA!$A:$H,4,0),0)</f>
        <v>0</v>
      </c>
      <c r="T444" s="51">
        <f>IFERROR(VLOOKUP(VALUE(A444),WEEKLY_DATA!$A:$H,5,0),0)</f>
        <v>0</v>
      </c>
      <c r="U444" s="51">
        <f>IFERROR(VLOOKUP(VALUE(A444),WEEKLY_DATA!$A:$H,6,0),0)</f>
        <v>0</v>
      </c>
      <c r="V444" s="51">
        <f>IFERROR(VLOOKUP(VALUE(A444),WEEKLY_DATA!$A:$H,7,0),0)</f>
        <v>0</v>
      </c>
      <c r="W444" s="9" t="str">
        <f>IFERROR(IF(OR(Q444="",Q444=0),"",IF(VLOOKUP(VALUE($A444),WEEKLY_DATA!$A:$H,6,0)=0,"No Sales",Q444/(VLOOKUP(VALUE($A444),WEEKLY_DATA!$A:$H,6,0)/13))),"")</f>
        <v/>
      </c>
      <c r="X444" s="10">
        <f>IFERROR(VLOOKUP(VALUE(A444),WEEKLY_DATA!$A:$H,8,0),0)</f>
        <v>0</v>
      </c>
      <c r="Y444" s="13" t="str">
        <f t="shared" si="12"/>
        <v>—</v>
      </c>
      <c r="Z444" s="11"/>
      <c r="AA444" s="11"/>
      <c r="AB444" s="11"/>
      <c r="AC444" s="11"/>
      <c r="AD444" s="11"/>
      <c r="AE444" s="11"/>
      <c r="AF444" s="61"/>
      <c r="AG444" s="61"/>
      <c r="AH444" s="62"/>
      <c r="AI444" s="62"/>
      <c r="AJ444" s="61"/>
      <c r="AK444" s="61"/>
      <c r="AL444" s="61"/>
      <c r="AM444" s="58"/>
      <c r="AN444" s="58"/>
      <c r="AO444" s="58"/>
      <c r="AP444" s="58"/>
      <c r="AQ444" s="58"/>
      <c r="AR444" s="58"/>
      <c r="AS444" s="91"/>
      <c r="AT444" s="93"/>
      <c r="AU444" s="93"/>
      <c r="AV444" s="93"/>
      <c r="AW444" s="93"/>
    </row>
    <row r="445" spans="1:49" x14ac:dyDescent="0.25">
      <c r="A445" s="59"/>
      <c r="B445" s="12"/>
      <c r="C445" s="12"/>
      <c r="D445" s="60"/>
      <c r="E445" s="6"/>
      <c r="F445" s="6"/>
      <c r="G445" s="12"/>
      <c r="H445" s="12"/>
      <c r="I445" s="12" t="str" cm="2">
        <f t="array" ref="I445">IFERROR(INDEX(BrandList!$B$2:$B$200,MATCH(TRUE,ISNUMBER(SEARCH(BrandList!$B$2:$B$200,G445)),0)),"")</f>
        <v/>
      </c>
      <c r="J445" s="12"/>
      <c r="K445" s="12"/>
      <c r="L445" s="60"/>
      <c r="M445" s="60"/>
      <c r="N445" s="60"/>
      <c r="O445" s="60"/>
      <c r="P445" s="7" t="str">
        <f t="shared" si="13"/>
        <v/>
      </c>
      <c r="Q445" s="8">
        <f>IFERROR(VLOOKUP(VALUE(A445),WEEKLY_DATA!$A:$H,2,0),0)</f>
        <v>0</v>
      </c>
      <c r="R445" s="8">
        <f>IFERROR(VLOOKUP(VALUE(A445),WEEKLY_DATA!$A:$H,3,0),0)</f>
        <v>0</v>
      </c>
      <c r="S445" s="8">
        <f>IFERROR(VLOOKUP(VALUE(A445),WEEKLY_DATA!$A:$H,4,0),0)</f>
        <v>0</v>
      </c>
      <c r="T445" s="51">
        <f>IFERROR(VLOOKUP(VALUE(A445),WEEKLY_DATA!$A:$H,5,0),0)</f>
        <v>0</v>
      </c>
      <c r="U445" s="51">
        <f>IFERROR(VLOOKUP(VALUE(A445),WEEKLY_DATA!$A:$H,6,0),0)</f>
        <v>0</v>
      </c>
      <c r="V445" s="51">
        <f>IFERROR(VLOOKUP(VALUE(A445),WEEKLY_DATA!$A:$H,7,0),0)</f>
        <v>0</v>
      </c>
      <c r="W445" s="9" t="str">
        <f>IFERROR(IF(OR(Q445="",Q445=0),"",IF(VLOOKUP(VALUE($A445),WEEKLY_DATA!$A:$H,6,0)=0,"No Sales",Q445/(VLOOKUP(VALUE($A445),WEEKLY_DATA!$A:$H,6,0)/13))),"")</f>
        <v/>
      </c>
      <c r="X445" s="10">
        <f>IFERROR(VLOOKUP(VALUE(A445),WEEKLY_DATA!$A:$H,8,0),0)</f>
        <v>0</v>
      </c>
      <c r="Y445" s="13" t="str">
        <f t="shared" si="12"/>
        <v>—</v>
      </c>
      <c r="Z445" s="11"/>
      <c r="AA445" s="11"/>
      <c r="AB445" s="11"/>
      <c r="AC445" s="11"/>
      <c r="AD445" s="11"/>
      <c r="AE445" s="11"/>
      <c r="AF445" s="61"/>
      <c r="AG445" s="61"/>
      <c r="AH445" s="62"/>
      <c r="AI445" s="62"/>
      <c r="AJ445" s="61"/>
      <c r="AK445" s="61"/>
      <c r="AL445" s="61"/>
      <c r="AM445" s="58"/>
      <c r="AN445" s="58"/>
      <c r="AO445" s="58"/>
      <c r="AP445" s="58"/>
      <c r="AQ445" s="58"/>
      <c r="AR445" s="58"/>
      <c r="AS445" s="91"/>
      <c r="AT445" s="93"/>
      <c r="AU445" s="93"/>
      <c r="AV445" s="93"/>
      <c r="AW445" s="93"/>
    </row>
    <row r="446" spans="1:49" x14ac:dyDescent="0.25">
      <c r="A446" s="59"/>
      <c r="B446" s="12"/>
      <c r="C446" s="12"/>
      <c r="D446" s="60"/>
      <c r="E446" s="6"/>
      <c r="F446" s="6"/>
      <c r="G446" s="12"/>
      <c r="H446" s="12"/>
      <c r="I446" s="12" t="str" cm="2">
        <f t="array" ref="I446">IFERROR(INDEX(BrandList!$B$2:$B$200,MATCH(TRUE,ISNUMBER(SEARCH(BrandList!$B$2:$B$200,G446)),0)),"")</f>
        <v/>
      </c>
      <c r="J446" s="12"/>
      <c r="K446" s="12"/>
      <c r="L446" s="60"/>
      <c r="M446" s="60"/>
      <c r="N446" s="60"/>
      <c r="O446" s="60"/>
      <c r="P446" s="7" t="str">
        <f t="shared" si="13"/>
        <v/>
      </c>
      <c r="Q446" s="8">
        <f>IFERROR(VLOOKUP(VALUE(A446),WEEKLY_DATA!$A:$H,2,0),0)</f>
        <v>0</v>
      </c>
      <c r="R446" s="8">
        <f>IFERROR(VLOOKUP(VALUE(A446),WEEKLY_DATA!$A:$H,3,0),0)</f>
        <v>0</v>
      </c>
      <c r="S446" s="8">
        <f>IFERROR(VLOOKUP(VALUE(A446),WEEKLY_DATA!$A:$H,4,0),0)</f>
        <v>0</v>
      </c>
      <c r="T446" s="51">
        <f>IFERROR(VLOOKUP(VALUE(A446),WEEKLY_DATA!$A:$H,5,0),0)</f>
        <v>0</v>
      </c>
      <c r="U446" s="51">
        <f>IFERROR(VLOOKUP(VALUE(A446),WEEKLY_DATA!$A:$H,6,0),0)</f>
        <v>0</v>
      </c>
      <c r="V446" s="51">
        <f>IFERROR(VLOOKUP(VALUE(A446),WEEKLY_DATA!$A:$H,7,0),0)</f>
        <v>0</v>
      </c>
      <c r="W446" s="9" t="str">
        <f>IFERROR(IF(OR(Q446="",Q446=0),"",IF(VLOOKUP(VALUE($A446),WEEKLY_DATA!$A:$H,6,0)=0,"No Sales",Q446/(VLOOKUP(VALUE($A446),WEEKLY_DATA!$A:$H,6,0)/13))),"")</f>
        <v/>
      </c>
      <c r="X446" s="10">
        <f>IFERROR(VLOOKUP(VALUE(A446),WEEKLY_DATA!$A:$H,8,0),0)</f>
        <v>0</v>
      </c>
      <c r="Y446" s="13" t="str">
        <f t="shared" si="12"/>
        <v>—</v>
      </c>
      <c r="Z446" s="11"/>
      <c r="AA446" s="11"/>
      <c r="AB446" s="11"/>
      <c r="AC446" s="11"/>
      <c r="AD446" s="11"/>
      <c r="AE446" s="11"/>
      <c r="AF446" s="61"/>
      <c r="AG446" s="61"/>
      <c r="AH446" s="62"/>
      <c r="AI446" s="62"/>
      <c r="AJ446" s="61"/>
      <c r="AK446" s="61"/>
      <c r="AL446" s="61"/>
      <c r="AM446" s="58"/>
      <c r="AN446" s="58"/>
      <c r="AO446" s="58"/>
      <c r="AP446" s="58"/>
      <c r="AQ446" s="58"/>
      <c r="AR446" s="58"/>
      <c r="AS446" s="91"/>
      <c r="AT446" s="93"/>
      <c r="AU446" s="93"/>
      <c r="AV446" s="93"/>
      <c r="AW446" s="93"/>
    </row>
    <row r="447" spans="1:49" x14ac:dyDescent="0.25">
      <c r="A447" s="59"/>
      <c r="B447" s="12"/>
      <c r="C447" s="12"/>
      <c r="D447" s="60"/>
      <c r="E447" s="6"/>
      <c r="F447" s="6"/>
      <c r="G447" s="12"/>
      <c r="H447" s="12"/>
      <c r="I447" s="12" t="str" cm="2">
        <f t="array" ref="I447">IFERROR(INDEX(BrandList!$B$2:$B$200,MATCH(TRUE,ISNUMBER(SEARCH(BrandList!$B$2:$B$200,G447)),0)),"")</f>
        <v/>
      </c>
      <c r="J447" s="12"/>
      <c r="K447" s="12"/>
      <c r="L447" s="60"/>
      <c r="M447" s="60"/>
      <c r="N447" s="60"/>
      <c r="O447" s="60"/>
      <c r="P447" s="7" t="str">
        <f t="shared" si="13"/>
        <v/>
      </c>
      <c r="Q447" s="8">
        <f>IFERROR(VLOOKUP(VALUE(A447),WEEKLY_DATA!$A:$H,2,0),0)</f>
        <v>0</v>
      </c>
      <c r="R447" s="8">
        <f>IFERROR(VLOOKUP(VALUE(A447),WEEKLY_DATA!$A:$H,3,0),0)</f>
        <v>0</v>
      </c>
      <c r="S447" s="8">
        <f>IFERROR(VLOOKUP(VALUE(A447),WEEKLY_DATA!$A:$H,4,0),0)</f>
        <v>0</v>
      </c>
      <c r="T447" s="51">
        <f>IFERROR(VLOOKUP(VALUE(A447),WEEKLY_DATA!$A:$H,5,0),0)</f>
        <v>0</v>
      </c>
      <c r="U447" s="51">
        <f>IFERROR(VLOOKUP(VALUE(A447),WEEKLY_DATA!$A:$H,6,0),0)</f>
        <v>0</v>
      </c>
      <c r="V447" s="51">
        <f>IFERROR(VLOOKUP(VALUE(A447),WEEKLY_DATA!$A:$H,7,0),0)</f>
        <v>0</v>
      </c>
      <c r="W447" s="9" t="str">
        <f>IFERROR(IF(OR(Q447="",Q447=0),"",IF(VLOOKUP(VALUE($A447),WEEKLY_DATA!$A:$H,6,0)=0,"No Sales",Q447/(VLOOKUP(VALUE($A447),WEEKLY_DATA!$A:$H,6,0)/13))),"")</f>
        <v/>
      </c>
      <c r="X447" s="10">
        <f>IFERROR(VLOOKUP(VALUE(A447),WEEKLY_DATA!$A:$H,8,0),0)</f>
        <v>0</v>
      </c>
      <c r="Y447" s="13" t="str">
        <f t="shared" si="12"/>
        <v>—</v>
      </c>
      <c r="Z447" s="11"/>
      <c r="AA447" s="11"/>
      <c r="AB447" s="11"/>
      <c r="AC447" s="11"/>
      <c r="AD447" s="11"/>
      <c r="AE447" s="11"/>
      <c r="AF447" s="61"/>
      <c r="AG447" s="61"/>
      <c r="AH447" s="62"/>
      <c r="AI447" s="62"/>
      <c r="AJ447" s="61"/>
      <c r="AK447" s="61"/>
      <c r="AL447" s="61"/>
      <c r="AM447" s="58"/>
      <c r="AN447" s="58"/>
      <c r="AO447" s="58"/>
      <c r="AP447" s="58"/>
      <c r="AQ447" s="58"/>
      <c r="AR447" s="58"/>
      <c r="AS447" s="91"/>
      <c r="AT447" s="93"/>
      <c r="AU447" s="93"/>
      <c r="AV447" s="93"/>
      <c r="AW447" s="93"/>
    </row>
    <row r="448" spans="1:49" x14ac:dyDescent="0.25">
      <c r="A448" s="59"/>
      <c r="B448" s="12"/>
      <c r="C448" s="12"/>
      <c r="D448" s="60"/>
      <c r="E448" s="6"/>
      <c r="F448" s="6"/>
      <c r="G448" s="12"/>
      <c r="H448" s="12"/>
      <c r="I448" s="12" t="str" cm="2">
        <f t="array" ref="I448">IFERROR(INDEX(BrandList!$B$2:$B$200,MATCH(TRUE,ISNUMBER(SEARCH(BrandList!$B$2:$B$200,G448)),0)),"")</f>
        <v/>
      </c>
      <c r="J448" s="12"/>
      <c r="K448" s="12"/>
      <c r="L448" s="60"/>
      <c r="M448" s="60"/>
      <c r="N448" s="60"/>
      <c r="O448" s="60"/>
      <c r="P448" s="7" t="str">
        <f t="shared" si="13"/>
        <v/>
      </c>
      <c r="Q448" s="8">
        <f>IFERROR(VLOOKUP(VALUE(A448),WEEKLY_DATA!$A:$H,2,0),0)</f>
        <v>0</v>
      </c>
      <c r="R448" s="8">
        <f>IFERROR(VLOOKUP(VALUE(A448),WEEKLY_DATA!$A:$H,3,0),0)</f>
        <v>0</v>
      </c>
      <c r="S448" s="8">
        <f>IFERROR(VLOOKUP(VALUE(A448),WEEKLY_DATA!$A:$H,4,0),0)</f>
        <v>0</v>
      </c>
      <c r="T448" s="51">
        <f>IFERROR(VLOOKUP(VALUE(A448),WEEKLY_DATA!$A:$H,5,0),0)</f>
        <v>0</v>
      </c>
      <c r="U448" s="51">
        <f>IFERROR(VLOOKUP(VALUE(A448),WEEKLY_DATA!$A:$H,6,0),0)</f>
        <v>0</v>
      </c>
      <c r="V448" s="51">
        <f>IFERROR(VLOOKUP(VALUE(A448),WEEKLY_DATA!$A:$H,7,0),0)</f>
        <v>0</v>
      </c>
      <c r="W448" s="9" t="str">
        <f>IFERROR(IF(OR(Q448="",Q448=0),"",IF(VLOOKUP(VALUE($A448),WEEKLY_DATA!$A:$H,6,0)=0,"No Sales",Q448/(VLOOKUP(VALUE($A448),WEEKLY_DATA!$A:$H,6,0)/13))),"")</f>
        <v/>
      </c>
      <c r="X448" s="10">
        <f>IFERROR(VLOOKUP(VALUE(A448),WEEKLY_DATA!$A:$H,8,0),0)</f>
        <v>0</v>
      </c>
      <c r="Y448" s="13" t="str">
        <f t="shared" si="12"/>
        <v>—</v>
      </c>
      <c r="Z448" s="11"/>
      <c r="AA448" s="11"/>
      <c r="AB448" s="11"/>
      <c r="AC448" s="11"/>
      <c r="AD448" s="11"/>
      <c r="AE448" s="11"/>
      <c r="AF448" s="61"/>
      <c r="AG448" s="61"/>
      <c r="AH448" s="62"/>
      <c r="AI448" s="62"/>
      <c r="AJ448" s="61"/>
      <c r="AK448" s="61"/>
      <c r="AL448" s="61"/>
      <c r="AM448" s="58"/>
      <c r="AN448" s="58"/>
      <c r="AO448" s="58"/>
      <c r="AP448" s="58"/>
      <c r="AQ448" s="58"/>
      <c r="AR448" s="58"/>
      <c r="AS448" s="91"/>
      <c r="AT448" s="93"/>
      <c r="AU448" s="93"/>
      <c r="AV448" s="93"/>
      <c r="AW448" s="93"/>
    </row>
    <row r="449" spans="1:49" x14ac:dyDescent="0.25">
      <c r="A449" s="59"/>
      <c r="B449" s="12"/>
      <c r="C449" s="12"/>
      <c r="D449" s="60"/>
      <c r="E449" s="6"/>
      <c r="F449" s="6"/>
      <c r="G449" s="12"/>
      <c r="H449" s="12"/>
      <c r="I449" s="12" t="str" cm="2">
        <f t="array" ref="I449">IFERROR(INDEX(BrandList!$B$2:$B$200,MATCH(TRUE,ISNUMBER(SEARCH(BrandList!$B$2:$B$200,G449)),0)),"")</f>
        <v/>
      </c>
      <c r="J449" s="12"/>
      <c r="K449" s="12"/>
      <c r="L449" s="60"/>
      <c r="M449" s="60"/>
      <c r="N449" s="60"/>
      <c r="O449" s="60"/>
      <c r="P449" s="7" t="str">
        <f t="shared" si="13"/>
        <v/>
      </c>
      <c r="Q449" s="8">
        <f>IFERROR(VLOOKUP(VALUE(A449),WEEKLY_DATA!$A:$H,2,0),0)</f>
        <v>0</v>
      </c>
      <c r="R449" s="8">
        <f>IFERROR(VLOOKUP(VALUE(A449),WEEKLY_DATA!$A:$H,3,0),0)</f>
        <v>0</v>
      </c>
      <c r="S449" s="8">
        <f>IFERROR(VLOOKUP(VALUE(A449),WEEKLY_DATA!$A:$H,4,0),0)</f>
        <v>0</v>
      </c>
      <c r="T449" s="51">
        <f>IFERROR(VLOOKUP(VALUE(A449),WEEKLY_DATA!$A:$H,5,0),0)</f>
        <v>0</v>
      </c>
      <c r="U449" s="51">
        <f>IFERROR(VLOOKUP(VALUE(A449),WEEKLY_DATA!$A:$H,6,0),0)</f>
        <v>0</v>
      </c>
      <c r="V449" s="51">
        <f>IFERROR(VLOOKUP(VALUE(A449),WEEKLY_DATA!$A:$H,7,0),0)</f>
        <v>0</v>
      </c>
      <c r="W449" s="9" t="str">
        <f>IFERROR(IF(OR(Q449="",Q449=0),"",IF(VLOOKUP(VALUE($A449),WEEKLY_DATA!$A:$H,6,0)=0,"No Sales",Q449/(VLOOKUP(VALUE($A449),WEEKLY_DATA!$A:$H,6,0)/13))),"")</f>
        <v/>
      </c>
      <c r="X449" s="10">
        <f>IFERROR(VLOOKUP(VALUE(A449),WEEKLY_DATA!$A:$H,8,0),0)</f>
        <v>0</v>
      </c>
      <c r="Y449" s="13" t="str">
        <f t="shared" si="12"/>
        <v>—</v>
      </c>
      <c r="Z449" s="11"/>
      <c r="AA449" s="11"/>
      <c r="AB449" s="11"/>
      <c r="AC449" s="11"/>
      <c r="AD449" s="11"/>
      <c r="AE449" s="11"/>
      <c r="AF449" s="61"/>
      <c r="AG449" s="61"/>
      <c r="AH449" s="62"/>
      <c r="AI449" s="62"/>
      <c r="AJ449" s="61"/>
      <c r="AK449" s="61"/>
      <c r="AL449" s="61"/>
      <c r="AM449" s="58"/>
      <c r="AN449" s="58"/>
      <c r="AO449" s="58"/>
      <c r="AP449" s="58"/>
      <c r="AQ449" s="58"/>
      <c r="AR449" s="58"/>
      <c r="AS449" s="91"/>
      <c r="AT449" s="93"/>
      <c r="AU449" s="93"/>
      <c r="AV449" s="93"/>
      <c r="AW449" s="93"/>
    </row>
    <row r="450" spans="1:49" x14ac:dyDescent="0.25">
      <c r="A450" s="59"/>
      <c r="B450" s="12"/>
      <c r="C450" s="12"/>
      <c r="D450" s="60"/>
      <c r="E450" s="6"/>
      <c r="F450" s="6"/>
      <c r="G450" s="12"/>
      <c r="H450" s="12"/>
      <c r="I450" s="12" t="str" cm="2">
        <f t="array" ref="I450">IFERROR(INDEX(BrandList!$B$2:$B$200,MATCH(TRUE,ISNUMBER(SEARCH(BrandList!$B$2:$B$200,G450)),0)),"")</f>
        <v/>
      </c>
      <c r="J450" s="12"/>
      <c r="K450" s="12"/>
      <c r="L450" s="60"/>
      <c r="M450" s="60"/>
      <c r="N450" s="60"/>
      <c r="O450" s="60"/>
      <c r="P450" s="7" t="str">
        <f t="shared" si="13"/>
        <v/>
      </c>
      <c r="Q450" s="8">
        <f>IFERROR(VLOOKUP(VALUE(A450),WEEKLY_DATA!$A:$H,2,0),0)</f>
        <v>0</v>
      </c>
      <c r="R450" s="8">
        <f>IFERROR(VLOOKUP(VALUE(A450),WEEKLY_DATA!$A:$H,3,0),0)</f>
        <v>0</v>
      </c>
      <c r="S450" s="8">
        <f>IFERROR(VLOOKUP(VALUE(A450),WEEKLY_DATA!$A:$H,4,0),0)</f>
        <v>0</v>
      </c>
      <c r="T450" s="51">
        <f>IFERROR(VLOOKUP(VALUE(A450),WEEKLY_DATA!$A:$H,5,0),0)</f>
        <v>0</v>
      </c>
      <c r="U450" s="51">
        <f>IFERROR(VLOOKUP(VALUE(A450),WEEKLY_DATA!$A:$H,6,0),0)</f>
        <v>0</v>
      </c>
      <c r="V450" s="51">
        <f>IFERROR(VLOOKUP(VALUE(A450),WEEKLY_DATA!$A:$H,7,0),0)</f>
        <v>0</v>
      </c>
      <c r="W450" s="9" t="str">
        <f>IFERROR(IF(OR(Q450="",Q450=0),"",IF(VLOOKUP(VALUE($A450),WEEKLY_DATA!$A:$H,6,0)=0,"No Sales",Q450/(VLOOKUP(VALUE($A450),WEEKLY_DATA!$A:$H,6,0)/13))),"")</f>
        <v/>
      </c>
      <c r="X450" s="10">
        <f>IFERROR(VLOOKUP(VALUE(A450),WEEKLY_DATA!$A:$H,8,0),0)</f>
        <v>0</v>
      </c>
      <c r="Y450" s="13" t="str">
        <f t="shared" si="12"/>
        <v>—</v>
      </c>
      <c r="Z450" s="11"/>
      <c r="AA450" s="11"/>
      <c r="AB450" s="11"/>
      <c r="AC450" s="11"/>
      <c r="AD450" s="11"/>
      <c r="AE450" s="11"/>
      <c r="AF450" s="61"/>
      <c r="AG450" s="61"/>
      <c r="AH450" s="62"/>
      <c r="AI450" s="62"/>
      <c r="AJ450" s="61"/>
      <c r="AK450" s="61"/>
      <c r="AL450" s="61"/>
      <c r="AM450" s="58"/>
      <c r="AN450" s="58"/>
      <c r="AO450" s="58"/>
      <c r="AP450" s="58"/>
      <c r="AQ450" s="58"/>
      <c r="AR450" s="58"/>
      <c r="AS450" s="91"/>
      <c r="AT450" s="93"/>
      <c r="AU450" s="93"/>
      <c r="AV450" s="93"/>
      <c r="AW450" s="93"/>
    </row>
    <row r="451" spans="1:49" x14ac:dyDescent="0.25">
      <c r="A451" s="59"/>
      <c r="B451" s="12"/>
      <c r="C451" s="12"/>
      <c r="D451" s="60"/>
      <c r="E451" s="6"/>
      <c r="F451" s="6"/>
      <c r="G451" s="12"/>
      <c r="H451" s="12"/>
      <c r="I451" s="12" t="str" cm="2">
        <f t="array" ref="I451">IFERROR(INDEX(BrandList!$B$2:$B$200,MATCH(TRUE,ISNUMBER(SEARCH(BrandList!$B$2:$B$200,G451)),0)),"")</f>
        <v/>
      </c>
      <c r="J451" s="12"/>
      <c r="K451" s="12"/>
      <c r="L451" s="60"/>
      <c r="M451" s="60"/>
      <c r="N451" s="60"/>
      <c r="O451" s="60"/>
      <c r="P451" s="7" t="str">
        <f t="shared" si="13"/>
        <v/>
      </c>
      <c r="Q451" s="8">
        <f>IFERROR(VLOOKUP(VALUE(A451),WEEKLY_DATA!$A:$H,2,0),0)</f>
        <v>0</v>
      </c>
      <c r="R451" s="8">
        <f>IFERROR(VLOOKUP(VALUE(A451),WEEKLY_DATA!$A:$H,3,0),0)</f>
        <v>0</v>
      </c>
      <c r="S451" s="8">
        <f>IFERROR(VLOOKUP(VALUE(A451),WEEKLY_DATA!$A:$H,4,0),0)</f>
        <v>0</v>
      </c>
      <c r="T451" s="51">
        <f>IFERROR(VLOOKUP(VALUE(A451),WEEKLY_DATA!$A:$H,5,0),0)</f>
        <v>0</v>
      </c>
      <c r="U451" s="51">
        <f>IFERROR(VLOOKUP(VALUE(A451),WEEKLY_DATA!$A:$H,6,0),0)</f>
        <v>0</v>
      </c>
      <c r="V451" s="51">
        <f>IFERROR(VLOOKUP(VALUE(A451),WEEKLY_DATA!$A:$H,7,0),0)</f>
        <v>0</v>
      </c>
      <c r="W451" s="9" t="str">
        <f>IFERROR(IF(OR(Q451="",Q451=0),"",IF(VLOOKUP(VALUE($A451),WEEKLY_DATA!$A:$H,6,0)=0,"No Sales",Q451/(VLOOKUP(VALUE($A451),WEEKLY_DATA!$A:$H,6,0)/13))),"")</f>
        <v/>
      </c>
      <c r="X451" s="10">
        <f>IFERROR(VLOOKUP(VALUE(A451),WEEKLY_DATA!$A:$H,8,0),0)</f>
        <v>0</v>
      </c>
      <c r="Y451" s="13" t="str">
        <f t="shared" si="12"/>
        <v>—</v>
      </c>
      <c r="Z451" s="11"/>
      <c r="AA451" s="11"/>
      <c r="AB451" s="11"/>
      <c r="AC451" s="11"/>
      <c r="AD451" s="11"/>
      <c r="AE451" s="11"/>
      <c r="AF451" s="61"/>
      <c r="AG451" s="61"/>
      <c r="AH451" s="62"/>
      <c r="AI451" s="62"/>
      <c r="AJ451" s="61"/>
      <c r="AK451" s="61"/>
      <c r="AL451" s="61"/>
      <c r="AM451" s="58"/>
      <c r="AN451" s="58"/>
      <c r="AO451" s="58"/>
      <c r="AP451" s="58"/>
      <c r="AQ451" s="58"/>
      <c r="AR451" s="58"/>
      <c r="AS451" s="91"/>
      <c r="AT451" s="93"/>
      <c r="AU451" s="93"/>
      <c r="AV451" s="93"/>
      <c r="AW451" s="93"/>
    </row>
    <row r="452" spans="1:49" x14ac:dyDescent="0.25">
      <c r="A452" s="59"/>
      <c r="B452" s="12"/>
      <c r="C452" s="12"/>
      <c r="D452" s="60"/>
      <c r="E452" s="6"/>
      <c r="F452" s="6"/>
      <c r="G452" s="12"/>
      <c r="H452" s="12"/>
      <c r="I452" s="12" t="str" cm="2">
        <f t="array" ref="I452">IFERROR(INDEX(BrandList!$B$2:$B$200,MATCH(TRUE,ISNUMBER(SEARCH(BrandList!$B$2:$B$200,G452)),0)),"")</f>
        <v/>
      </c>
      <c r="J452" s="12"/>
      <c r="K452" s="12"/>
      <c r="L452" s="60"/>
      <c r="M452" s="60"/>
      <c r="N452" s="60"/>
      <c r="O452" s="60"/>
      <c r="P452" s="7" t="str">
        <f t="shared" si="13"/>
        <v/>
      </c>
      <c r="Q452" s="8">
        <f>IFERROR(VLOOKUP(VALUE(A452),WEEKLY_DATA!$A:$H,2,0),0)</f>
        <v>0</v>
      </c>
      <c r="R452" s="8">
        <f>IFERROR(VLOOKUP(VALUE(A452),WEEKLY_DATA!$A:$H,3,0),0)</f>
        <v>0</v>
      </c>
      <c r="S452" s="8">
        <f>IFERROR(VLOOKUP(VALUE(A452),WEEKLY_DATA!$A:$H,4,0),0)</f>
        <v>0</v>
      </c>
      <c r="T452" s="51">
        <f>IFERROR(VLOOKUP(VALUE(A452),WEEKLY_DATA!$A:$H,5,0),0)</f>
        <v>0</v>
      </c>
      <c r="U452" s="51">
        <f>IFERROR(VLOOKUP(VALUE(A452),WEEKLY_DATA!$A:$H,6,0),0)</f>
        <v>0</v>
      </c>
      <c r="V452" s="51">
        <f>IFERROR(VLOOKUP(VALUE(A452),WEEKLY_DATA!$A:$H,7,0),0)</f>
        <v>0</v>
      </c>
      <c r="W452" s="9" t="str">
        <f>IFERROR(IF(OR(Q452="",Q452=0),"",IF(VLOOKUP(VALUE($A452),WEEKLY_DATA!$A:$H,6,0)=0,"No Sales",Q452/(VLOOKUP(VALUE($A452),WEEKLY_DATA!$A:$H,6,0)/13))),"")</f>
        <v/>
      </c>
      <c r="X452" s="10">
        <f>IFERROR(VLOOKUP(VALUE(A452),WEEKLY_DATA!$A:$H,8,0),0)</f>
        <v>0</v>
      </c>
      <c r="Y452" s="13" t="str">
        <f t="shared" si="12"/>
        <v>—</v>
      </c>
      <c r="Z452" s="11"/>
      <c r="AA452" s="11"/>
      <c r="AB452" s="11"/>
      <c r="AC452" s="11"/>
      <c r="AD452" s="11"/>
      <c r="AE452" s="11"/>
      <c r="AF452" s="61"/>
      <c r="AG452" s="61"/>
      <c r="AH452" s="62"/>
      <c r="AI452" s="62"/>
      <c r="AJ452" s="61"/>
      <c r="AK452" s="61"/>
      <c r="AL452" s="61"/>
      <c r="AM452" s="58"/>
      <c r="AN452" s="58"/>
      <c r="AO452" s="58"/>
      <c r="AP452" s="58"/>
      <c r="AQ452" s="58"/>
      <c r="AR452" s="58"/>
      <c r="AS452" s="91"/>
      <c r="AT452" s="93"/>
      <c r="AU452" s="93"/>
      <c r="AV452" s="93"/>
      <c r="AW452" s="93"/>
    </row>
    <row r="453" spans="1:49" x14ac:dyDescent="0.25">
      <c r="A453" s="59"/>
      <c r="B453" s="12"/>
      <c r="C453" s="12"/>
      <c r="D453" s="60"/>
      <c r="E453" s="6"/>
      <c r="F453" s="6"/>
      <c r="G453" s="12"/>
      <c r="H453" s="12"/>
      <c r="I453" s="12" t="str" cm="2">
        <f t="array" ref="I453">IFERROR(INDEX(BrandList!$B$2:$B$200,MATCH(TRUE,ISNUMBER(SEARCH(BrandList!$B$2:$B$200,G453)),0)),"")</f>
        <v/>
      </c>
      <c r="J453" s="12"/>
      <c r="K453" s="12"/>
      <c r="L453" s="60"/>
      <c r="M453" s="60"/>
      <c r="N453" s="60"/>
      <c r="O453" s="60"/>
      <c r="P453" s="7" t="str">
        <f t="shared" si="13"/>
        <v/>
      </c>
      <c r="Q453" s="8">
        <f>IFERROR(VLOOKUP(VALUE(A453),WEEKLY_DATA!$A:$H,2,0),0)</f>
        <v>0</v>
      </c>
      <c r="R453" s="8">
        <f>IFERROR(VLOOKUP(VALUE(A453),WEEKLY_DATA!$A:$H,3,0),0)</f>
        <v>0</v>
      </c>
      <c r="S453" s="8">
        <f>IFERROR(VLOOKUP(VALUE(A453),WEEKLY_DATA!$A:$H,4,0),0)</f>
        <v>0</v>
      </c>
      <c r="T453" s="51">
        <f>IFERROR(VLOOKUP(VALUE(A453),WEEKLY_DATA!$A:$H,5,0),0)</f>
        <v>0</v>
      </c>
      <c r="U453" s="51">
        <f>IFERROR(VLOOKUP(VALUE(A453),WEEKLY_DATA!$A:$H,6,0),0)</f>
        <v>0</v>
      </c>
      <c r="V453" s="51">
        <f>IFERROR(VLOOKUP(VALUE(A453),WEEKLY_DATA!$A:$H,7,0),0)</f>
        <v>0</v>
      </c>
      <c r="W453" s="9" t="str">
        <f>IFERROR(IF(OR(Q453="",Q453=0),"",IF(VLOOKUP(VALUE($A453),WEEKLY_DATA!$A:$H,6,0)=0,"No Sales",Q453/(VLOOKUP(VALUE($A453),WEEKLY_DATA!$A:$H,6,0)/13))),"")</f>
        <v/>
      </c>
      <c r="X453" s="10">
        <f>IFERROR(VLOOKUP(VALUE(A453),WEEKLY_DATA!$A:$H,8,0),0)</f>
        <v>0</v>
      </c>
      <c r="Y453" s="13" t="str">
        <f t="shared" si="12"/>
        <v>—</v>
      </c>
      <c r="Z453" s="11"/>
      <c r="AA453" s="11"/>
      <c r="AB453" s="11"/>
      <c r="AC453" s="11"/>
      <c r="AD453" s="11"/>
      <c r="AE453" s="11"/>
      <c r="AF453" s="61"/>
      <c r="AG453" s="61"/>
      <c r="AH453" s="62"/>
      <c r="AI453" s="62"/>
      <c r="AJ453" s="61"/>
      <c r="AK453" s="61"/>
      <c r="AL453" s="61"/>
      <c r="AM453" s="58"/>
      <c r="AN453" s="58"/>
      <c r="AO453" s="58"/>
      <c r="AP453" s="58"/>
      <c r="AQ453" s="58"/>
      <c r="AR453" s="58"/>
      <c r="AS453" s="91"/>
      <c r="AT453" s="93"/>
      <c r="AU453" s="93"/>
      <c r="AV453" s="93"/>
      <c r="AW453" s="93"/>
    </row>
    <row r="454" spans="1:49" x14ac:dyDescent="0.25">
      <c r="A454" s="59"/>
      <c r="B454" s="12"/>
      <c r="C454" s="12"/>
      <c r="D454" s="60"/>
      <c r="E454" s="6"/>
      <c r="F454" s="6"/>
      <c r="G454" s="12"/>
      <c r="H454" s="12"/>
      <c r="I454" s="12" t="str" cm="2">
        <f t="array" ref="I454">IFERROR(INDEX(BrandList!$B$2:$B$200,MATCH(TRUE,ISNUMBER(SEARCH(BrandList!$B$2:$B$200,G454)),0)),"")</f>
        <v/>
      </c>
      <c r="J454" s="12"/>
      <c r="K454" s="12"/>
      <c r="L454" s="60"/>
      <c r="M454" s="60"/>
      <c r="N454" s="60"/>
      <c r="O454" s="60"/>
      <c r="P454" s="7" t="str">
        <f t="shared" si="13"/>
        <v/>
      </c>
      <c r="Q454" s="8">
        <f>IFERROR(VLOOKUP(VALUE(A454),WEEKLY_DATA!$A:$H,2,0),0)</f>
        <v>0</v>
      </c>
      <c r="R454" s="8">
        <f>IFERROR(VLOOKUP(VALUE(A454),WEEKLY_DATA!$A:$H,3,0),0)</f>
        <v>0</v>
      </c>
      <c r="S454" s="8">
        <f>IFERROR(VLOOKUP(VALUE(A454),WEEKLY_DATA!$A:$H,4,0),0)</f>
        <v>0</v>
      </c>
      <c r="T454" s="51">
        <f>IFERROR(VLOOKUP(VALUE(A454),WEEKLY_DATA!$A:$H,5,0),0)</f>
        <v>0</v>
      </c>
      <c r="U454" s="51">
        <f>IFERROR(VLOOKUP(VALUE(A454),WEEKLY_DATA!$A:$H,6,0),0)</f>
        <v>0</v>
      </c>
      <c r="V454" s="51">
        <f>IFERROR(VLOOKUP(VALUE(A454),WEEKLY_DATA!$A:$H,7,0),0)</f>
        <v>0</v>
      </c>
      <c r="W454" s="9" t="str">
        <f>IFERROR(IF(OR(Q454="",Q454=0),"",IF(VLOOKUP(VALUE($A454),WEEKLY_DATA!$A:$H,6,0)=0,"No Sales",Q454/(VLOOKUP(VALUE($A454),WEEKLY_DATA!$A:$H,6,0)/13))),"")</f>
        <v/>
      </c>
      <c r="X454" s="10">
        <f>IFERROR(VLOOKUP(VALUE(A454),WEEKLY_DATA!$A:$H,8,0),0)</f>
        <v>0</v>
      </c>
      <c r="Y454" s="13" t="str">
        <f t="shared" ref="Y454:Y517" si="14">IFERROR(
IF(J454="Discontinued","🔴 EOL",
IF(J454="Drop Ship","📦 Drop Ship",
IF(J454="New","🆕 New",
IF(W454="","—",
IF(W454&lt;2,"🔴 Critical",
IF(W454&lt;4,"🟡 Low",
IF(W454&gt;26,"🔵 Overstock","🟢 Healthy")
)))))),"")</f>
        <v>—</v>
      </c>
      <c r="Z454" s="11"/>
      <c r="AA454" s="11"/>
      <c r="AB454" s="11"/>
      <c r="AC454" s="11"/>
      <c r="AD454" s="11"/>
      <c r="AE454" s="11"/>
      <c r="AF454" s="61"/>
      <c r="AG454" s="61"/>
      <c r="AH454" s="62"/>
      <c r="AI454" s="62"/>
      <c r="AJ454" s="61"/>
      <c r="AK454" s="61"/>
      <c r="AL454" s="61"/>
      <c r="AM454" s="58"/>
      <c r="AN454" s="58"/>
      <c r="AO454" s="58"/>
      <c r="AP454" s="58"/>
      <c r="AQ454" s="58"/>
      <c r="AR454" s="58"/>
      <c r="AS454" s="91"/>
      <c r="AT454" s="93"/>
      <c r="AU454" s="93"/>
      <c r="AV454" s="93"/>
      <c r="AW454" s="93"/>
    </row>
    <row r="455" spans="1:49" x14ac:dyDescent="0.25">
      <c r="A455" s="59"/>
      <c r="B455" s="12"/>
      <c r="C455" s="12"/>
      <c r="D455" s="60"/>
      <c r="E455" s="6"/>
      <c r="F455" s="6"/>
      <c r="G455" s="12"/>
      <c r="H455" s="12"/>
      <c r="I455" s="12" t="str" cm="2">
        <f t="array" ref="I455">IFERROR(INDEX(BrandList!$B$2:$B$200,MATCH(TRUE,ISNUMBER(SEARCH(BrandList!$B$2:$B$200,G455)),0)),"")</f>
        <v/>
      </c>
      <c r="J455" s="12"/>
      <c r="K455" s="12"/>
      <c r="L455" s="60"/>
      <c r="M455" s="60"/>
      <c r="N455" s="60"/>
      <c r="O455" s="60"/>
      <c r="P455" s="7" t="str">
        <f t="shared" ref="P455:P518" si="15">IFERROR(IF(OR(E455="",F455="",F455=0),"",(F455-E455)/F455),"")</f>
        <v/>
      </c>
      <c r="Q455" s="8">
        <f>IFERROR(VLOOKUP(VALUE(A455),WEEKLY_DATA!$A:$H,2,0),0)</f>
        <v>0</v>
      </c>
      <c r="R455" s="8">
        <f>IFERROR(VLOOKUP(VALUE(A455),WEEKLY_DATA!$A:$H,3,0),0)</f>
        <v>0</v>
      </c>
      <c r="S455" s="8">
        <f>IFERROR(VLOOKUP(VALUE(A455),WEEKLY_DATA!$A:$H,4,0),0)</f>
        <v>0</v>
      </c>
      <c r="T455" s="51">
        <f>IFERROR(VLOOKUP(VALUE(A455),WEEKLY_DATA!$A:$H,5,0),0)</f>
        <v>0</v>
      </c>
      <c r="U455" s="51">
        <f>IFERROR(VLOOKUP(VALUE(A455),WEEKLY_DATA!$A:$H,6,0),0)</f>
        <v>0</v>
      </c>
      <c r="V455" s="51">
        <f>IFERROR(VLOOKUP(VALUE(A455),WEEKLY_DATA!$A:$H,7,0),0)</f>
        <v>0</v>
      </c>
      <c r="W455" s="9" t="str">
        <f>IFERROR(IF(OR(Q455="",Q455=0),"",IF(VLOOKUP(VALUE($A455),WEEKLY_DATA!$A:$H,6,0)=0,"No Sales",Q455/(VLOOKUP(VALUE($A455),WEEKLY_DATA!$A:$H,6,0)/13))),"")</f>
        <v/>
      </c>
      <c r="X455" s="10">
        <f>IFERROR(VLOOKUP(VALUE(A455),WEEKLY_DATA!$A:$H,8,0),0)</f>
        <v>0</v>
      </c>
      <c r="Y455" s="13" t="str">
        <f t="shared" si="14"/>
        <v>—</v>
      </c>
      <c r="Z455" s="11"/>
      <c r="AA455" s="11"/>
      <c r="AB455" s="11"/>
      <c r="AC455" s="11"/>
      <c r="AD455" s="11"/>
      <c r="AE455" s="11"/>
      <c r="AF455" s="61"/>
      <c r="AG455" s="61"/>
      <c r="AH455" s="62"/>
      <c r="AI455" s="62"/>
      <c r="AJ455" s="61"/>
      <c r="AK455" s="61"/>
      <c r="AL455" s="61"/>
      <c r="AM455" s="58"/>
      <c r="AN455" s="58"/>
      <c r="AO455" s="58"/>
      <c r="AP455" s="58"/>
      <c r="AQ455" s="58"/>
      <c r="AR455" s="58"/>
      <c r="AS455" s="91"/>
      <c r="AT455" s="93"/>
      <c r="AU455" s="93"/>
      <c r="AV455" s="93"/>
      <c r="AW455" s="93"/>
    </row>
    <row r="456" spans="1:49" x14ac:dyDescent="0.25">
      <c r="A456" s="59"/>
      <c r="B456" s="12"/>
      <c r="C456" s="12"/>
      <c r="D456" s="60"/>
      <c r="E456" s="6"/>
      <c r="F456" s="6"/>
      <c r="G456" s="12"/>
      <c r="H456" s="12"/>
      <c r="I456" s="12" t="str" cm="2">
        <f t="array" ref="I456">IFERROR(INDEX(BrandList!$B$2:$B$200,MATCH(TRUE,ISNUMBER(SEARCH(BrandList!$B$2:$B$200,G456)),0)),"")</f>
        <v/>
      </c>
      <c r="J456" s="12"/>
      <c r="K456" s="12"/>
      <c r="L456" s="60"/>
      <c r="M456" s="60"/>
      <c r="N456" s="60"/>
      <c r="O456" s="60"/>
      <c r="P456" s="7" t="str">
        <f t="shared" si="15"/>
        <v/>
      </c>
      <c r="Q456" s="8">
        <f>IFERROR(VLOOKUP(VALUE(A456),WEEKLY_DATA!$A:$H,2,0),0)</f>
        <v>0</v>
      </c>
      <c r="R456" s="8">
        <f>IFERROR(VLOOKUP(VALUE(A456),WEEKLY_DATA!$A:$H,3,0),0)</f>
        <v>0</v>
      </c>
      <c r="S456" s="8">
        <f>IFERROR(VLOOKUP(VALUE(A456),WEEKLY_DATA!$A:$H,4,0),0)</f>
        <v>0</v>
      </c>
      <c r="T456" s="51">
        <f>IFERROR(VLOOKUP(VALUE(A456),WEEKLY_DATA!$A:$H,5,0),0)</f>
        <v>0</v>
      </c>
      <c r="U456" s="51">
        <f>IFERROR(VLOOKUP(VALUE(A456),WEEKLY_DATA!$A:$H,6,0),0)</f>
        <v>0</v>
      </c>
      <c r="V456" s="51">
        <f>IFERROR(VLOOKUP(VALUE(A456),WEEKLY_DATA!$A:$H,7,0),0)</f>
        <v>0</v>
      </c>
      <c r="W456" s="9" t="str">
        <f>IFERROR(IF(OR(Q456="",Q456=0),"",IF(VLOOKUP(VALUE($A456),WEEKLY_DATA!$A:$H,6,0)=0,"No Sales",Q456/(VLOOKUP(VALUE($A456),WEEKLY_DATA!$A:$H,6,0)/13))),"")</f>
        <v/>
      </c>
      <c r="X456" s="10">
        <f>IFERROR(VLOOKUP(VALUE(A456),WEEKLY_DATA!$A:$H,8,0),0)</f>
        <v>0</v>
      </c>
      <c r="Y456" s="13" t="str">
        <f t="shared" si="14"/>
        <v>—</v>
      </c>
      <c r="Z456" s="11"/>
      <c r="AA456" s="11"/>
      <c r="AB456" s="11"/>
      <c r="AC456" s="11"/>
      <c r="AD456" s="11"/>
      <c r="AE456" s="11"/>
      <c r="AF456" s="61"/>
      <c r="AG456" s="61"/>
      <c r="AH456" s="62"/>
      <c r="AI456" s="62"/>
      <c r="AJ456" s="61"/>
      <c r="AK456" s="61"/>
      <c r="AL456" s="61"/>
      <c r="AM456" s="58"/>
      <c r="AN456" s="58"/>
      <c r="AO456" s="58"/>
      <c r="AP456" s="58"/>
      <c r="AQ456" s="58"/>
      <c r="AR456" s="58"/>
      <c r="AS456" s="91"/>
      <c r="AT456" s="93"/>
      <c r="AU456" s="93"/>
      <c r="AV456" s="93"/>
      <c r="AW456" s="93"/>
    </row>
    <row r="457" spans="1:49" x14ac:dyDescent="0.25">
      <c r="A457" s="59"/>
      <c r="B457" s="12"/>
      <c r="C457" s="12"/>
      <c r="D457" s="60"/>
      <c r="E457" s="6"/>
      <c r="F457" s="6"/>
      <c r="G457" s="12"/>
      <c r="H457" s="12"/>
      <c r="I457" s="12" t="str" cm="2">
        <f t="array" ref="I457">IFERROR(INDEX(BrandList!$B$2:$B$200,MATCH(TRUE,ISNUMBER(SEARCH(BrandList!$B$2:$B$200,G457)),0)),"")</f>
        <v/>
      </c>
      <c r="J457" s="12"/>
      <c r="K457" s="12"/>
      <c r="L457" s="60"/>
      <c r="M457" s="60"/>
      <c r="N457" s="60"/>
      <c r="O457" s="60"/>
      <c r="P457" s="7" t="str">
        <f t="shared" si="15"/>
        <v/>
      </c>
      <c r="Q457" s="8">
        <f>IFERROR(VLOOKUP(VALUE(A457),WEEKLY_DATA!$A:$H,2,0),0)</f>
        <v>0</v>
      </c>
      <c r="R457" s="8">
        <f>IFERROR(VLOOKUP(VALUE(A457),WEEKLY_DATA!$A:$H,3,0),0)</f>
        <v>0</v>
      </c>
      <c r="S457" s="8">
        <f>IFERROR(VLOOKUP(VALUE(A457),WEEKLY_DATA!$A:$H,4,0),0)</f>
        <v>0</v>
      </c>
      <c r="T457" s="51">
        <f>IFERROR(VLOOKUP(VALUE(A457),WEEKLY_DATA!$A:$H,5,0),0)</f>
        <v>0</v>
      </c>
      <c r="U457" s="51">
        <f>IFERROR(VLOOKUP(VALUE(A457),WEEKLY_DATA!$A:$H,6,0),0)</f>
        <v>0</v>
      </c>
      <c r="V457" s="51">
        <f>IFERROR(VLOOKUP(VALUE(A457),WEEKLY_DATA!$A:$H,7,0),0)</f>
        <v>0</v>
      </c>
      <c r="W457" s="9" t="str">
        <f>IFERROR(IF(OR(Q457="",Q457=0),"",IF(VLOOKUP(VALUE($A457),WEEKLY_DATA!$A:$H,6,0)=0,"No Sales",Q457/(VLOOKUP(VALUE($A457),WEEKLY_DATA!$A:$H,6,0)/13))),"")</f>
        <v/>
      </c>
      <c r="X457" s="10">
        <f>IFERROR(VLOOKUP(VALUE(A457),WEEKLY_DATA!$A:$H,8,0),0)</f>
        <v>0</v>
      </c>
      <c r="Y457" s="13" t="str">
        <f t="shared" si="14"/>
        <v>—</v>
      </c>
      <c r="Z457" s="11"/>
      <c r="AA457" s="11"/>
      <c r="AB457" s="11"/>
      <c r="AC457" s="11"/>
      <c r="AD457" s="11"/>
      <c r="AE457" s="11"/>
      <c r="AF457" s="61"/>
      <c r="AG457" s="61"/>
      <c r="AH457" s="62"/>
      <c r="AI457" s="62"/>
      <c r="AJ457" s="61"/>
      <c r="AK457" s="61"/>
      <c r="AL457" s="61"/>
      <c r="AM457" s="58"/>
      <c r="AN457" s="58"/>
      <c r="AO457" s="58"/>
      <c r="AP457" s="58"/>
      <c r="AQ457" s="58"/>
      <c r="AR457" s="58"/>
      <c r="AS457" s="91"/>
      <c r="AT457" s="93"/>
      <c r="AU457" s="93"/>
      <c r="AV457" s="93"/>
      <c r="AW457" s="93"/>
    </row>
    <row r="458" spans="1:49" x14ac:dyDescent="0.25">
      <c r="A458" s="59"/>
      <c r="B458" s="12"/>
      <c r="C458" s="12"/>
      <c r="D458" s="60"/>
      <c r="E458" s="6"/>
      <c r="F458" s="6"/>
      <c r="G458" s="12"/>
      <c r="H458" s="12"/>
      <c r="I458" s="12" t="str" cm="2">
        <f t="array" ref="I458">IFERROR(INDEX(BrandList!$B$2:$B$200,MATCH(TRUE,ISNUMBER(SEARCH(BrandList!$B$2:$B$200,G458)),0)),"")</f>
        <v/>
      </c>
      <c r="J458" s="12"/>
      <c r="K458" s="12"/>
      <c r="L458" s="60"/>
      <c r="M458" s="60"/>
      <c r="N458" s="60"/>
      <c r="O458" s="60"/>
      <c r="P458" s="7" t="str">
        <f t="shared" si="15"/>
        <v/>
      </c>
      <c r="Q458" s="8">
        <f>IFERROR(VLOOKUP(VALUE(A458),WEEKLY_DATA!$A:$H,2,0),0)</f>
        <v>0</v>
      </c>
      <c r="R458" s="8">
        <f>IFERROR(VLOOKUP(VALUE(A458),WEEKLY_DATA!$A:$H,3,0),0)</f>
        <v>0</v>
      </c>
      <c r="S458" s="8">
        <f>IFERROR(VLOOKUP(VALUE(A458),WEEKLY_DATA!$A:$H,4,0),0)</f>
        <v>0</v>
      </c>
      <c r="T458" s="51">
        <f>IFERROR(VLOOKUP(VALUE(A458),WEEKLY_DATA!$A:$H,5,0),0)</f>
        <v>0</v>
      </c>
      <c r="U458" s="51">
        <f>IFERROR(VLOOKUP(VALUE(A458),WEEKLY_DATA!$A:$H,6,0),0)</f>
        <v>0</v>
      </c>
      <c r="V458" s="51">
        <f>IFERROR(VLOOKUP(VALUE(A458),WEEKLY_DATA!$A:$H,7,0),0)</f>
        <v>0</v>
      </c>
      <c r="W458" s="9" t="str">
        <f>IFERROR(IF(OR(Q458="",Q458=0),"",IF(VLOOKUP(VALUE($A458),WEEKLY_DATA!$A:$H,6,0)=0,"No Sales",Q458/(VLOOKUP(VALUE($A458),WEEKLY_DATA!$A:$H,6,0)/13))),"")</f>
        <v/>
      </c>
      <c r="X458" s="10">
        <f>IFERROR(VLOOKUP(VALUE(A458),WEEKLY_DATA!$A:$H,8,0),0)</f>
        <v>0</v>
      </c>
      <c r="Y458" s="13" t="str">
        <f t="shared" si="14"/>
        <v>—</v>
      </c>
      <c r="Z458" s="11"/>
      <c r="AA458" s="11"/>
      <c r="AB458" s="11"/>
      <c r="AC458" s="11"/>
      <c r="AD458" s="11"/>
      <c r="AE458" s="11"/>
      <c r="AF458" s="61"/>
      <c r="AG458" s="61"/>
      <c r="AH458" s="62"/>
      <c r="AI458" s="62"/>
      <c r="AJ458" s="61"/>
      <c r="AK458" s="61"/>
      <c r="AL458" s="61"/>
      <c r="AM458" s="58"/>
      <c r="AN458" s="58"/>
      <c r="AO458" s="58"/>
      <c r="AP458" s="58"/>
      <c r="AQ458" s="58"/>
      <c r="AR458" s="58"/>
      <c r="AS458" s="91"/>
      <c r="AT458" s="93"/>
      <c r="AU458" s="93"/>
      <c r="AV458" s="93"/>
      <c r="AW458" s="93"/>
    </row>
    <row r="459" spans="1:49" x14ac:dyDescent="0.25">
      <c r="A459" s="59"/>
      <c r="B459" s="12"/>
      <c r="C459" s="12"/>
      <c r="D459" s="60"/>
      <c r="E459" s="6"/>
      <c r="F459" s="6"/>
      <c r="G459" s="12"/>
      <c r="H459" s="12"/>
      <c r="I459" s="12" t="str" cm="2">
        <f t="array" ref="I459">IFERROR(INDEX(BrandList!$B$2:$B$200,MATCH(TRUE,ISNUMBER(SEARCH(BrandList!$B$2:$B$200,G459)),0)),"")</f>
        <v/>
      </c>
      <c r="J459" s="12"/>
      <c r="K459" s="12"/>
      <c r="L459" s="60"/>
      <c r="M459" s="60"/>
      <c r="N459" s="60"/>
      <c r="O459" s="60"/>
      <c r="P459" s="7" t="str">
        <f t="shared" si="15"/>
        <v/>
      </c>
      <c r="Q459" s="8">
        <f>IFERROR(VLOOKUP(VALUE(A459),WEEKLY_DATA!$A:$H,2,0),0)</f>
        <v>0</v>
      </c>
      <c r="R459" s="8">
        <f>IFERROR(VLOOKUP(VALUE(A459),WEEKLY_DATA!$A:$H,3,0),0)</f>
        <v>0</v>
      </c>
      <c r="S459" s="8">
        <f>IFERROR(VLOOKUP(VALUE(A459),WEEKLY_DATA!$A:$H,4,0),0)</f>
        <v>0</v>
      </c>
      <c r="T459" s="51">
        <f>IFERROR(VLOOKUP(VALUE(A459),WEEKLY_DATA!$A:$H,5,0),0)</f>
        <v>0</v>
      </c>
      <c r="U459" s="51">
        <f>IFERROR(VLOOKUP(VALUE(A459),WEEKLY_DATA!$A:$H,6,0),0)</f>
        <v>0</v>
      </c>
      <c r="V459" s="51">
        <f>IFERROR(VLOOKUP(VALUE(A459),WEEKLY_DATA!$A:$H,7,0),0)</f>
        <v>0</v>
      </c>
      <c r="W459" s="9" t="str">
        <f>IFERROR(IF(OR(Q459="",Q459=0),"",IF(VLOOKUP(VALUE($A459),WEEKLY_DATA!$A:$H,6,0)=0,"No Sales",Q459/(VLOOKUP(VALUE($A459),WEEKLY_DATA!$A:$H,6,0)/13))),"")</f>
        <v/>
      </c>
      <c r="X459" s="10">
        <f>IFERROR(VLOOKUP(VALUE(A459),WEEKLY_DATA!$A:$H,8,0),0)</f>
        <v>0</v>
      </c>
      <c r="Y459" s="13" t="str">
        <f t="shared" si="14"/>
        <v>—</v>
      </c>
      <c r="Z459" s="11"/>
      <c r="AA459" s="11"/>
      <c r="AB459" s="11"/>
      <c r="AC459" s="11"/>
      <c r="AD459" s="11"/>
      <c r="AE459" s="11"/>
      <c r="AF459" s="61"/>
      <c r="AG459" s="61"/>
      <c r="AH459" s="62"/>
      <c r="AI459" s="62"/>
      <c r="AJ459" s="61"/>
      <c r="AK459" s="61"/>
      <c r="AL459" s="61"/>
      <c r="AM459" s="58"/>
      <c r="AN459" s="58"/>
      <c r="AO459" s="58"/>
      <c r="AP459" s="58"/>
      <c r="AQ459" s="58"/>
      <c r="AR459" s="58"/>
      <c r="AS459" s="91"/>
      <c r="AT459" s="93"/>
      <c r="AU459" s="93"/>
      <c r="AV459" s="93"/>
      <c r="AW459" s="93"/>
    </row>
    <row r="460" spans="1:49" x14ac:dyDescent="0.25">
      <c r="A460" s="59"/>
      <c r="B460" s="12"/>
      <c r="C460" s="12"/>
      <c r="D460" s="60"/>
      <c r="E460" s="6"/>
      <c r="F460" s="6"/>
      <c r="G460" s="12"/>
      <c r="H460" s="12"/>
      <c r="I460" s="12" t="str" cm="2">
        <f t="array" ref="I460">IFERROR(INDEX(BrandList!$B$2:$B$200,MATCH(TRUE,ISNUMBER(SEARCH(BrandList!$B$2:$B$200,G460)),0)),"")</f>
        <v/>
      </c>
      <c r="J460" s="12"/>
      <c r="K460" s="12"/>
      <c r="L460" s="60"/>
      <c r="M460" s="60"/>
      <c r="N460" s="60"/>
      <c r="O460" s="60"/>
      <c r="P460" s="7" t="str">
        <f t="shared" si="15"/>
        <v/>
      </c>
      <c r="Q460" s="8">
        <f>IFERROR(VLOOKUP(VALUE(A460),WEEKLY_DATA!$A:$H,2,0),0)</f>
        <v>0</v>
      </c>
      <c r="R460" s="8">
        <f>IFERROR(VLOOKUP(VALUE(A460),WEEKLY_DATA!$A:$H,3,0),0)</f>
        <v>0</v>
      </c>
      <c r="S460" s="8">
        <f>IFERROR(VLOOKUP(VALUE(A460),WEEKLY_DATA!$A:$H,4,0),0)</f>
        <v>0</v>
      </c>
      <c r="T460" s="51">
        <f>IFERROR(VLOOKUP(VALUE(A460),WEEKLY_DATA!$A:$H,5,0),0)</f>
        <v>0</v>
      </c>
      <c r="U460" s="51">
        <f>IFERROR(VLOOKUP(VALUE(A460),WEEKLY_DATA!$A:$H,6,0),0)</f>
        <v>0</v>
      </c>
      <c r="V460" s="51">
        <f>IFERROR(VLOOKUP(VALUE(A460),WEEKLY_DATA!$A:$H,7,0),0)</f>
        <v>0</v>
      </c>
      <c r="W460" s="9" t="str">
        <f>IFERROR(IF(OR(Q460="",Q460=0),"",IF(VLOOKUP(VALUE($A460),WEEKLY_DATA!$A:$H,6,0)=0,"No Sales",Q460/(VLOOKUP(VALUE($A460),WEEKLY_DATA!$A:$H,6,0)/13))),"")</f>
        <v/>
      </c>
      <c r="X460" s="10">
        <f>IFERROR(VLOOKUP(VALUE(A460),WEEKLY_DATA!$A:$H,8,0),0)</f>
        <v>0</v>
      </c>
      <c r="Y460" s="13" t="str">
        <f t="shared" si="14"/>
        <v>—</v>
      </c>
      <c r="Z460" s="11"/>
      <c r="AA460" s="11"/>
      <c r="AB460" s="11"/>
      <c r="AC460" s="11"/>
      <c r="AD460" s="11"/>
      <c r="AE460" s="11"/>
      <c r="AF460" s="61"/>
      <c r="AG460" s="61"/>
      <c r="AH460" s="62"/>
      <c r="AI460" s="62"/>
      <c r="AJ460" s="61"/>
      <c r="AK460" s="61"/>
      <c r="AL460" s="61"/>
      <c r="AM460" s="58"/>
      <c r="AN460" s="58"/>
      <c r="AO460" s="58"/>
      <c r="AP460" s="58"/>
      <c r="AQ460" s="58"/>
      <c r="AR460" s="58"/>
      <c r="AS460" s="91"/>
      <c r="AT460" s="93"/>
      <c r="AU460" s="93"/>
      <c r="AV460" s="93"/>
      <c r="AW460" s="93"/>
    </row>
    <row r="461" spans="1:49" x14ac:dyDescent="0.25">
      <c r="A461" s="59"/>
      <c r="B461" s="12"/>
      <c r="C461" s="12"/>
      <c r="D461" s="60"/>
      <c r="E461" s="6"/>
      <c r="F461" s="6"/>
      <c r="G461" s="12"/>
      <c r="H461" s="12"/>
      <c r="I461" s="12" t="str" cm="2">
        <f t="array" ref="I461">IFERROR(INDEX(BrandList!$B$2:$B$200,MATCH(TRUE,ISNUMBER(SEARCH(BrandList!$B$2:$B$200,G461)),0)),"")</f>
        <v/>
      </c>
      <c r="J461" s="12"/>
      <c r="K461" s="12"/>
      <c r="L461" s="60"/>
      <c r="M461" s="60"/>
      <c r="N461" s="60"/>
      <c r="O461" s="60"/>
      <c r="P461" s="7" t="str">
        <f t="shared" si="15"/>
        <v/>
      </c>
      <c r="Q461" s="8">
        <f>IFERROR(VLOOKUP(VALUE(A461),WEEKLY_DATA!$A:$H,2,0),0)</f>
        <v>0</v>
      </c>
      <c r="R461" s="8">
        <f>IFERROR(VLOOKUP(VALUE(A461),WEEKLY_DATA!$A:$H,3,0),0)</f>
        <v>0</v>
      </c>
      <c r="S461" s="8">
        <f>IFERROR(VLOOKUP(VALUE(A461),WEEKLY_DATA!$A:$H,4,0),0)</f>
        <v>0</v>
      </c>
      <c r="T461" s="51">
        <f>IFERROR(VLOOKUP(VALUE(A461),WEEKLY_DATA!$A:$H,5,0),0)</f>
        <v>0</v>
      </c>
      <c r="U461" s="51">
        <f>IFERROR(VLOOKUP(VALUE(A461),WEEKLY_DATA!$A:$H,6,0),0)</f>
        <v>0</v>
      </c>
      <c r="V461" s="51">
        <f>IFERROR(VLOOKUP(VALUE(A461),WEEKLY_DATA!$A:$H,7,0),0)</f>
        <v>0</v>
      </c>
      <c r="W461" s="9" t="str">
        <f>IFERROR(IF(OR(Q461="",Q461=0),"",IF(VLOOKUP(VALUE($A461),WEEKLY_DATA!$A:$H,6,0)=0,"No Sales",Q461/(VLOOKUP(VALUE($A461),WEEKLY_DATA!$A:$H,6,0)/13))),"")</f>
        <v/>
      </c>
      <c r="X461" s="10">
        <f>IFERROR(VLOOKUP(VALUE(A461),WEEKLY_DATA!$A:$H,8,0),0)</f>
        <v>0</v>
      </c>
      <c r="Y461" s="13" t="str">
        <f t="shared" si="14"/>
        <v>—</v>
      </c>
      <c r="Z461" s="11"/>
      <c r="AA461" s="11"/>
      <c r="AB461" s="11"/>
      <c r="AC461" s="11"/>
      <c r="AD461" s="11"/>
      <c r="AE461" s="11"/>
      <c r="AF461" s="61"/>
      <c r="AG461" s="61"/>
      <c r="AH461" s="62"/>
      <c r="AI461" s="62"/>
      <c r="AJ461" s="61"/>
      <c r="AK461" s="61"/>
      <c r="AL461" s="61"/>
      <c r="AM461" s="58"/>
      <c r="AN461" s="58"/>
      <c r="AO461" s="58"/>
      <c r="AP461" s="58"/>
      <c r="AQ461" s="58"/>
      <c r="AR461" s="58"/>
      <c r="AS461" s="91"/>
      <c r="AT461" s="93"/>
      <c r="AU461" s="93"/>
      <c r="AV461" s="93"/>
      <c r="AW461" s="93"/>
    </row>
    <row r="462" spans="1:49" x14ac:dyDescent="0.25">
      <c r="A462" s="59"/>
      <c r="B462" s="12"/>
      <c r="C462" s="12"/>
      <c r="D462" s="60"/>
      <c r="E462" s="6"/>
      <c r="F462" s="6"/>
      <c r="G462" s="12"/>
      <c r="H462" s="12"/>
      <c r="I462" s="12" t="str" cm="2">
        <f t="array" ref="I462">IFERROR(INDEX(BrandList!$B$2:$B$200,MATCH(TRUE,ISNUMBER(SEARCH(BrandList!$B$2:$B$200,G462)),0)),"")</f>
        <v/>
      </c>
      <c r="J462" s="12"/>
      <c r="K462" s="12"/>
      <c r="L462" s="60"/>
      <c r="M462" s="60"/>
      <c r="N462" s="60"/>
      <c r="O462" s="60"/>
      <c r="P462" s="7" t="str">
        <f t="shared" si="15"/>
        <v/>
      </c>
      <c r="Q462" s="8">
        <f>IFERROR(VLOOKUP(VALUE(A462),WEEKLY_DATA!$A:$H,2,0),0)</f>
        <v>0</v>
      </c>
      <c r="R462" s="8">
        <f>IFERROR(VLOOKUP(VALUE(A462),WEEKLY_DATA!$A:$H,3,0),0)</f>
        <v>0</v>
      </c>
      <c r="S462" s="8">
        <f>IFERROR(VLOOKUP(VALUE(A462),WEEKLY_DATA!$A:$H,4,0),0)</f>
        <v>0</v>
      </c>
      <c r="T462" s="51">
        <f>IFERROR(VLOOKUP(VALUE(A462),WEEKLY_DATA!$A:$H,5,0),0)</f>
        <v>0</v>
      </c>
      <c r="U462" s="51">
        <f>IFERROR(VLOOKUP(VALUE(A462),WEEKLY_DATA!$A:$H,6,0),0)</f>
        <v>0</v>
      </c>
      <c r="V462" s="51">
        <f>IFERROR(VLOOKUP(VALUE(A462),WEEKLY_DATA!$A:$H,7,0),0)</f>
        <v>0</v>
      </c>
      <c r="W462" s="9" t="str">
        <f>IFERROR(IF(OR(Q462="",Q462=0),"",IF(VLOOKUP(VALUE($A462),WEEKLY_DATA!$A:$H,6,0)=0,"No Sales",Q462/(VLOOKUP(VALUE($A462),WEEKLY_DATA!$A:$H,6,0)/13))),"")</f>
        <v/>
      </c>
      <c r="X462" s="10">
        <f>IFERROR(VLOOKUP(VALUE(A462),WEEKLY_DATA!$A:$H,8,0),0)</f>
        <v>0</v>
      </c>
      <c r="Y462" s="13" t="str">
        <f t="shared" si="14"/>
        <v>—</v>
      </c>
      <c r="Z462" s="11"/>
      <c r="AA462" s="11"/>
      <c r="AB462" s="11"/>
      <c r="AC462" s="11"/>
      <c r="AD462" s="11"/>
      <c r="AE462" s="11"/>
      <c r="AF462" s="61"/>
      <c r="AG462" s="61"/>
      <c r="AH462" s="62"/>
      <c r="AI462" s="62"/>
      <c r="AJ462" s="61"/>
      <c r="AK462" s="61"/>
      <c r="AL462" s="61"/>
      <c r="AM462" s="58"/>
      <c r="AN462" s="58"/>
      <c r="AO462" s="58"/>
      <c r="AP462" s="58"/>
      <c r="AQ462" s="58"/>
      <c r="AR462" s="58"/>
      <c r="AS462" s="91"/>
      <c r="AT462" s="93"/>
      <c r="AU462" s="93"/>
      <c r="AV462" s="93"/>
      <c r="AW462" s="93"/>
    </row>
    <row r="463" spans="1:49" x14ac:dyDescent="0.25">
      <c r="A463" s="59"/>
      <c r="B463" s="12"/>
      <c r="C463" s="12"/>
      <c r="D463" s="60"/>
      <c r="E463" s="6"/>
      <c r="F463" s="6"/>
      <c r="G463" s="12"/>
      <c r="H463" s="12"/>
      <c r="I463" s="12" t="str" cm="2">
        <f t="array" ref="I463">IFERROR(INDEX(BrandList!$B$2:$B$200,MATCH(TRUE,ISNUMBER(SEARCH(BrandList!$B$2:$B$200,G463)),0)),"")</f>
        <v/>
      </c>
      <c r="J463" s="12"/>
      <c r="K463" s="12"/>
      <c r="L463" s="60"/>
      <c r="M463" s="60"/>
      <c r="N463" s="60"/>
      <c r="O463" s="60"/>
      <c r="P463" s="7" t="str">
        <f t="shared" si="15"/>
        <v/>
      </c>
      <c r="Q463" s="8">
        <f>IFERROR(VLOOKUP(VALUE(A463),WEEKLY_DATA!$A:$H,2,0),0)</f>
        <v>0</v>
      </c>
      <c r="R463" s="8">
        <f>IFERROR(VLOOKUP(VALUE(A463),WEEKLY_DATA!$A:$H,3,0),0)</f>
        <v>0</v>
      </c>
      <c r="S463" s="8">
        <f>IFERROR(VLOOKUP(VALUE(A463),WEEKLY_DATA!$A:$H,4,0),0)</f>
        <v>0</v>
      </c>
      <c r="T463" s="51">
        <f>IFERROR(VLOOKUP(VALUE(A463),WEEKLY_DATA!$A:$H,5,0),0)</f>
        <v>0</v>
      </c>
      <c r="U463" s="51">
        <f>IFERROR(VLOOKUP(VALUE(A463),WEEKLY_DATA!$A:$H,6,0),0)</f>
        <v>0</v>
      </c>
      <c r="V463" s="51">
        <f>IFERROR(VLOOKUP(VALUE(A463),WEEKLY_DATA!$A:$H,7,0),0)</f>
        <v>0</v>
      </c>
      <c r="W463" s="9" t="str">
        <f>IFERROR(IF(OR(Q463="",Q463=0),"",IF(VLOOKUP(VALUE($A463),WEEKLY_DATA!$A:$H,6,0)=0,"No Sales",Q463/(VLOOKUP(VALUE($A463),WEEKLY_DATA!$A:$H,6,0)/13))),"")</f>
        <v/>
      </c>
      <c r="X463" s="10">
        <f>IFERROR(VLOOKUP(VALUE(A463),WEEKLY_DATA!$A:$H,8,0),0)</f>
        <v>0</v>
      </c>
      <c r="Y463" s="13" t="str">
        <f t="shared" si="14"/>
        <v>—</v>
      </c>
      <c r="Z463" s="11"/>
      <c r="AA463" s="11"/>
      <c r="AB463" s="11"/>
      <c r="AC463" s="11"/>
      <c r="AD463" s="11"/>
      <c r="AE463" s="11"/>
      <c r="AF463" s="61"/>
      <c r="AG463" s="61"/>
      <c r="AH463" s="62"/>
      <c r="AI463" s="62"/>
      <c r="AJ463" s="61"/>
      <c r="AK463" s="61"/>
      <c r="AL463" s="61"/>
      <c r="AM463" s="58"/>
      <c r="AN463" s="58"/>
      <c r="AO463" s="58"/>
      <c r="AP463" s="58"/>
      <c r="AQ463" s="58"/>
      <c r="AR463" s="58"/>
      <c r="AS463" s="91"/>
      <c r="AT463" s="93"/>
      <c r="AU463" s="93"/>
      <c r="AV463" s="93"/>
      <c r="AW463" s="93"/>
    </row>
    <row r="464" spans="1:49" x14ac:dyDescent="0.25">
      <c r="A464" s="59"/>
      <c r="B464" s="12"/>
      <c r="C464" s="12"/>
      <c r="D464" s="60"/>
      <c r="E464" s="6"/>
      <c r="F464" s="6"/>
      <c r="G464" s="12"/>
      <c r="H464" s="12"/>
      <c r="I464" s="12" t="str" cm="2">
        <f t="array" ref="I464">IFERROR(INDEX(BrandList!$B$2:$B$200,MATCH(TRUE,ISNUMBER(SEARCH(BrandList!$B$2:$B$200,G464)),0)),"")</f>
        <v/>
      </c>
      <c r="J464" s="12"/>
      <c r="K464" s="12"/>
      <c r="L464" s="60"/>
      <c r="M464" s="60"/>
      <c r="N464" s="60"/>
      <c r="O464" s="60"/>
      <c r="P464" s="7" t="str">
        <f t="shared" si="15"/>
        <v/>
      </c>
      <c r="Q464" s="8">
        <f>IFERROR(VLOOKUP(VALUE(A464),WEEKLY_DATA!$A:$H,2,0),0)</f>
        <v>0</v>
      </c>
      <c r="R464" s="8">
        <f>IFERROR(VLOOKUP(VALUE(A464),WEEKLY_DATA!$A:$H,3,0),0)</f>
        <v>0</v>
      </c>
      <c r="S464" s="8">
        <f>IFERROR(VLOOKUP(VALUE(A464),WEEKLY_DATA!$A:$H,4,0),0)</f>
        <v>0</v>
      </c>
      <c r="T464" s="51">
        <f>IFERROR(VLOOKUP(VALUE(A464),WEEKLY_DATA!$A:$H,5,0),0)</f>
        <v>0</v>
      </c>
      <c r="U464" s="51">
        <f>IFERROR(VLOOKUP(VALUE(A464),WEEKLY_DATA!$A:$H,6,0),0)</f>
        <v>0</v>
      </c>
      <c r="V464" s="51">
        <f>IFERROR(VLOOKUP(VALUE(A464),WEEKLY_DATA!$A:$H,7,0),0)</f>
        <v>0</v>
      </c>
      <c r="W464" s="9" t="str">
        <f>IFERROR(IF(OR(Q464="",Q464=0),"",IF(VLOOKUP(VALUE($A464),WEEKLY_DATA!$A:$H,6,0)=0,"No Sales",Q464/(VLOOKUP(VALUE($A464),WEEKLY_DATA!$A:$H,6,0)/13))),"")</f>
        <v/>
      </c>
      <c r="X464" s="10">
        <f>IFERROR(VLOOKUP(VALUE(A464),WEEKLY_DATA!$A:$H,8,0),0)</f>
        <v>0</v>
      </c>
      <c r="Y464" s="13" t="str">
        <f t="shared" si="14"/>
        <v>—</v>
      </c>
      <c r="Z464" s="11"/>
      <c r="AA464" s="11"/>
      <c r="AB464" s="11"/>
      <c r="AC464" s="11"/>
      <c r="AD464" s="11"/>
      <c r="AE464" s="11"/>
      <c r="AF464" s="61"/>
      <c r="AG464" s="61"/>
      <c r="AH464" s="62"/>
      <c r="AI464" s="62"/>
      <c r="AJ464" s="61"/>
      <c r="AK464" s="61"/>
      <c r="AL464" s="61"/>
      <c r="AM464" s="58"/>
      <c r="AN464" s="58"/>
      <c r="AO464" s="58"/>
      <c r="AP464" s="58"/>
      <c r="AQ464" s="58"/>
      <c r="AR464" s="58"/>
      <c r="AS464" s="91"/>
      <c r="AT464" s="93"/>
      <c r="AU464" s="93"/>
      <c r="AV464" s="93"/>
      <c r="AW464" s="93"/>
    </row>
    <row r="465" spans="1:49" x14ac:dyDescent="0.25">
      <c r="A465" s="59"/>
      <c r="B465" s="12"/>
      <c r="C465" s="12"/>
      <c r="D465" s="60"/>
      <c r="E465" s="6"/>
      <c r="F465" s="6"/>
      <c r="G465" s="12"/>
      <c r="H465" s="12"/>
      <c r="I465" s="12" t="str" cm="2">
        <f t="array" ref="I465">IFERROR(INDEX(BrandList!$B$2:$B$200,MATCH(TRUE,ISNUMBER(SEARCH(BrandList!$B$2:$B$200,G465)),0)),"")</f>
        <v/>
      </c>
      <c r="J465" s="12"/>
      <c r="K465" s="12"/>
      <c r="L465" s="60"/>
      <c r="M465" s="60"/>
      <c r="N465" s="60"/>
      <c r="O465" s="60"/>
      <c r="P465" s="7" t="str">
        <f t="shared" si="15"/>
        <v/>
      </c>
      <c r="Q465" s="8">
        <f>IFERROR(VLOOKUP(VALUE(A465),WEEKLY_DATA!$A:$H,2,0),0)</f>
        <v>0</v>
      </c>
      <c r="R465" s="8">
        <f>IFERROR(VLOOKUP(VALUE(A465),WEEKLY_DATA!$A:$H,3,0),0)</f>
        <v>0</v>
      </c>
      <c r="S465" s="8">
        <f>IFERROR(VLOOKUP(VALUE(A465),WEEKLY_DATA!$A:$H,4,0),0)</f>
        <v>0</v>
      </c>
      <c r="T465" s="51">
        <f>IFERROR(VLOOKUP(VALUE(A465),WEEKLY_DATA!$A:$H,5,0),0)</f>
        <v>0</v>
      </c>
      <c r="U465" s="51">
        <f>IFERROR(VLOOKUP(VALUE(A465),WEEKLY_DATA!$A:$H,6,0),0)</f>
        <v>0</v>
      </c>
      <c r="V465" s="51">
        <f>IFERROR(VLOOKUP(VALUE(A465),WEEKLY_DATA!$A:$H,7,0),0)</f>
        <v>0</v>
      </c>
      <c r="W465" s="9" t="str">
        <f>IFERROR(IF(OR(Q465="",Q465=0),"",IF(VLOOKUP(VALUE($A465),WEEKLY_DATA!$A:$H,6,0)=0,"No Sales",Q465/(VLOOKUP(VALUE($A465),WEEKLY_DATA!$A:$H,6,0)/13))),"")</f>
        <v/>
      </c>
      <c r="X465" s="10">
        <f>IFERROR(VLOOKUP(VALUE(A465),WEEKLY_DATA!$A:$H,8,0),0)</f>
        <v>0</v>
      </c>
      <c r="Y465" s="13" t="str">
        <f t="shared" si="14"/>
        <v>—</v>
      </c>
      <c r="Z465" s="11"/>
      <c r="AA465" s="11"/>
      <c r="AB465" s="11"/>
      <c r="AC465" s="11"/>
      <c r="AD465" s="11"/>
      <c r="AE465" s="11"/>
      <c r="AF465" s="61"/>
      <c r="AG465" s="61"/>
      <c r="AH465" s="62"/>
      <c r="AI465" s="62"/>
      <c r="AJ465" s="61"/>
      <c r="AK465" s="61"/>
      <c r="AL465" s="61"/>
      <c r="AM465" s="58"/>
      <c r="AN465" s="58"/>
      <c r="AO465" s="58"/>
      <c r="AP465" s="58"/>
      <c r="AQ465" s="58"/>
      <c r="AR465" s="58"/>
      <c r="AS465" s="91"/>
      <c r="AT465" s="93"/>
      <c r="AU465" s="93"/>
      <c r="AV465" s="93"/>
      <c r="AW465" s="93"/>
    </row>
    <row r="466" spans="1:49" x14ac:dyDescent="0.25">
      <c r="A466" s="59"/>
      <c r="B466" s="12"/>
      <c r="C466" s="12"/>
      <c r="D466" s="60"/>
      <c r="E466" s="6"/>
      <c r="F466" s="6"/>
      <c r="G466" s="12"/>
      <c r="H466" s="12"/>
      <c r="I466" s="12" t="str" cm="2">
        <f t="array" ref="I466">IFERROR(INDEX(BrandList!$B$2:$B$200,MATCH(TRUE,ISNUMBER(SEARCH(BrandList!$B$2:$B$200,G466)),0)),"")</f>
        <v/>
      </c>
      <c r="J466" s="12"/>
      <c r="K466" s="12"/>
      <c r="L466" s="60"/>
      <c r="M466" s="60"/>
      <c r="N466" s="60"/>
      <c r="O466" s="60"/>
      <c r="P466" s="7" t="str">
        <f t="shared" si="15"/>
        <v/>
      </c>
      <c r="Q466" s="8">
        <f>IFERROR(VLOOKUP(VALUE(A466),WEEKLY_DATA!$A:$H,2,0),0)</f>
        <v>0</v>
      </c>
      <c r="R466" s="8">
        <f>IFERROR(VLOOKUP(VALUE(A466),WEEKLY_DATA!$A:$H,3,0),0)</f>
        <v>0</v>
      </c>
      <c r="S466" s="8">
        <f>IFERROR(VLOOKUP(VALUE(A466),WEEKLY_DATA!$A:$H,4,0),0)</f>
        <v>0</v>
      </c>
      <c r="T466" s="51">
        <f>IFERROR(VLOOKUP(VALUE(A466),WEEKLY_DATA!$A:$H,5,0),0)</f>
        <v>0</v>
      </c>
      <c r="U466" s="51">
        <f>IFERROR(VLOOKUP(VALUE(A466),WEEKLY_DATA!$A:$H,6,0),0)</f>
        <v>0</v>
      </c>
      <c r="V466" s="51">
        <f>IFERROR(VLOOKUP(VALUE(A466),WEEKLY_DATA!$A:$H,7,0),0)</f>
        <v>0</v>
      </c>
      <c r="W466" s="9" t="str">
        <f>IFERROR(IF(OR(Q466="",Q466=0),"",IF(VLOOKUP(VALUE($A466),WEEKLY_DATA!$A:$H,6,0)=0,"No Sales",Q466/(VLOOKUP(VALUE($A466),WEEKLY_DATA!$A:$H,6,0)/13))),"")</f>
        <v/>
      </c>
      <c r="X466" s="10">
        <f>IFERROR(VLOOKUP(VALUE(A466),WEEKLY_DATA!$A:$H,8,0),0)</f>
        <v>0</v>
      </c>
      <c r="Y466" s="13" t="str">
        <f t="shared" si="14"/>
        <v>—</v>
      </c>
      <c r="Z466" s="11"/>
      <c r="AA466" s="11"/>
      <c r="AB466" s="11"/>
      <c r="AC466" s="11"/>
      <c r="AD466" s="11"/>
      <c r="AE466" s="11"/>
      <c r="AF466" s="61"/>
      <c r="AG466" s="61"/>
      <c r="AH466" s="62"/>
      <c r="AI466" s="62"/>
      <c r="AJ466" s="61"/>
      <c r="AK466" s="61"/>
      <c r="AL466" s="61"/>
      <c r="AM466" s="58"/>
      <c r="AN466" s="58"/>
      <c r="AO466" s="58"/>
      <c r="AP466" s="58"/>
      <c r="AQ466" s="58"/>
      <c r="AR466" s="58"/>
      <c r="AS466" s="91"/>
      <c r="AT466" s="93"/>
      <c r="AU466" s="93"/>
      <c r="AV466" s="93"/>
      <c r="AW466" s="93"/>
    </row>
    <row r="467" spans="1:49" x14ac:dyDescent="0.25">
      <c r="A467" s="59"/>
      <c r="B467" s="12"/>
      <c r="C467" s="12"/>
      <c r="D467" s="60"/>
      <c r="E467" s="6"/>
      <c r="F467" s="6"/>
      <c r="G467" s="12"/>
      <c r="H467" s="12"/>
      <c r="I467" s="12" t="str" cm="2">
        <f t="array" ref="I467">IFERROR(INDEX(BrandList!$B$2:$B$200,MATCH(TRUE,ISNUMBER(SEARCH(BrandList!$B$2:$B$200,G467)),0)),"")</f>
        <v/>
      </c>
      <c r="J467" s="12"/>
      <c r="K467" s="12"/>
      <c r="L467" s="60"/>
      <c r="M467" s="60"/>
      <c r="N467" s="60"/>
      <c r="O467" s="60"/>
      <c r="P467" s="7" t="str">
        <f t="shared" si="15"/>
        <v/>
      </c>
      <c r="Q467" s="8">
        <f>IFERROR(VLOOKUP(VALUE(A467),WEEKLY_DATA!$A:$H,2,0),0)</f>
        <v>0</v>
      </c>
      <c r="R467" s="8">
        <f>IFERROR(VLOOKUP(VALUE(A467),WEEKLY_DATA!$A:$H,3,0),0)</f>
        <v>0</v>
      </c>
      <c r="S467" s="8">
        <f>IFERROR(VLOOKUP(VALUE(A467),WEEKLY_DATA!$A:$H,4,0),0)</f>
        <v>0</v>
      </c>
      <c r="T467" s="51">
        <f>IFERROR(VLOOKUP(VALUE(A467),WEEKLY_DATA!$A:$H,5,0),0)</f>
        <v>0</v>
      </c>
      <c r="U467" s="51">
        <f>IFERROR(VLOOKUP(VALUE(A467),WEEKLY_DATA!$A:$H,6,0),0)</f>
        <v>0</v>
      </c>
      <c r="V467" s="51">
        <f>IFERROR(VLOOKUP(VALUE(A467),WEEKLY_DATA!$A:$H,7,0),0)</f>
        <v>0</v>
      </c>
      <c r="W467" s="9" t="str">
        <f>IFERROR(IF(OR(Q467="",Q467=0),"",IF(VLOOKUP(VALUE($A467),WEEKLY_DATA!$A:$H,6,0)=0,"No Sales",Q467/(VLOOKUP(VALUE($A467),WEEKLY_DATA!$A:$H,6,0)/13))),"")</f>
        <v/>
      </c>
      <c r="X467" s="10">
        <f>IFERROR(VLOOKUP(VALUE(A467),WEEKLY_DATA!$A:$H,8,0),0)</f>
        <v>0</v>
      </c>
      <c r="Y467" s="13" t="str">
        <f t="shared" si="14"/>
        <v>—</v>
      </c>
      <c r="Z467" s="11"/>
      <c r="AA467" s="11"/>
      <c r="AB467" s="11"/>
      <c r="AC467" s="11"/>
      <c r="AD467" s="11"/>
      <c r="AE467" s="11"/>
      <c r="AF467" s="61"/>
      <c r="AG467" s="61"/>
      <c r="AH467" s="62"/>
      <c r="AI467" s="62"/>
      <c r="AJ467" s="61"/>
      <c r="AK467" s="61"/>
      <c r="AL467" s="61"/>
      <c r="AM467" s="58"/>
      <c r="AN467" s="58"/>
      <c r="AO467" s="58"/>
      <c r="AP467" s="58"/>
      <c r="AQ467" s="58"/>
      <c r="AR467" s="58"/>
      <c r="AS467" s="91"/>
      <c r="AT467" s="93"/>
      <c r="AU467" s="93"/>
      <c r="AV467" s="93"/>
      <c r="AW467" s="93"/>
    </row>
    <row r="468" spans="1:49" x14ac:dyDescent="0.25">
      <c r="A468" s="59"/>
      <c r="B468" s="12"/>
      <c r="C468" s="12"/>
      <c r="D468" s="60"/>
      <c r="E468" s="6"/>
      <c r="F468" s="6"/>
      <c r="G468" s="12"/>
      <c r="H468" s="12"/>
      <c r="I468" s="12" t="str" cm="2">
        <f t="array" ref="I468">IFERROR(INDEX(BrandList!$B$2:$B$200,MATCH(TRUE,ISNUMBER(SEARCH(BrandList!$B$2:$B$200,G468)),0)),"")</f>
        <v/>
      </c>
      <c r="J468" s="12"/>
      <c r="K468" s="12"/>
      <c r="L468" s="60"/>
      <c r="M468" s="60"/>
      <c r="N468" s="60"/>
      <c r="O468" s="60"/>
      <c r="P468" s="7" t="str">
        <f t="shared" si="15"/>
        <v/>
      </c>
      <c r="Q468" s="8">
        <f>IFERROR(VLOOKUP(VALUE(A468),WEEKLY_DATA!$A:$H,2,0),0)</f>
        <v>0</v>
      </c>
      <c r="R468" s="8">
        <f>IFERROR(VLOOKUP(VALUE(A468),WEEKLY_DATA!$A:$H,3,0),0)</f>
        <v>0</v>
      </c>
      <c r="S468" s="8">
        <f>IFERROR(VLOOKUP(VALUE(A468),WEEKLY_DATA!$A:$H,4,0),0)</f>
        <v>0</v>
      </c>
      <c r="T468" s="51">
        <f>IFERROR(VLOOKUP(VALUE(A468),WEEKLY_DATA!$A:$H,5,0),0)</f>
        <v>0</v>
      </c>
      <c r="U468" s="51">
        <f>IFERROR(VLOOKUP(VALUE(A468),WEEKLY_DATA!$A:$H,6,0),0)</f>
        <v>0</v>
      </c>
      <c r="V468" s="51">
        <f>IFERROR(VLOOKUP(VALUE(A468),WEEKLY_DATA!$A:$H,7,0),0)</f>
        <v>0</v>
      </c>
      <c r="W468" s="9" t="str">
        <f>IFERROR(IF(OR(Q468="",Q468=0),"",IF(VLOOKUP(VALUE($A468),WEEKLY_DATA!$A:$H,6,0)=0,"No Sales",Q468/(VLOOKUP(VALUE($A468),WEEKLY_DATA!$A:$H,6,0)/13))),"")</f>
        <v/>
      </c>
      <c r="X468" s="10">
        <f>IFERROR(VLOOKUP(VALUE(A468),WEEKLY_DATA!$A:$H,8,0),0)</f>
        <v>0</v>
      </c>
      <c r="Y468" s="13" t="str">
        <f t="shared" si="14"/>
        <v>—</v>
      </c>
      <c r="Z468" s="11"/>
      <c r="AA468" s="11"/>
      <c r="AB468" s="11"/>
      <c r="AC468" s="11"/>
      <c r="AD468" s="11"/>
      <c r="AE468" s="11"/>
      <c r="AF468" s="61"/>
      <c r="AG468" s="61"/>
      <c r="AH468" s="62"/>
      <c r="AI468" s="62"/>
      <c r="AJ468" s="61"/>
      <c r="AK468" s="61"/>
      <c r="AL468" s="61"/>
      <c r="AM468" s="58"/>
      <c r="AN468" s="58"/>
      <c r="AO468" s="58"/>
      <c r="AP468" s="58"/>
      <c r="AQ468" s="58"/>
      <c r="AR468" s="58"/>
      <c r="AS468" s="91"/>
      <c r="AT468" s="93"/>
      <c r="AU468" s="93"/>
      <c r="AV468" s="93"/>
      <c r="AW468" s="93"/>
    </row>
    <row r="469" spans="1:49" x14ac:dyDescent="0.25">
      <c r="A469" s="59"/>
      <c r="B469" s="12"/>
      <c r="C469" s="12"/>
      <c r="D469" s="60"/>
      <c r="E469" s="6"/>
      <c r="F469" s="6"/>
      <c r="G469" s="12"/>
      <c r="H469" s="12"/>
      <c r="I469" s="12" t="str" cm="2">
        <f t="array" ref="I469">IFERROR(INDEX(BrandList!$B$2:$B$200,MATCH(TRUE,ISNUMBER(SEARCH(BrandList!$B$2:$B$200,G469)),0)),"")</f>
        <v/>
      </c>
      <c r="J469" s="12"/>
      <c r="K469" s="12"/>
      <c r="L469" s="60"/>
      <c r="M469" s="60"/>
      <c r="N469" s="60"/>
      <c r="O469" s="60"/>
      <c r="P469" s="7" t="str">
        <f t="shared" si="15"/>
        <v/>
      </c>
      <c r="Q469" s="8">
        <f>IFERROR(VLOOKUP(VALUE(A469),WEEKLY_DATA!$A:$H,2,0),0)</f>
        <v>0</v>
      </c>
      <c r="R469" s="8">
        <f>IFERROR(VLOOKUP(VALUE(A469),WEEKLY_DATA!$A:$H,3,0),0)</f>
        <v>0</v>
      </c>
      <c r="S469" s="8">
        <f>IFERROR(VLOOKUP(VALUE(A469),WEEKLY_DATA!$A:$H,4,0),0)</f>
        <v>0</v>
      </c>
      <c r="T469" s="51">
        <f>IFERROR(VLOOKUP(VALUE(A469),WEEKLY_DATA!$A:$H,5,0),0)</f>
        <v>0</v>
      </c>
      <c r="U469" s="51">
        <f>IFERROR(VLOOKUP(VALUE(A469),WEEKLY_DATA!$A:$H,6,0),0)</f>
        <v>0</v>
      </c>
      <c r="V469" s="51">
        <f>IFERROR(VLOOKUP(VALUE(A469),WEEKLY_DATA!$A:$H,7,0),0)</f>
        <v>0</v>
      </c>
      <c r="W469" s="9" t="str">
        <f>IFERROR(IF(OR(Q469="",Q469=0),"",IF(VLOOKUP(VALUE($A469),WEEKLY_DATA!$A:$H,6,0)=0,"No Sales",Q469/(VLOOKUP(VALUE($A469),WEEKLY_DATA!$A:$H,6,0)/13))),"")</f>
        <v/>
      </c>
      <c r="X469" s="10">
        <f>IFERROR(VLOOKUP(VALUE(A469),WEEKLY_DATA!$A:$H,8,0),0)</f>
        <v>0</v>
      </c>
      <c r="Y469" s="13" t="str">
        <f t="shared" si="14"/>
        <v>—</v>
      </c>
      <c r="Z469" s="11"/>
      <c r="AA469" s="11"/>
      <c r="AB469" s="11"/>
      <c r="AC469" s="11"/>
      <c r="AD469" s="11"/>
      <c r="AE469" s="11"/>
      <c r="AF469" s="61"/>
      <c r="AG469" s="61"/>
      <c r="AH469" s="62"/>
      <c r="AI469" s="62"/>
      <c r="AJ469" s="61"/>
      <c r="AK469" s="61"/>
      <c r="AL469" s="61"/>
      <c r="AM469" s="58"/>
      <c r="AN469" s="58"/>
      <c r="AO469" s="58"/>
      <c r="AP469" s="58"/>
      <c r="AQ469" s="58"/>
      <c r="AR469" s="58"/>
      <c r="AS469" s="91"/>
      <c r="AT469" s="93"/>
      <c r="AU469" s="93"/>
      <c r="AV469" s="93"/>
      <c r="AW469" s="93"/>
    </row>
    <row r="470" spans="1:49" x14ac:dyDescent="0.25">
      <c r="A470" s="59"/>
      <c r="B470" s="12"/>
      <c r="C470" s="12"/>
      <c r="D470" s="60"/>
      <c r="E470" s="6"/>
      <c r="F470" s="6"/>
      <c r="G470" s="12"/>
      <c r="H470" s="12"/>
      <c r="I470" s="12" t="str" cm="2">
        <f t="array" ref="I470">IFERROR(INDEX(BrandList!$B$2:$B$200,MATCH(TRUE,ISNUMBER(SEARCH(BrandList!$B$2:$B$200,G470)),0)),"")</f>
        <v/>
      </c>
      <c r="J470" s="12"/>
      <c r="K470" s="12"/>
      <c r="L470" s="60"/>
      <c r="M470" s="60"/>
      <c r="N470" s="60"/>
      <c r="O470" s="60"/>
      <c r="P470" s="7" t="str">
        <f t="shared" si="15"/>
        <v/>
      </c>
      <c r="Q470" s="8">
        <f>IFERROR(VLOOKUP(VALUE(A470),WEEKLY_DATA!$A:$H,2,0),0)</f>
        <v>0</v>
      </c>
      <c r="R470" s="8">
        <f>IFERROR(VLOOKUP(VALUE(A470),WEEKLY_DATA!$A:$H,3,0),0)</f>
        <v>0</v>
      </c>
      <c r="S470" s="8">
        <f>IFERROR(VLOOKUP(VALUE(A470),WEEKLY_DATA!$A:$H,4,0),0)</f>
        <v>0</v>
      </c>
      <c r="T470" s="51">
        <f>IFERROR(VLOOKUP(VALUE(A470),WEEKLY_DATA!$A:$H,5,0),0)</f>
        <v>0</v>
      </c>
      <c r="U470" s="51">
        <f>IFERROR(VLOOKUP(VALUE(A470),WEEKLY_DATA!$A:$H,6,0),0)</f>
        <v>0</v>
      </c>
      <c r="V470" s="51">
        <f>IFERROR(VLOOKUP(VALUE(A470),WEEKLY_DATA!$A:$H,7,0),0)</f>
        <v>0</v>
      </c>
      <c r="W470" s="9" t="str">
        <f>IFERROR(IF(OR(Q470="",Q470=0),"",IF(VLOOKUP(VALUE($A470),WEEKLY_DATA!$A:$H,6,0)=0,"No Sales",Q470/(VLOOKUP(VALUE($A470),WEEKLY_DATA!$A:$H,6,0)/13))),"")</f>
        <v/>
      </c>
      <c r="X470" s="10">
        <f>IFERROR(VLOOKUP(VALUE(A470),WEEKLY_DATA!$A:$H,8,0),0)</f>
        <v>0</v>
      </c>
      <c r="Y470" s="13" t="str">
        <f t="shared" si="14"/>
        <v>—</v>
      </c>
      <c r="Z470" s="11"/>
      <c r="AA470" s="11"/>
      <c r="AB470" s="11"/>
      <c r="AC470" s="11"/>
      <c r="AD470" s="11"/>
      <c r="AE470" s="11"/>
      <c r="AF470" s="61"/>
      <c r="AG470" s="61"/>
      <c r="AH470" s="62"/>
      <c r="AI470" s="62"/>
      <c r="AJ470" s="61"/>
      <c r="AK470" s="61"/>
      <c r="AL470" s="61"/>
      <c r="AM470" s="58"/>
      <c r="AN470" s="58"/>
      <c r="AO470" s="58"/>
      <c r="AP470" s="58"/>
      <c r="AQ470" s="58"/>
      <c r="AR470" s="58"/>
      <c r="AS470" s="91"/>
      <c r="AT470" s="93"/>
      <c r="AU470" s="93"/>
      <c r="AV470" s="93"/>
      <c r="AW470" s="93"/>
    </row>
    <row r="471" spans="1:49" x14ac:dyDescent="0.25">
      <c r="A471" s="59"/>
      <c r="B471" s="12"/>
      <c r="C471" s="12"/>
      <c r="D471" s="60"/>
      <c r="E471" s="6"/>
      <c r="F471" s="6"/>
      <c r="G471" s="12"/>
      <c r="H471" s="12"/>
      <c r="I471" s="12" t="str" cm="2">
        <f t="array" ref="I471">IFERROR(INDEX(BrandList!$B$2:$B$200,MATCH(TRUE,ISNUMBER(SEARCH(BrandList!$B$2:$B$200,G471)),0)),"")</f>
        <v/>
      </c>
      <c r="J471" s="12"/>
      <c r="K471" s="12"/>
      <c r="L471" s="60"/>
      <c r="M471" s="60"/>
      <c r="N471" s="60"/>
      <c r="O471" s="60"/>
      <c r="P471" s="7" t="str">
        <f t="shared" si="15"/>
        <v/>
      </c>
      <c r="Q471" s="8">
        <f>IFERROR(VLOOKUP(VALUE(A471),WEEKLY_DATA!$A:$H,2,0),0)</f>
        <v>0</v>
      </c>
      <c r="R471" s="8">
        <f>IFERROR(VLOOKUP(VALUE(A471),WEEKLY_DATA!$A:$H,3,0),0)</f>
        <v>0</v>
      </c>
      <c r="S471" s="8">
        <f>IFERROR(VLOOKUP(VALUE(A471),WEEKLY_DATA!$A:$H,4,0),0)</f>
        <v>0</v>
      </c>
      <c r="T471" s="51">
        <f>IFERROR(VLOOKUP(VALUE(A471),WEEKLY_DATA!$A:$H,5,0),0)</f>
        <v>0</v>
      </c>
      <c r="U471" s="51">
        <f>IFERROR(VLOOKUP(VALUE(A471),WEEKLY_DATA!$A:$H,6,0),0)</f>
        <v>0</v>
      </c>
      <c r="V471" s="51">
        <f>IFERROR(VLOOKUP(VALUE(A471),WEEKLY_DATA!$A:$H,7,0),0)</f>
        <v>0</v>
      </c>
      <c r="W471" s="9" t="str">
        <f>IFERROR(IF(OR(Q471="",Q471=0),"",IF(VLOOKUP(VALUE($A471),WEEKLY_DATA!$A:$H,6,0)=0,"No Sales",Q471/(VLOOKUP(VALUE($A471),WEEKLY_DATA!$A:$H,6,0)/13))),"")</f>
        <v/>
      </c>
      <c r="X471" s="10">
        <f>IFERROR(VLOOKUP(VALUE(A471),WEEKLY_DATA!$A:$H,8,0),0)</f>
        <v>0</v>
      </c>
      <c r="Y471" s="13" t="str">
        <f t="shared" si="14"/>
        <v>—</v>
      </c>
      <c r="Z471" s="11"/>
      <c r="AA471" s="11"/>
      <c r="AB471" s="11"/>
      <c r="AC471" s="11"/>
      <c r="AD471" s="11"/>
      <c r="AE471" s="11"/>
      <c r="AF471" s="61"/>
      <c r="AG471" s="61"/>
      <c r="AH471" s="62"/>
      <c r="AI471" s="62"/>
      <c r="AJ471" s="61"/>
      <c r="AK471" s="61"/>
      <c r="AL471" s="61"/>
      <c r="AM471" s="58"/>
      <c r="AN471" s="58"/>
      <c r="AO471" s="58"/>
      <c r="AP471" s="58"/>
      <c r="AQ471" s="58"/>
      <c r="AR471" s="58"/>
      <c r="AS471" s="91"/>
      <c r="AT471" s="93"/>
      <c r="AU471" s="93"/>
      <c r="AV471" s="93"/>
      <c r="AW471" s="93"/>
    </row>
    <row r="472" spans="1:49" x14ac:dyDescent="0.25">
      <c r="A472" s="59"/>
      <c r="B472" s="12"/>
      <c r="C472" s="12"/>
      <c r="D472" s="60"/>
      <c r="E472" s="6"/>
      <c r="F472" s="6"/>
      <c r="G472" s="12"/>
      <c r="H472" s="12"/>
      <c r="I472" s="12" t="str" cm="2">
        <f t="array" ref="I472">IFERROR(INDEX(BrandList!$B$2:$B$200,MATCH(TRUE,ISNUMBER(SEARCH(BrandList!$B$2:$B$200,G472)),0)),"")</f>
        <v/>
      </c>
      <c r="J472" s="12"/>
      <c r="K472" s="12"/>
      <c r="L472" s="60"/>
      <c r="M472" s="60"/>
      <c r="N472" s="60"/>
      <c r="O472" s="60"/>
      <c r="P472" s="7" t="str">
        <f t="shared" si="15"/>
        <v/>
      </c>
      <c r="Q472" s="8">
        <f>IFERROR(VLOOKUP(VALUE(A472),WEEKLY_DATA!$A:$H,2,0),0)</f>
        <v>0</v>
      </c>
      <c r="R472" s="8">
        <f>IFERROR(VLOOKUP(VALUE(A472),WEEKLY_DATA!$A:$H,3,0),0)</f>
        <v>0</v>
      </c>
      <c r="S472" s="8">
        <f>IFERROR(VLOOKUP(VALUE(A472),WEEKLY_DATA!$A:$H,4,0),0)</f>
        <v>0</v>
      </c>
      <c r="T472" s="51">
        <f>IFERROR(VLOOKUP(VALUE(A472),WEEKLY_DATA!$A:$H,5,0),0)</f>
        <v>0</v>
      </c>
      <c r="U472" s="51">
        <f>IFERROR(VLOOKUP(VALUE(A472),WEEKLY_DATA!$A:$H,6,0),0)</f>
        <v>0</v>
      </c>
      <c r="V472" s="51">
        <f>IFERROR(VLOOKUP(VALUE(A472),WEEKLY_DATA!$A:$H,7,0),0)</f>
        <v>0</v>
      </c>
      <c r="W472" s="9" t="str">
        <f>IFERROR(IF(OR(Q472="",Q472=0),"",IF(VLOOKUP(VALUE($A472),WEEKLY_DATA!$A:$H,6,0)=0,"No Sales",Q472/(VLOOKUP(VALUE($A472),WEEKLY_DATA!$A:$H,6,0)/13))),"")</f>
        <v/>
      </c>
      <c r="X472" s="10">
        <f>IFERROR(VLOOKUP(VALUE(A472),WEEKLY_DATA!$A:$H,8,0),0)</f>
        <v>0</v>
      </c>
      <c r="Y472" s="13" t="str">
        <f t="shared" si="14"/>
        <v>—</v>
      </c>
      <c r="Z472" s="11"/>
      <c r="AA472" s="11"/>
      <c r="AB472" s="11"/>
      <c r="AC472" s="11"/>
      <c r="AD472" s="11"/>
      <c r="AE472" s="11"/>
      <c r="AF472" s="61"/>
      <c r="AG472" s="61"/>
      <c r="AH472" s="62"/>
      <c r="AI472" s="62"/>
      <c r="AJ472" s="61"/>
      <c r="AK472" s="61"/>
      <c r="AL472" s="61"/>
      <c r="AM472" s="58"/>
      <c r="AN472" s="58"/>
      <c r="AO472" s="58"/>
      <c r="AP472" s="58"/>
      <c r="AQ472" s="58"/>
      <c r="AR472" s="58"/>
      <c r="AS472" s="91"/>
      <c r="AT472" s="93"/>
      <c r="AU472" s="93"/>
      <c r="AV472" s="93"/>
      <c r="AW472" s="93"/>
    </row>
    <row r="473" spans="1:49" x14ac:dyDescent="0.25">
      <c r="A473" s="59"/>
      <c r="B473" s="12"/>
      <c r="C473" s="12"/>
      <c r="D473" s="60"/>
      <c r="E473" s="6"/>
      <c r="F473" s="6"/>
      <c r="G473" s="12"/>
      <c r="H473" s="12"/>
      <c r="I473" s="12" t="str" cm="2">
        <f t="array" ref="I473">IFERROR(INDEX(BrandList!$B$2:$B$200,MATCH(TRUE,ISNUMBER(SEARCH(BrandList!$B$2:$B$200,G473)),0)),"")</f>
        <v/>
      </c>
      <c r="J473" s="12"/>
      <c r="K473" s="12"/>
      <c r="L473" s="60"/>
      <c r="M473" s="60"/>
      <c r="N473" s="60"/>
      <c r="O473" s="60"/>
      <c r="P473" s="7" t="str">
        <f t="shared" si="15"/>
        <v/>
      </c>
      <c r="Q473" s="8">
        <f>IFERROR(VLOOKUP(VALUE(A473),WEEKLY_DATA!$A:$H,2,0),0)</f>
        <v>0</v>
      </c>
      <c r="R473" s="8">
        <f>IFERROR(VLOOKUP(VALUE(A473),WEEKLY_DATA!$A:$H,3,0),0)</f>
        <v>0</v>
      </c>
      <c r="S473" s="8">
        <f>IFERROR(VLOOKUP(VALUE(A473),WEEKLY_DATA!$A:$H,4,0),0)</f>
        <v>0</v>
      </c>
      <c r="T473" s="51">
        <f>IFERROR(VLOOKUP(VALUE(A473),WEEKLY_DATA!$A:$H,5,0),0)</f>
        <v>0</v>
      </c>
      <c r="U473" s="51">
        <f>IFERROR(VLOOKUP(VALUE(A473),WEEKLY_DATA!$A:$H,6,0),0)</f>
        <v>0</v>
      </c>
      <c r="V473" s="51">
        <f>IFERROR(VLOOKUP(VALUE(A473),WEEKLY_DATA!$A:$H,7,0),0)</f>
        <v>0</v>
      </c>
      <c r="W473" s="9" t="str">
        <f>IFERROR(IF(OR(Q473="",Q473=0),"",IF(VLOOKUP(VALUE($A473),WEEKLY_DATA!$A:$H,6,0)=0,"No Sales",Q473/(VLOOKUP(VALUE($A473),WEEKLY_DATA!$A:$H,6,0)/13))),"")</f>
        <v/>
      </c>
      <c r="X473" s="10">
        <f>IFERROR(VLOOKUP(VALUE(A473),WEEKLY_DATA!$A:$H,8,0),0)</f>
        <v>0</v>
      </c>
      <c r="Y473" s="13" t="str">
        <f t="shared" si="14"/>
        <v>—</v>
      </c>
      <c r="Z473" s="11"/>
      <c r="AA473" s="11"/>
      <c r="AB473" s="11"/>
      <c r="AC473" s="11"/>
      <c r="AD473" s="11"/>
      <c r="AE473" s="11"/>
      <c r="AF473" s="61"/>
      <c r="AG473" s="61"/>
      <c r="AH473" s="62"/>
      <c r="AI473" s="62"/>
      <c r="AJ473" s="61"/>
      <c r="AK473" s="61"/>
      <c r="AL473" s="61"/>
      <c r="AM473" s="58"/>
      <c r="AN473" s="58"/>
      <c r="AO473" s="58"/>
      <c r="AP473" s="58"/>
      <c r="AQ473" s="58"/>
      <c r="AR473" s="58"/>
      <c r="AS473" s="91"/>
      <c r="AT473" s="93"/>
      <c r="AU473" s="93"/>
      <c r="AV473" s="93"/>
      <c r="AW473" s="93"/>
    </row>
    <row r="474" spans="1:49" x14ac:dyDescent="0.25">
      <c r="A474" s="59"/>
      <c r="B474" s="12"/>
      <c r="C474" s="12"/>
      <c r="D474" s="60"/>
      <c r="E474" s="6"/>
      <c r="F474" s="6"/>
      <c r="G474" s="12"/>
      <c r="H474" s="12"/>
      <c r="I474" s="12" t="str" cm="2">
        <f t="array" ref="I474">IFERROR(INDEX(BrandList!$B$2:$B$200,MATCH(TRUE,ISNUMBER(SEARCH(BrandList!$B$2:$B$200,G474)),0)),"")</f>
        <v/>
      </c>
      <c r="J474" s="12"/>
      <c r="K474" s="12"/>
      <c r="L474" s="60"/>
      <c r="M474" s="60"/>
      <c r="N474" s="60"/>
      <c r="O474" s="60"/>
      <c r="P474" s="7" t="str">
        <f t="shared" si="15"/>
        <v/>
      </c>
      <c r="Q474" s="8">
        <f>IFERROR(VLOOKUP(VALUE(A474),WEEKLY_DATA!$A:$H,2,0),0)</f>
        <v>0</v>
      </c>
      <c r="R474" s="8">
        <f>IFERROR(VLOOKUP(VALUE(A474),WEEKLY_DATA!$A:$H,3,0),0)</f>
        <v>0</v>
      </c>
      <c r="S474" s="8">
        <f>IFERROR(VLOOKUP(VALUE(A474),WEEKLY_DATA!$A:$H,4,0),0)</f>
        <v>0</v>
      </c>
      <c r="T474" s="51">
        <f>IFERROR(VLOOKUP(VALUE(A474),WEEKLY_DATA!$A:$H,5,0),0)</f>
        <v>0</v>
      </c>
      <c r="U474" s="51">
        <f>IFERROR(VLOOKUP(VALUE(A474),WEEKLY_DATA!$A:$H,6,0),0)</f>
        <v>0</v>
      </c>
      <c r="V474" s="51">
        <f>IFERROR(VLOOKUP(VALUE(A474),WEEKLY_DATA!$A:$H,7,0),0)</f>
        <v>0</v>
      </c>
      <c r="W474" s="9" t="str">
        <f>IFERROR(IF(OR(Q474="",Q474=0),"",IF(VLOOKUP(VALUE($A474),WEEKLY_DATA!$A:$H,6,0)=0,"No Sales",Q474/(VLOOKUP(VALUE($A474),WEEKLY_DATA!$A:$H,6,0)/13))),"")</f>
        <v/>
      </c>
      <c r="X474" s="10">
        <f>IFERROR(VLOOKUP(VALUE(A474),WEEKLY_DATA!$A:$H,8,0),0)</f>
        <v>0</v>
      </c>
      <c r="Y474" s="13" t="str">
        <f t="shared" si="14"/>
        <v>—</v>
      </c>
      <c r="Z474" s="11"/>
      <c r="AA474" s="11"/>
      <c r="AB474" s="11"/>
      <c r="AC474" s="11"/>
      <c r="AD474" s="11"/>
      <c r="AE474" s="11"/>
      <c r="AF474" s="61"/>
      <c r="AG474" s="61"/>
      <c r="AH474" s="62"/>
      <c r="AI474" s="62"/>
      <c r="AJ474" s="61"/>
      <c r="AK474" s="61"/>
      <c r="AL474" s="61"/>
      <c r="AM474" s="58"/>
      <c r="AN474" s="58"/>
      <c r="AO474" s="58"/>
      <c r="AP474" s="58"/>
      <c r="AQ474" s="58"/>
      <c r="AR474" s="58"/>
      <c r="AS474" s="91"/>
      <c r="AT474" s="93"/>
      <c r="AU474" s="93"/>
      <c r="AV474" s="93"/>
      <c r="AW474" s="93"/>
    </row>
    <row r="475" spans="1:49" x14ac:dyDescent="0.25">
      <c r="A475" s="59"/>
      <c r="B475" s="12"/>
      <c r="C475" s="12"/>
      <c r="D475" s="60"/>
      <c r="E475" s="6"/>
      <c r="F475" s="6"/>
      <c r="G475" s="12"/>
      <c r="H475" s="12"/>
      <c r="I475" s="12" t="str" cm="2">
        <f t="array" ref="I475">IFERROR(INDEX(BrandList!$B$2:$B$200,MATCH(TRUE,ISNUMBER(SEARCH(BrandList!$B$2:$B$200,G475)),0)),"")</f>
        <v/>
      </c>
      <c r="J475" s="12"/>
      <c r="K475" s="12"/>
      <c r="L475" s="60"/>
      <c r="M475" s="60"/>
      <c r="N475" s="60"/>
      <c r="O475" s="60"/>
      <c r="P475" s="7" t="str">
        <f t="shared" si="15"/>
        <v/>
      </c>
      <c r="Q475" s="8">
        <f>IFERROR(VLOOKUP(VALUE(A475),WEEKLY_DATA!$A:$H,2,0),0)</f>
        <v>0</v>
      </c>
      <c r="R475" s="8">
        <f>IFERROR(VLOOKUP(VALUE(A475),WEEKLY_DATA!$A:$H,3,0),0)</f>
        <v>0</v>
      </c>
      <c r="S475" s="8">
        <f>IFERROR(VLOOKUP(VALUE(A475),WEEKLY_DATA!$A:$H,4,0),0)</f>
        <v>0</v>
      </c>
      <c r="T475" s="51">
        <f>IFERROR(VLOOKUP(VALUE(A475),WEEKLY_DATA!$A:$H,5,0),0)</f>
        <v>0</v>
      </c>
      <c r="U475" s="51">
        <f>IFERROR(VLOOKUP(VALUE(A475),WEEKLY_DATA!$A:$H,6,0),0)</f>
        <v>0</v>
      </c>
      <c r="V475" s="51">
        <f>IFERROR(VLOOKUP(VALUE(A475),WEEKLY_DATA!$A:$H,7,0),0)</f>
        <v>0</v>
      </c>
      <c r="W475" s="9" t="str">
        <f>IFERROR(IF(OR(Q475="",Q475=0),"",IF(VLOOKUP(VALUE($A475),WEEKLY_DATA!$A:$H,6,0)=0,"No Sales",Q475/(VLOOKUP(VALUE($A475),WEEKLY_DATA!$A:$H,6,0)/13))),"")</f>
        <v/>
      </c>
      <c r="X475" s="10">
        <f>IFERROR(VLOOKUP(VALUE(A475),WEEKLY_DATA!$A:$H,8,0),0)</f>
        <v>0</v>
      </c>
      <c r="Y475" s="13" t="str">
        <f t="shared" si="14"/>
        <v>—</v>
      </c>
      <c r="Z475" s="11"/>
      <c r="AA475" s="11"/>
      <c r="AB475" s="11"/>
      <c r="AC475" s="11"/>
      <c r="AD475" s="11"/>
      <c r="AE475" s="11"/>
      <c r="AF475" s="61"/>
      <c r="AG475" s="61"/>
      <c r="AH475" s="62"/>
      <c r="AI475" s="62"/>
      <c r="AJ475" s="61"/>
      <c r="AK475" s="61"/>
      <c r="AL475" s="61"/>
      <c r="AM475" s="58"/>
      <c r="AN475" s="58"/>
      <c r="AO475" s="58"/>
      <c r="AP475" s="58"/>
      <c r="AQ475" s="58"/>
      <c r="AR475" s="58"/>
      <c r="AS475" s="91"/>
      <c r="AT475" s="93"/>
      <c r="AU475" s="93"/>
      <c r="AV475" s="93"/>
      <c r="AW475" s="93"/>
    </row>
    <row r="476" spans="1:49" x14ac:dyDescent="0.25">
      <c r="A476" s="59"/>
      <c r="B476" s="12"/>
      <c r="C476" s="12"/>
      <c r="D476" s="60"/>
      <c r="E476" s="6"/>
      <c r="F476" s="6"/>
      <c r="G476" s="12"/>
      <c r="H476" s="12"/>
      <c r="I476" s="12" t="str" cm="2">
        <f t="array" ref="I476">IFERROR(INDEX(BrandList!$B$2:$B$200,MATCH(TRUE,ISNUMBER(SEARCH(BrandList!$B$2:$B$200,G476)),0)),"")</f>
        <v/>
      </c>
      <c r="J476" s="12"/>
      <c r="K476" s="12"/>
      <c r="L476" s="60"/>
      <c r="M476" s="60"/>
      <c r="N476" s="60"/>
      <c r="O476" s="60"/>
      <c r="P476" s="7" t="str">
        <f t="shared" si="15"/>
        <v/>
      </c>
      <c r="Q476" s="8">
        <f>IFERROR(VLOOKUP(VALUE(A476),WEEKLY_DATA!$A:$H,2,0),0)</f>
        <v>0</v>
      </c>
      <c r="R476" s="8">
        <f>IFERROR(VLOOKUP(VALUE(A476),WEEKLY_DATA!$A:$H,3,0),0)</f>
        <v>0</v>
      </c>
      <c r="S476" s="8">
        <f>IFERROR(VLOOKUP(VALUE(A476),WEEKLY_DATA!$A:$H,4,0),0)</f>
        <v>0</v>
      </c>
      <c r="T476" s="51">
        <f>IFERROR(VLOOKUP(VALUE(A476),WEEKLY_DATA!$A:$H,5,0),0)</f>
        <v>0</v>
      </c>
      <c r="U476" s="51">
        <f>IFERROR(VLOOKUP(VALUE(A476),WEEKLY_DATA!$A:$H,6,0),0)</f>
        <v>0</v>
      </c>
      <c r="V476" s="51">
        <f>IFERROR(VLOOKUP(VALUE(A476),WEEKLY_DATA!$A:$H,7,0),0)</f>
        <v>0</v>
      </c>
      <c r="W476" s="9" t="str">
        <f>IFERROR(IF(OR(Q476="",Q476=0),"",IF(VLOOKUP(VALUE($A476),WEEKLY_DATA!$A:$H,6,0)=0,"No Sales",Q476/(VLOOKUP(VALUE($A476),WEEKLY_DATA!$A:$H,6,0)/13))),"")</f>
        <v/>
      </c>
      <c r="X476" s="10">
        <f>IFERROR(VLOOKUP(VALUE(A476),WEEKLY_DATA!$A:$H,8,0),0)</f>
        <v>0</v>
      </c>
      <c r="Y476" s="13" t="str">
        <f t="shared" si="14"/>
        <v>—</v>
      </c>
      <c r="Z476" s="11"/>
      <c r="AA476" s="11"/>
      <c r="AB476" s="11"/>
      <c r="AC476" s="11"/>
      <c r="AD476" s="11"/>
      <c r="AE476" s="11"/>
      <c r="AF476" s="61"/>
      <c r="AG476" s="61"/>
      <c r="AH476" s="62"/>
      <c r="AI476" s="62"/>
      <c r="AJ476" s="61"/>
      <c r="AK476" s="61"/>
      <c r="AL476" s="61"/>
      <c r="AM476" s="58"/>
      <c r="AN476" s="58"/>
      <c r="AO476" s="58"/>
      <c r="AP476" s="58"/>
      <c r="AQ476" s="58"/>
      <c r="AR476" s="58"/>
      <c r="AS476" s="91"/>
      <c r="AT476" s="93"/>
      <c r="AU476" s="93"/>
      <c r="AV476" s="93"/>
      <c r="AW476" s="93"/>
    </row>
    <row r="477" spans="1:49" x14ac:dyDescent="0.25">
      <c r="A477" s="59"/>
      <c r="B477" s="12"/>
      <c r="C477" s="12"/>
      <c r="D477" s="60"/>
      <c r="E477" s="6"/>
      <c r="F477" s="6"/>
      <c r="G477" s="12"/>
      <c r="H477" s="12"/>
      <c r="I477" s="12" t="str" cm="2">
        <f t="array" ref="I477">IFERROR(INDEX(BrandList!$B$2:$B$200,MATCH(TRUE,ISNUMBER(SEARCH(BrandList!$B$2:$B$200,G477)),0)),"")</f>
        <v/>
      </c>
      <c r="J477" s="12"/>
      <c r="K477" s="12"/>
      <c r="L477" s="60"/>
      <c r="M477" s="60"/>
      <c r="N477" s="60"/>
      <c r="O477" s="60"/>
      <c r="P477" s="7" t="str">
        <f t="shared" si="15"/>
        <v/>
      </c>
      <c r="Q477" s="8">
        <f>IFERROR(VLOOKUP(VALUE(A477),WEEKLY_DATA!$A:$H,2,0),0)</f>
        <v>0</v>
      </c>
      <c r="R477" s="8">
        <f>IFERROR(VLOOKUP(VALUE(A477),WEEKLY_DATA!$A:$H,3,0),0)</f>
        <v>0</v>
      </c>
      <c r="S477" s="8">
        <f>IFERROR(VLOOKUP(VALUE(A477),WEEKLY_DATA!$A:$H,4,0),0)</f>
        <v>0</v>
      </c>
      <c r="T477" s="51">
        <f>IFERROR(VLOOKUP(VALUE(A477),WEEKLY_DATA!$A:$H,5,0),0)</f>
        <v>0</v>
      </c>
      <c r="U477" s="51">
        <f>IFERROR(VLOOKUP(VALUE(A477),WEEKLY_DATA!$A:$H,6,0),0)</f>
        <v>0</v>
      </c>
      <c r="V477" s="51">
        <f>IFERROR(VLOOKUP(VALUE(A477),WEEKLY_DATA!$A:$H,7,0),0)</f>
        <v>0</v>
      </c>
      <c r="W477" s="9" t="str">
        <f>IFERROR(IF(OR(Q477="",Q477=0),"",IF(VLOOKUP(VALUE($A477),WEEKLY_DATA!$A:$H,6,0)=0,"No Sales",Q477/(VLOOKUP(VALUE($A477),WEEKLY_DATA!$A:$H,6,0)/13))),"")</f>
        <v/>
      </c>
      <c r="X477" s="10">
        <f>IFERROR(VLOOKUP(VALUE(A477),WEEKLY_DATA!$A:$H,8,0),0)</f>
        <v>0</v>
      </c>
      <c r="Y477" s="13" t="str">
        <f t="shared" si="14"/>
        <v>—</v>
      </c>
      <c r="Z477" s="11"/>
      <c r="AA477" s="11"/>
      <c r="AB477" s="11"/>
      <c r="AC477" s="11"/>
      <c r="AD477" s="11"/>
      <c r="AE477" s="11"/>
      <c r="AF477" s="61"/>
      <c r="AG477" s="61"/>
      <c r="AH477" s="62"/>
      <c r="AI477" s="62"/>
      <c r="AJ477" s="61"/>
      <c r="AK477" s="61"/>
      <c r="AL477" s="61"/>
      <c r="AM477" s="58"/>
      <c r="AN477" s="58"/>
      <c r="AO477" s="58"/>
      <c r="AP477" s="58"/>
      <c r="AQ477" s="58"/>
      <c r="AR477" s="58"/>
      <c r="AS477" s="91"/>
      <c r="AT477" s="93"/>
      <c r="AU477" s="93"/>
      <c r="AV477" s="93"/>
      <c r="AW477" s="93"/>
    </row>
    <row r="478" spans="1:49" x14ac:dyDescent="0.25">
      <c r="A478" s="59"/>
      <c r="B478" s="12"/>
      <c r="C478" s="12"/>
      <c r="D478" s="60"/>
      <c r="E478" s="6"/>
      <c r="F478" s="6"/>
      <c r="G478" s="12"/>
      <c r="H478" s="12"/>
      <c r="I478" s="12" t="str" cm="2">
        <f t="array" ref="I478">IFERROR(INDEX(BrandList!$B$2:$B$200,MATCH(TRUE,ISNUMBER(SEARCH(BrandList!$B$2:$B$200,G478)),0)),"")</f>
        <v/>
      </c>
      <c r="J478" s="12"/>
      <c r="K478" s="12"/>
      <c r="L478" s="60"/>
      <c r="M478" s="60"/>
      <c r="N478" s="60"/>
      <c r="O478" s="60"/>
      <c r="P478" s="7" t="str">
        <f t="shared" si="15"/>
        <v/>
      </c>
      <c r="Q478" s="8">
        <f>IFERROR(VLOOKUP(VALUE(A478),WEEKLY_DATA!$A:$H,2,0),0)</f>
        <v>0</v>
      </c>
      <c r="R478" s="8">
        <f>IFERROR(VLOOKUP(VALUE(A478),WEEKLY_DATA!$A:$H,3,0),0)</f>
        <v>0</v>
      </c>
      <c r="S478" s="8">
        <f>IFERROR(VLOOKUP(VALUE(A478),WEEKLY_DATA!$A:$H,4,0),0)</f>
        <v>0</v>
      </c>
      <c r="T478" s="51">
        <f>IFERROR(VLOOKUP(VALUE(A478),WEEKLY_DATA!$A:$H,5,0),0)</f>
        <v>0</v>
      </c>
      <c r="U478" s="51">
        <f>IFERROR(VLOOKUP(VALUE(A478),WEEKLY_DATA!$A:$H,6,0),0)</f>
        <v>0</v>
      </c>
      <c r="V478" s="51">
        <f>IFERROR(VLOOKUP(VALUE(A478),WEEKLY_DATA!$A:$H,7,0),0)</f>
        <v>0</v>
      </c>
      <c r="W478" s="9" t="str">
        <f>IFERROR(IF(OR(Q478="",Q478=0),"",IF(VLOOKUP(VALUE($A478),WEEKLY_DATA!$A:$H,6,0)=0,"No Sales",Q478/(VLOOKUP(VALUE($A478),WEEKLY_DATA!$A:$H,6,0)/13))),"")</f>
        <v/>
      </c>
      <c r="X478" s="10">
        <f>IFERROR(VLOOKUP(VALUE(A478),WEEKLY_DATA!$A:$H,8,0),0)</f>
        <v>0</v>
      </c>
      <c r="Y478" s="13" t="str">
        <f t="shared" si="14"/>
        <v>—</v>
      </c>
      <c r="Z478" s="11"/>
      <c r="AA478" s="11"/>
      <c r="AB478" s="11"/>
      <c r="AC478" s="11"/>
      <c r="AD478" s="11"/>
      <c r="AE478" s="11"/>
      <c r="AF478" s="61"/>
      <c r="AG478" s="61"/>
      <c r="AH478" s="62"/>
      <c r="AI478" s="62"/>
      <c r="AJ478" s="61"/>
      <c r="AK478" s="61"/>
      <c r="AL478" s="61"/>
      <c r="AM478" s="58"/>
      <c r="AN478" s="58"/>
      <c r="AO478" s="58"/>
      <c r="AP478" s="58"/>
      <c r="AQ478" s="58"/>
      <c r="AR478" s="58"/>
      <c r="AS478" s="91"/>
      <c r="AT478" s="93"/>
      <c r="AU478" s="93"/>
      <c r="AV478" s="93"/>
      <c r="AW478" s="93"/>
    </row>
    <row r="479" spans="1:49" x14ac:dyDescent="0.25">
      <c r="A479" s="59"/>
      <c r="B479" s="12"/>
      <c r="C479" s="12"/>
      <c r="D479" s="60"/>
      <c r="E479" s="6"/>
      <c r="F479" s="6"/>
      <c r="G479" s="12"/>
      <c r="H479" s="12"/>
      <c r="I479" s="12" t="str" cm="2">
        <f t="array" ref="I479">IFERROR(INDEX(BrandList!$B$2:$B$200,MATCH(TRUE,ISNUMBER(SEARCH(BrandList!$B$2:$B$200,G479)),0)),"")</f>
        <v/>
      </c>
      <c r="J479" s="12"/>
      <c r="K479" s="12"/>
      <c r="L479" s="60"/>
      <c r="M479" s="60"/>
      <c r="N479" s="60"/>
      <c r="O479" s="60"/>
      <c r="P479" s="7" t="str">
        <f t="shared" si="15"/>
        <v/>
      </c>
      <c r="Q479" s="8">
        <f>IFERROR(VLOOKUP(VALUE(A479),WEEKLY_DATA!$A:$H,2,0),0)</f>
        <v>0</v>
      </c>
      <c r="R479" s="8">
        <f>IFERROR(VLOOKUP(VALUE(A479),WEEKLY_DATA!$A:$H,3,0),0)</f>
        <v>0</v>
      </c>
      <c r="S479" s="8">
        <f>IFERROR(VLOOKUP(VALUE(A479),WEEKLY_DATA!$A:$H,4,0),0)</f>
        <v>0</v>
      </c>
      <c r="T479" s="51">
        <f>IFERROR(VLOOKUP(VALUE(A479),WEEKLY_DATA!$A:$H,5,0),0)</f>
        <v>0</v>
      </c>
      <c r="U479" s="51">
        <f>IFERROR(VLOOKUP(VALUE(A479),WEEKLY_DATA!$A:$H,6,0),0)</f>
        <v>0</v>
      </c>
      <c r="V479" s="51">
        <f>IFERROR(VLOOKUP(VALUE(A479),WEEKLY_DATA!$A:$H,7,0),0)</f>
        <v>0</v>
      </c>
      <c r="W479" s="9" t="str">
        <f>IFERROR(IF(OR(Q479="",Q479=0),"",IF(VLOOKUP(VALUE($A479),WEEKLY_DATA!$A:$H,6,0)=0,"No Sales",Q479/(VLOOKUP(VALUE($A479),WEEKLY_DATA!$A:$H,6,0)/13))),"")</f>
        <v/>
      </c>
      <c r="X479" s="10">
        <f>IFERROR(VLOOKUP(VALUE(A479),WEEKLY_DATA!$A:$H,8,0),0)</f>
        <v>0</v>
      </c>
      <c r="Y479" s="13" t="str">
        <f t="shared" si="14"/>
        <v>—</v>
      </c>
      <c r="Z479" s="11"/>
      <c r="AA479" s="11"/>
      <c r="AB479" s="11"/>
      <c r="AC479" s="11"/>
      <c r="AD479" s="11"/>
      <c r="AE479" s="11"/>
      <c r="AF479" s="61"/>
      <c r="AG479" s="61"/>
      <c r="AH479" s="62"/>
      <c r="AI479" s="62"/>
      <c r="AJ479" s="61"/>
      <c r="AK479" s="61"/>
      <c r="AL479" s="61"/>
      <c r="AM479" s="58"/>
      <c r="AN479" s="58"/>
      <c r="AO479" s="58"/>
      <c r="AP479" s="58"/>
      <c r="AQ479" s="58"/>
      <c r="AR479" s="58"/>
      <c r="AS479" s="91"/>
      <c r="AT479" s="93"/>
      <c r="AU479" s="93"/>
      <c r="AV479" s="93"/>
      <c r="AW479" s="93"/>
    </row>
    <row r="480" spans="1:49" x14ac:dyDescent="0.25">
      <c r="A480" s="59"/>
      <c r="B480" s="12"/>
      <c r="C480" s="12"/>
      <c r="D480" s="60"/>
      <c r="E480" s="6"/>
      <c r="F480" s="6"/>
      <c r="G480" s="12"/>
      <c r="H480" s="12"/>
      <c r="I480" s="12" t="str" cm="2">
        <f t="array" ref="I480">IFERROR(INDEX(BrandList!$B$2:$B$200,MATCH(TRUE,ISNUMBER(SEARCH(BrandList!$B$2:$B$200,G480)),0)),"")</f>
        <v/>
      </c>
      <c r="J480" s="12"/>
      <c r="K480" s="12"/>
      <c r="L480" s="60"/>
      <c r="M480" s="60"/>
      <c r="N480" s="60"/>
      <c r="O480" s="60"/>
      <c r="P480" s="7" t="str">
        <f t="shared" si="15"/>
        <v/>
      </c>
      <c r="Q480" s="8">
        <f>IFERROR(VLOOKUP(VALUE(A480),WEEKLY_DATA!$A:$H,2,0),0)</f>
        <v>0</v>
      </c>
      <c r="R480" s="8">
        <f>IFERROR(VLOOKUP(VALUE(A480),WEEKLY_DATA!$A:$H,3,0),0)</f>
        <v>0</v>
      </c>
      <c r="S480" s="8">
        <f>IFERROR(VLOOKUP(VALUE(A480),WEEKLY_DATA!$A:$H,4,0),0)</f>
        <v>0</v>
      </c>
      <c r="T480" s="51">
        <f>IFERROR(VLOOKUP(VALUE(A480),WEEKLY_DATA!$A:$H,5,0),0)</f>
        <v>0</v>
      </c>
      <c r="U480" s="51">
        <f>IFERROR(VLOOKUP(VALUE(A480),WEEKLY_DATA!$A:$H,6,0),0)</f>
        <v>0</v>
      </c>
      <c r="V480" s="51">
        <f>IFERROR(VLOOKUP(VALUE(A480),WEEKLY_DATA!$A:$H,7,0),0)</f>
        <v>0</v>
      </c>
      <c r="W480" s="9" t="str">
        <f>IFERROR(IF(OR(Q480="",Q480=0),"",IF(VLOOKUP(VALUE($A480),WEEKLY_DATA!$A:$H,6,0)=0,"No Sales",Q480/(VLOOKUP(VALUE($A480),WEEKLY_DATA!$A:$H,6,0)/13))),"")</f>
        <v/>
      </c>
      <c r="X480" s="10">
        <f>IFERROR(VLOOKUP(VALUE(A480),WEEKLY_DATA!$A:$H,8,0),0)</f>
        <v>0</v>
      </c>
      <c r="Y480" s="13" t="str">
        <f t="shared" si="14"/>
        <v>—</v>
      </c>
      <c r="Z480" s="11"/>
      <c r="AA480" s="11"/>
      <c r="AB480" s="11"/>
      <c r="AC480" s="11"/>
      <c r="AD480" s="11"/>
      <c r="AE480" s="11"/>
      <c r="AF480" s="61"/>
      <c r="AG480" s="61"/>
      <c r="AH480" s="62"/>
      <c r="AI480" s="62"/>
      <c r="AJ480" s="61"/>
      <c r="AK480" s="61"/>
      <c r="AL480" s="61"/>
      <c r="AM480" s="58"/>
      <c r="AN480" s="58"/>
      <c r="AO480" s="58"/>
      <c r="AP480" s="58"/>
      <c r="AQ480" s="58"/>
      <c r="AR480" s="58"/>
      <c r="AS480" s="91"/>
      <c r="AT480" s="93"/>
      <c r="AU480" s="93"/>
      <c r="AV480" s="93"/>
      <c r="AW480" s="93"/>
    </row>
    <row r="481" spans="1:49" x14ac:dyDescent="0.25">
      <c r="A481" s="59"/>
      <c r="B481" s="12"/>
      <c r="C481" s="12"/>
      <c r="D481" s="60"/>
      <c r="E481" s="6"/>
      <c r="F481" s="6"/>
      <c r="G481" s="12"/>
      <c r="H481" s="12"/>
      <c r="I481" s="12" t="str" cm="2">
        <f t="array" ref="I481">IFERROR(INDEX(BrandList!$B$2:$B$200,MATCH(TRUE,ISNUMBER(SEARCH(BrandList!$B$2:$B$200,G481)),0)),"")</f>
        <v/>
      </c>
      <c r="J481" s="12"/>
      <c r="K481" s="12"/>
      <c r="L481" s="60"/>
      <c r="M481" s="60"/>
      <c r="N481" s="60"/>
      <c r="O481" s="60"/>
      <c r="P481" s="7" t="str">
        <f t="shared" si="15"/>
        <v/>
      </c>
      <c r="Q481" s="8">
        <f>IFERROR(VLOOKUP(VALUE(A481),WEEKLY_DATA!$A:$H,2,0),0)</f>
        <v>0</v>
      </c>
      <c r="R481" s="8">
        <f>IFERROR(VLOOKUP(VALUE(A481),WEEKLY_DATA!$A:$H,3,0),0)</f>
        <v>0</v>
      </c>
      <c r="S481" s="8">
        <f>IFERROR(VLOOKUP(VALUE(A481),WEEKLY_DATA!$A:$H,4,0),0)</f>
        <v>0</v>
      </c>
      <c r="T481" s="51">
        <f>IFERROR(VLOOKUP(VALUE(A481),WEEKLY_DATA!$A:$H,5,0),0)</f>
        <v>0</v>
      </c>
      <c r="U481" s="51">
        <f>IFERROR(VLOOKUP(VALUE(A481),WEEKLY_DATA!$A:$H,6,0),0)</f>
        <v>0</v>
      </c>
      <c r="V481" s="51">
        <f>IFERROR(VLOOKUP(VALUE(A481),WEEKLY_DATA!$A:$H,7,0),0)</f>
        <v>0</v>
      </c>
      <c r="W481" s="9" t="str">
        <f>IFERROR(IF(OR(Q481="",Q481=0),"",IF(VLOOKUP(VALUE($A481),WEEKLY_DATA!$A:$H,6,0)=0,"No Sales",Q481/(VLOOKUP(VALUE($A481),WEEKLY_DATA!$A:$H,6,0)/13))),"")</f>
        <v/>
      </c>
      <c r="X481" s="10">
        <f>IFERROR(VLOOKUP(VALUE(A481),WEEKLY_DATA!$A:$H,8,0),0)</f>
        <v>0</v>
      </c>
      <c r="Y481" s="13" t="str">
        <f t="shared" si="14"/>
        <v>—</v>
      </c>
      <c r="Z481" s="11"/>
      <c r="AA481" s="11"/>
      <c r="AB481" s="11"/>
      <c r="AC481" s="11"/>
      <c r="AD481" s="11"/>
      <c r="AE481" s="11"/>
      <c r="AF481" s="61"/>
      <c r="AG481" s="61"/>
      <c r="AH481" s="62"/>
      <c r="AI481" s="62"/>
      <c r="AJ481" s="61"/>
      <c r="AK481" s="61"/>
      <c r="AL481" s="61"/>
      <c r="AM481" s="58"/>
      <c r="AN481" s="58"/>
      <c r="AO481" s="58"/>
      <c r="AP481" s="58"/>
      <c r="AQ481" s="58"/>
      <c r="AR481" s="58"/>
      <c r="AS481" s="91"/>
      <c r="AT481" s="93"/>
      <c r="AU481" s="93"/>
      <c r="AV481" s="93"/>
      <c r="AW481" s="93"/>
    </row>
    <row r="482" spans="1:49" x14ac:dyDescent="0.25">
      <c r="A482" s="59"/>
      <c r="B482" s="12"/>
      <c r="C482" s="12"/>
      <c r="D482" s="60"/>
      <c r="E482" s="6"/>
      <c r="F482" s="6"/>
      <c r="G482" s="12"/>
      <c r="H482" s="12"/>
      <c r="I482" s="12" t="str" cm="2">
        <f t="array" ref="I482">IFERROR(INDEX(BrandList!$B$2:$B$200,MATCH(TRUE,ISNUMBER(SEARCH(BrandList!$B$2:$B$200,G482)),0)),"")</f>
        <v/>
      </c>
      <c r="J482" s="12"/>
      <c r="K482" s="12"/>
      <c r="L482" s="60"/>
      <c r="M482" s="60"/>
      <c r="N482" s="60"/>
      <c r="O482" s="60"/>
      <c r="P482" s="7" t="str">
        <f t="shared" si="15"/>
        <v/>
      </c>
      <c r="Q482" s="8">
        <f>IFERROR(VLOOKUP(VALUE(A482),WEEKLY_DATA!$A:$H,2,0),0)</f>
        <v>0</v>
      </c>
      <c r="R482" s="8">
        <f>IFERROR(VLOOKUP(VALUE(A482),WEEKLY_DATA!$A:$H,3,0),0)</f>
        <v>0</v>
      </c>
      <c r="S482" s="8">
        <f>IFERROR(VLOOKUP(VALUE(A482),WEEKLY_DATA!$A:$H,4,0),0)</f>
        <v>0</v>
      </c>
      <c r="T482" s="51">
        <f>IFERROR(VLOOKUP(VALUE(A482),WEEKLY_DATA!$A:$H,5,0),0)</f>
        <v>0</v>
      </c>
      <c r="U482" s="51">
        <f>IFERROR(VLOOKUP(VALUE(A482),WEEKLY_DATA!$A:$H,6,0),0)</f>
        <v>0</v>
      </c>
      <c r="V482" s="51">
        <f>IFERROR(VLOOKUP(VALUE(A482),WEEKLY_DATA!$A:$H,7,0),0)</f>
        <v>0</v>
      </c>
      <c r="W482" s="9" t="str">
        <f>IFERROR(IF(OR(Q482="",Q482=0),"",IF(VLOOKUP(VALUE($A482),WEEKLY_DATA!$A:$H,6,0)=0,"No Sales",Q482/(VLOOKUP(VALUE($A482),WEEKLY_DATA!$A:$H,6,0)/13))),"")</f>
        <v/>
      </c>
      <c r="X482" s="10">
        <f>IFERROR(VLOOKUP(VALUE(A482),WEEKLY_DATA!$A:$H,8,0),0)</f>
        <v>0</v>
      </c>
      <c r="Y482" s="13" t="str">
        <f t="shared" si="14"/>
        <v>—</v>
      </c>
      <c r="Z482" s="11"/>
      <c r="AA482" s="11"/>
      <c r="AB482" s="11"/>
      <c r="AC482" s="11"/>
      <c r="AD482" s="11"/>
      <c r="AE482" s="11"/>
      <c r="AF482" s="61"/>
      <c r="AG482" s="61"/>
      <c r="AH482" s="62"/>
      <c r="AI482" s="62"/>
      <c r="AJ482" s="61"/>
      <c r="AK482" s="61"/>
      <c r="AL482" s="61"/>
      <c r="AM482" s="58"/>
      <c r="AN482" s="58"/>
      <c r="AO482" s="58"/>
      <c r="AP482" s="58"/>
      <c r="AQ482" s="58"/>
      <c r="AR482" s="58"/>
      <c r="AS482" s="91"/>
      <c r="AT482" s="93"/>
      <c r="AU482" s="93"/>
      <c r="AV482" s="93"/>
      <c r="AW482" s="93"/>
    </row>
    <row r="483" spans="1:49" x14ac:dyDescent="0.25">
      <c r="A483" s="59"/>
      <c r="B483" s="12"/>
      <c r="C483" s="12"/>
      <c r="D483" s="60"/>
      <c r="E483" s="6"/>
      <c r="F483" s="6"/>
      <c r="G483" s="12"/>
      <c r="H483" s="12"/>
      <c r="I483" s="12" t="str" cm="2">
        <f t="array" ref="I483">IFERROR(INDEX(BrandList!$B$2:$B$200,MATCH(TRUE,ISNUMBER(SEARCH(BrandList!$B$2:$B$200,G483)),0)),"")</f>
        <v/>
      </c>
      <c r="J483" s="12"/>
      <c r="K483" s="12"/>
      <c r="L483" s="60"/>
      <c r="M483" s="60"/>
      <c r="N483" s="60"/>
      <c r="O483" s="60"/>
      <c r="P483" s="7" t="str">
        <f t="shared" si="15"/>
        <v/>
      </c>
      <c r="Q483" s="8">
        <f>IFERROR(VLOOKUP(VALUE(A483),WEEKLY_DATA!$A:$H,2,0),0)</f>
        <v>0</v>
      </c>
      <c r="R483" s="8">
        <f>IFERROR(VLOOKUP(VALUE(A483),WEEKLY_DATA!$A:$H,3,0),0)</f>
        <v>0</v>
      </c>
      <c r="S483" s="8">
        <f>IFERROR(VLOOKUP(VALUE(A483),WEEKLY_DATA!$A:$H,4,0),0)</f>
        <v>0</v>
      </c>
      <c r="T483" s="51">
        <f>IFERROR(VLOOKUP(VALUE(A483),WEEKLY_DATA!$A:$H,5,0),0)</f>
        <v>0</v>
      </c>
      <c r="U483" s="51">
        <f>IFERROR(VLOOKUP(VALUE(A483),WEEKLY_DATA!$A:$H,6,0),0)</f>
        <v>0</v>
      </c>
      <c r="V483" s="51">
        <f>IFERROR(VLOOKUP(VALUE(A483),WEEKLY_DATA!$A:$H,7,0),0)</f>
        <v>0</v>
      </c>
      <c r="W483" s="9" t="str">
        <f>IFERROR(IF(OR(Q483="",Q483=0),"",IF(VLOOKUP(VALUE($A483),WEEKLY_DATA!$A:$H,6,0)=0,"No Sales",Q483/(VLOOKUP(VALUE($A483),WEEKLY_DATA!$A:$H,6,0)/13))),"")</f>
        <v/>
      </c>
      <c r="X483" s="10">
        <f>IFERROR(VLOOKUP(VALUE(A483),WEEKLY_DATA!$A:$H,8,0),0)</f>
        <v>0</v>
      </c>
      <c r="Y483" s="13" t="str">
        <f t="shared" si="14"/>
        <v>—</v>
      </c>
      <c r="Z483" s="11"/>
      <c r="AA483" s="11"/>
      <c r="AB483" s="11"/>
      <c r="AC483" s="11"/>
      <c r="AD483" s="11"/>
      <c r="AE483" s="11"/>
      <c r="AF483" s="61"/>
      <c r="AG483" s="61"/>
      <c r="AH483" s="62"/>
      <c r="AI483" s="62"/>
      <c r="AJ483" s="61"/>
      <c r="AK483" s="61"/>
      <c r="AL483" s="61"/>
      <c r="AM483" s="58"/>
      <c r="AN483" s="58"/>
      <c r="AO483" s="58"/>
      <c r="AP483" s="58"/>
      <c r="AQ483" s="58"/>
      <c r="AR483" s="58"/>
      <c r="AS483" s="91"/>
      <c r="AT483" s="93"/>
      <c r="AU483" s="93"/>
      <c r="AV483" s="93"/>
      <c r="AW483" s="93"/>
    </row>
    <row r="484" spans="1:49" x14ac:dyDescent="0.25">
      <c r="A484" s="59"/>
      <c r="B484" s="12"/>
      <c r="C484" s="12"/>
      <c r="D484" s="60"/>
      <c r="E484" s="6"/>
      <c r="F484" s="6"/>
      <c r="G484" s="12"/>
      <c r="H484" s="12"/>
      <c r="I484" s="12" t="str" cm="2">
        <f t="array" ref="I484">IFERROR(INDEX(BrandList!$B$2:$B$200,MATCH(TRUE,ISNUMBER(SEARCH(BrandList!$B$2:$B$200,G484)),0)),"")</f>
        <v/>
      </c>
      <c r="J484" s="12"/>
      <c r="K484" s="12"/>
      <c r="L484" s="60"/>
      <c r="M484" s="60"/>
      <c r="N484" s="60"/>
      <c r="O484" s="60"/>
      <c r="P484" s="7" t="str">
        <f t="shared" si="15"/>
        <v/>
      </c>
      <c r="Q484" s="8">
        <f>IFERROR(VLOOKUP(VALUE(A484),WEEKLY_DATA!$A:$H,2,0),0)</f>
        <v>0</v>
      </c>
      <c r="R484" s="8">
        <f>IFERROR(VLOOKUP(VALUE(A484),WEEKLY_DATA!$A:$H,3,0),0)</f>
        <v>0</v>
      </c>
      <c r="S484" s="8">
        <f>IFERROR(VLOOKUP(VALUE(A484),WEEKLY_DATA!$A:$H,4,0),0)</f>
        <v>0</v>
      </c>
      <c r="T484" s="51">
        <f>IFERROR(VLOOKUP(VALUE(A484),WEEKLY_DATA!$A:$H,5,0),0)</f>
        <v>0</v>
      </c>
      <c r="U484" s="51">
        <f>IFERROR(VLOOKUP(VALUE(A484),WEEKLY_DATA!$A:$H,6,0),0)</f>
        <v>0</v>
      </c>
      <c r="V484" s="51">
        <f>IFERROR(VLOOKUP(VALUE(A484),WEEKLY_DATA!$A:$H,7,0),0)</f>
        <v>0</v>
      </c>
      <c r="W484" s="9" t="str">
        <f>IFERROR(IF(OR(Q484="",Q484=0),"",IF(VLOOKUP(VALUE($A484),WEEKLY_DATA!$A:$H,6,0)=0,"No Sales",Q484/(VLOOKUP(VALUE($A484),WEEKLY_DATA!$A:$H,6,0)/13))),"")</f>
        <v/>
      </c>
      <c r="X484" s="10">
        <f>IFERROR(VLOOKUP(VALUE(A484),WEEKLY_DATA!$A:$H,8,0),0)</f>
        <v>0</v>
      </c>
      <c r="Y484" s="13" t="str">
        <f t="shared" si="14"/>
        <v>—</v>
      </c>
      <c r="Z484" s="11"/>
      <c r="AA484" s="11"/>
      <c r="AB484" s="11"/>
      <c r="AC484" s="11"/>
      <c r="AD484" s="11"/>
      <c r="AE484" s="11"/>
      <c r="AF484" s="61"/>
      <c r="AG484" s="61"/>
      <c r="AH484" s="62"/>
      <c r="AI484" s="62"/>
      <c r="AJ484" s="61"/>
      <c r="AK484" s="61"/>
      <c r="AL484" s="61"/>
      <c r="AM484" s="58"/>
      <c r="AN484" s="58"/>
      <c r="AO484" s="58"/>
      <c r="AP484" s="58"/>
      <c r="AQ484" s="58"/>
      <c r="AR484" s="58"/>
      <c r="AS484" s="91"/>
      <c r="AT484" s="93"/>
      <c r="AU484" s="93"/>
      <c r="AV484" s="93"/>
      <c r="AW484" s="93"/>
    </row>
    <row r="485" spans="1:49" x14ac:dyDescent="0.25">
      <c r="A485" s="59"/>
      <c r="B485" s="12"/>
      <c r="C485" s="12"/>
      <c r="D485" s="60"/>
      <c r="E485" s="6"/>
      <c r="F485" s="6"/>
      <c r="G485" s="12"/>
      <c r="H485" s="12"/>
      <c r="I485" s="12" t="str" cm="2">
        <f t="array" ref="I485">IFERROR(INDEX(BrandList!$B$2:$B$200,MATCH(TRUE,ISNUMBER(SEARCH(BrandList!$B$2:$B$200,G485)),0)),"")</f>
        <v/>
      </c>
      <c r="J485" s="12"/>
      <c r="K485" s="12"/>
      <c r="L485" s="60"/>
      <c r="M485" s="60"/>
      <c r="N485" s="60"/>
      <c r="O485" s="60"/>
      <c r="P485" s="7" t="str">
        <f t="shared" si="15"/>
        <v/>
      </c>
      <c r="Q485" s="8">
        <f>IFERROR(VLOOKUP(VALUE(A485),WEEKLY_DATA!$A:$H,2,0),0)</f>
        <v>0</v>
      </c>
      <c r="R485" s="8">
        <f>IFERROR(VLOOKUP(VALUE(A485),WEEKLY_DATA!$A:$H,3,0),0)</f>
        <v>0</v>
      </c>
      <c r="S485" s="8">
        <f>IFERROR(VLOOKUP(VALUE(A485),WEEKLY_DATA!$A:$H,4,0),0)</f>
        <v>0</v>
      </c>
      <c r="T485" s="51">
        <f>IFERROR(VLOOKUP(VALUE(A485),WEEKLY_DATA!$A:$H,5,0),0)</f>
        <v>0</v>
      </c>
      <c r="U485" s="51">
        <f>IFERROR(VLOOKUP(VALUE(A485),WEEKLY_DATA!$A:$H,6,0),0)</f>
        <v>0</v>
      </c>
      <c r="V485" s="51">
        <f>IFERROR(VLOOKUP(VALUE(A485),WEEKLY_DATA!$A:$H,7,0),0)</f>
        <v>0</v>
      </c>
      <c r="W485" s="9" t="str">
        <f>IFERROR(IF(OR(Q485="",Q485=0),"",IF(VLOOKUP(VALUE($A485),WEEKLY_DATA!$A:$H,6,0)=0,"No Sales",Q485/(VLOOKUP(VALUE($A485),WEEKLY_DATA!$A:$H,6,0)/13))),"")</f>
        <v/>
      </c>
      <c r="X485" s="10">
        <f>IFERROR(VLOOKUP(VALUE(A485),WEEKLY_DATA!$A:$H,8,0),0)</f>
        <v>0</v>
      </c>
      <c r="Y485" s="13" t="str">
        <f t="shared" si="14"/>
        <v>—</v>
      </c>
      <c r="Z485" s="11"/>
      <c r="AA485" s="11"/>
      <c r="AB485" s="11"/>
      <c r="AC485" s="11"/>
      <c r="AD485" s="11"/>
      <c r="AE485" s="11"/>
      <c r="AF485" s="61"/>
      <c r="AG485" s="61"/>
      <c r="AH485" s="62"/>
      <c r="AI485" s="62"/>
      <c r="AJ485" s="61"/>
      <c r="AK485" s="61"/>
      <c r="AL485" s="61"/>
      <c r="AM485" s="58"/>
      <c r="AN485" s="58"/>
      <c r="AO485" s="58"/>
      <c r="AP485" s="58"/>
      <c r="AQ485" s="58"/>
      <c r="AR485" s="58"/>
      <c r="AS485" s="91"/>
      <c r="AT485" s="93"/>
      <c r="AU485" s="93"/>
      <c r="AV485" s="93"/>
      <c r="AW485" s="93"/>
    </row>
    <row r="486" spans="1:49" x14ac:dyDescent="0.25">
      <c r="A486" s="59"/>
      <c r="B486" s="12"/>
      <c r="C486" s="12"/>
      <c r="D486" s="60"/>
      <c r="E486" s="6"/>
      <c r="F486" s="6"/>
      <c r="G486" s="12"/>
      <c r="H486" s="12"/>
      <c r="I486" s="12" t="str" cm="2">
        <f t="array" ref="I486">IFERROR(INDEX(BrandList!$B$2:$B$200,MATCH(TRUE,ISNUMBER(SEARCH(BrandList!$B$2:$B$200,G486)),0)),"")</f>
        <v/>
      </c>
      <c r="J486" s="12"/>
      <c r="K486" s="12"/>
      <c r="L486" s="60"/>
      <c r="M486" s="60"/>
      <c r="N486" s="60"/>
      <c r="O486" s="60"/>
      <c r="P486" s="7" t="str">
        <f t="shared" si="15"/>
        <v/>
      </c>
      <c r="Q486" s="8">
        <f>IFERROR(VLOOKUP(VALUE(A486),WEEKLY_DATA!$A:$H,2,0),0)</f>
        <v>0</v>
      </c>
      <c r="R486" s="8">
        <f>IFERROR(VLOOKUP(VALUE(A486),WEEKLY_DATA!$A:$H,3,0),0)</f>
        <v>0</v>
      </c>
      <c r="S486" s="8">
        <f>IFERROR(VLOOKUP(VALUE(A486),WEEKLY_DATA!$A:$H,4,0),0)</f>
        <v>0</v>
      </c>
      <c r="T486" s="51">
        <f>IFERROR(VLOOKUP(VALUE(A486),WEEKLY_DATA!$A:$H,5,0),0)</f>
        <v>0</v>
      </c>
      <c r="U486" s="51">
        <f>IFERROR(VLOOKUP(VALUE(A486),WEEKLY_DATA!$A:$H,6,0),0)</f>
        <v>0</v>
      </c>
      <c r="V486" s="51">
        <f>IFERROR(VLOOKUP(VALUE(A486),WEEKLY_DATA!$A:$H,7,0),0)</f>
        <v>0</v>
      </c>
      <c r="W486" s="9" t="str">
        <f>IFERROR(IF(OR(Q486="",Q486=0),"",IF(VLOOKUP(VALUE($A486),WEEKLY_DATA!$A:$H,6,0)=0,"No Sales",Q486/(VLOOKUP(VALUE($A486),WEEKLY_DATA!$A:$H,6,0)/13))),"")</f>
        <v/>
      </c>
      <c r="X486" s="10">
        <f>IFERROR(VLOOKUP(VALUE(A486),WEEKLY_DATA!$A:$H,8,0),0)</f>
        <v>0</v>
      </c>
      <c r="Y486" s="13" t="str">
        <f t="shared" si="14"/>
        <v>—</v>
      </c>
      <c r="Z486" s="11"/>
      <c r="AA486" s="11"/>
      <c r="AB486" s="11"/>
      <c r="AC486" s="11"/>
      <c r="AD486" s="11"/>
      <c r="AE486" s="11"/>
      <c r="AF486" s="61"/>
      <c r="AG486" s="61"/>
      <c r="AH486" s="62"/>
      <c r="AI486" s="62"/>
      <c r="AJ486" s="61"/>
      <c r="AK486" s="61"/>
      <c r="AL486" s="61"/>
      <c r="AM486" s="58"/>
      <c r="AN486" s="58"/>
      <c r="AO486" s="58"/>
      <c r="AP486" s="58"/>
      <c r="AQ486" s="58"/>
      <c r="AR486" s="58"/>
      <c r="AS486" s="91"/>
      <c r="AT486" s="93"/>
      <c r="AU486" s="93"/>
      <c r="AV486" s="93"/>
      <c r="AW486" s="93"/>
    </row>
    <row r="487" spans="1:49" x14ac:dyDescent="0.25">
      <c r="A487" s="59"/>
      <c r="B487" s="12"/>
      <c r="C487" s="12"/>
      <c r="D487" s="60"/>
      <c r="E487" s="6"/>
      <c r="F487" s="6"/>
      <c r="G487" s="12"/>
      <c r="H487" s="12"/>
      <c r="I487" s="12" t="str" cm="2">
        <f t="array" ref="I487">IFERROR(INDEX(BrandList!$B$2:$B$200,MATCH(TRUE,ISNUMBER(SEARCH(BrandList!$B$2:$B$200,G487)),0)),"")</f>
        <v/>
      </c>
      <c r="J487" s="12"/>
      <c r="K487" s="12"/>
      <c r="L487" s="60"/>
      <c r="M487" s="60"/>
      <c r="N487" s="60"/>
      <c r="O487" s="60"/>
      <c r="P487" s="7" t="str">
        <f t="shared" si="15"/>
        <v/>
      </c>
      <c r="Q487" s="8">
        <f>IFERROR(VLOOKUP(VALUE(A487),WEEKLY_DATA!$A:$H,2,0),0)</f>
        <v>0</v>
      </c>
      <c r="R487" s="8">
        <f>IFERROR(VLOOKUP(VALUE(A487),WEEKLY_DATA!$A:$H,3,0),0)</f>
        <v>0</v>
      </c>
      <c r="S487" s="8">
        <f>IFERROR(VLOOKUP(VALUE(A487),WEEKLY_DATA!$A:$H,4,0),0)</f>
        <v>0</v>
      </c>
      <c r="T487" s="51">
        <f>IFERROR(VLOOKUP(VALUE(A487),WEEKLY_DATA!$A:$H,5,0),0)</f>
        <v>0</v>
      </c>
      <c r="U487" s="51">
        <f>IFERROR(VLOOKUP(VALUE(A487),WEEKLY_DATA!$A:$H,6,0),0)</f>
        <v>0</v>
      </c>
      <c r="V487" s="51">
        <f>IFERROR(VLOOKUP(VALUE(A487),WEEKLY_DATA!$A:$H,7,0),0)</f>
        <v>0</v>
      </c>
      <c r="W487" s="9" t="str">
        <f>IFERROR(IF(OR(Q487="",Q487=0),"",IF(VLOOKUP(VALUE($A487),WEEKLY_DATA!$A:$H,6,0)=0,"No Sales",Q487/(VLOOKUP(VALUE($A487),WEEKLY_DATA!$A:$H,6,0)/13))),"")</f>
        <v/>
      </c>
      <c r="X487" s="10">
        <f>IFERROR(VLOOKUP(VALUE(A487),WEEKLY_DATA!$A:$H,8,0),0)</f>
        <v>0</v>
      </c>
      <c r="Y487" s="13" t="str">
        <f t="shared" si="14"/>
        <v>—</v>
      </c>
      <c r="Z487" s="11"/>
      <c r="AA487" s="11"/>
      <c r="AB487" s="11"/>
      <c r="AC487" s="11"/>
      <c r="AD487" s="11"/>
      <c r="AE487" s="11"/>
      <c r="AF487" s="61"/>
      <c r="AG487" s="61"/>
      <c r="AH487" s="62"/>
      <c r="AI487" s="62"/>
      <c r="AJ487" s="61"/>
      <c r="AK487" s="61"/>
      <c r="AL487" s="61"/>
      <c r="AM487" s="58"/>
      <c r="AN487" s="58"/>
      <c r="AO487" s="58"/>
      <c r="AP487" s="58"/>
      <c r="AQ487" s="58"/>
      <c r="AR487" s="58"/>
      <c r="AS487" s="91"/>
      <c r="AT487" s="93"/>
      <c r="AU487" s="93"/>
      <c r="AV487" s="93"/>
      <c r="AW487" s="93"/>
    </row>
    <row r="488" spans="1:49" x14ac:dyDescent="0.25">
      <c r="A488" s="59"/>
      <c r="B488" s="12"/>
      <c r="C488" s="12"/>
      <c r="D488" s="60"/>
      <c r="E488" s="6"/>
      <c r="F488" s="6"/>
      <c r="G488" s="12"/>
      <c r="H488" s="12"/>
      <c r="I488" s="12" t="str" cm="2">
        <f t="array" ref="I488">IFERROR(INDEX(BrandList!$B$2:$B$200,MATCH(TRUE,ISNUMBER(SEARCH(BrandList!$B$2:$B$200,G488)),0)),"")</f>
        <v/>
      </c>
      <c r="J488" s="12"/>
      <c r="K488" s="12"/>
      <c r="L488" s="60"/>
      <c r="M488" s="60"/>
      <c r="N488" s="60"/>
      <c r="O488" s="60"/>
      <c r="P488" s="7" t="str">
        <f t="shared" si="15"/>
        <v/>
      </c>
      <c r="Q488" s="8">
        <f>IFERROR(VLOOKUP(VALUE(A488),WEEKLY_DATA!$A:$H,2,0),0)</f>
        <v>0</v>
      </c>
      <c r="R488" s="8">
        <f>IFERROR(VLOOKUP(VALUE(A488),WEEKLY_DATA!$A:$H,3,0),0)</f>
        <v>0</v>
      </c>
      <c r="S488" s="8">
        <f>IFERROR(VLOOKUP(VALUE(A488),WEEKLY_DATA!$A:$H,4,0),0)</f>
        <v>0</v>
      </c>
      <c r="T488" s="51">
        <f>IFERROR(VLOOKUP(VALUE(A488),WEEKLY_DATA!$A:$H,5,0),0)</f>
        <v>0</v>
      </c>
      <c r="U488" s="51">
        <f>IFERROR(VLOOKUP(VALUE(A488),WEEKLY_DATA!$A:$H,6,0),0)</f>
        <v>0</v>
      </c>
      <c r="V488" s="51">
        <f>IFERROR(VLOOKUP(VALUE(A488),WEEKLY_DATA!$A:$H,7,0),0)</f>
        <v>0</v>
      </c>
      <c r="W488" s="9" t="str">
        <f>IFERROR(IF(OR(Q488="",Q488=0),"",IF(VLOOKUP(VALUE($A488),WEEKLY_DATA!$A:$H,6,0)=0,"No Sales",Q488/(VLOOKUP(VALUE($A488),WEEKLY_DATA!$A:$H,6,0)/13))),"")</f>
        <v/>
      </c>
      <c r="X488" s="10">
        <f>IFERROR(VLOOKUP(VALUE(A488),WEEKLY_DATA!$A:$H,8,0),0)</f>
        <v>0</v>
      </c>
      <c r="Y488" s="13" t="str">
        <f t="shared" si="14"/>
        <v>—</v>
      </c>
      <c r="Z488" s="11"/>
      <c r="AA488" s="11"/>
      <c r="AB488" s="11"/>
      <c r="AC488" s="11"/>
      <c r="AD488" s="11"/>
      <c r="AE488" s="11"/>
      <c r="AF488" s="61"/>
      <c r="AG488" s="61"/>
      <c r="AH488" s="62"/>
      <c r="AI488" s="62"/>
      <c r="AJ488" s="61"/>
      <c r="AK488" s="61"/>
      <c r="AL488" s="61"/>
      <c r="AM488" s="58"/>
      <c r="AN488" s="58"/>
      <c r="AO488" s="58"/>
      <c r="AP488" s="58"/>
      <c r="AQ488" s="58"/>
      <c r="AR488" s="58"/>
      <c r="AS488" s="91"/>
      <c r="AT488" s="93"/>
      <c r="AU488" s="93"/>
      <c r="AV488" s="93"/>
      <c r="AW488" s="93"/>
    </row>
    <row r="489" spans="1:49" x14ac:dyDescent="0.25">
      <c r="A489" s="59"/>
      <c r="B489" s="12"/>
      <c r="C489" s="12"/>
      <c r="D489" s="60"/>
      <c r="E489" s="6"/>
      <c r="F489" s="6"/>
      <c r="G489" s="12"/>
      <c r="H489" s="12"/>
      <c r="I489" s="12" t="str" cm="2">
        <f t="array" ref="I489">IFERROR(INDEX(BrandList!$B$2:$B$200,MATCH(TRUE,ISNUMBER(SEARCH(BrandList!$B$2:$B$200,G489)),0)),"")</f>
        <v/>
      </c>
      <c r="J489" s="12"/>
      <c r="K489" s="12"/>
      <c r="L489" s="60"/>
      <c r="M489" s="60"/>
      <c r="N489" s="60"/>
      <c r="O489" s="60"/>
      <c r="P489" s="7" t="str">
        <f t="shared" si="15"/>
        <v/>
      </c>
      <c r="Q489" s="8">
        <f>IFERROR(VLOOKUP(VALUE(A489),WEEKLY_DATA!$A:$H,2,0),0)</f>
        <v>0</v>
      </c>
      <c r="R489" s="8">
        <f>IFERROR(VLOOKUP(VALUE(A489),WEEKLY_DATA!$A:$H,3,0),0)</f>
        <v>0</v>
      </c>
      <c r="S489" s="8">
        <f>IFERROR(VLOOKUP(VALUE(A489),WEEKLY_DATA!$A:$H,4,0),0)</f>
        <v>0</v>
      </c>
      <c r="T489" s="51">
        <f>IFERROR(VLOOKUP(VALUE(A489),WEEKLY_DATA!$A:$H,5,0),0)</f>
        <v>0</v>
      </c>
      <c r="U489" s="51">
        <f>IFERROR(VLOOKUP(VALUE(A489),WEEKLY_DATA!$A:$H,6,0),0)</f>
        <v>0</v>
      </c>
      <c r="V489" s="51">
        <f>IFERROR(VLOOKUP(VALUE(A489),WEEKLY_DATA!$A:$H,7,0),0)</f>
        <v>0</v>
      </c>
      <c r="W489" s="9" t="str">
        <f>IFERROR(IF(OR(Q489="",Q489=0),"",IF(VLOOKUP(VALUE($A489),WEEKLY_DATA!$A:$H,6,0)=0,"No Sales",Q489/(VLOOKUP(VALUE($A489),WEEKLY_DATA!$A:$H,6,0)/13))),"")</f>
        <v/>
      </c>
      <c r="X489" s="10">
        <f>IFERROR(VLOOKUP(VALUE(A489),WEEKLY_DATA!$A:$H,8,0),0)</f>
        <v>0</v>
      </c>
      <c r="Y489" s="13" t="str">
        <f t="shared" si="14"/>
        <v>—</v>
      </c>
      <c r="Z489" s="11"/>
      <c r="AA489" s="11"/>
      <c r="AB489" s="11"/>
      <c r="AC489" s="11"/>
      <c r="AD489" s="11"/>
      <c r="AE489" s="11"/>
      <c r="AF489" s="61"/>
      <c r="AG489" s="61"/>
      <c r="AH489" s="62"/>
      <c r="AI489" s="62"/>
      <c r="AJ489" s="61"/>
      <c r="AK489" s="61"/>
      <c r="AL489" s="61"/>
      <c r="AM489" s="58"/>
      <c r="AN489" s="58"/>
      <c r="AO489" s="58"/>
      <c r="AP489" s="58"/>
      <c r="AQ489" s="58"/>
      <c r="AR489" s="58"/>
      <c r="AS489" s="91"/>
      <c r="AT489" s="93"/>
      <c r="AU489" s="93"/>
      <c r="AV489" s="93"/>
      <c r="AW489" s="93"/>
    </row>
    <row r="490" spans="1:49" x14ac:dyDescent="0.25">
      <c r="A490" s="59"/>
      <c r="B490" s="12"/>
      <c r="C490" s="12"/>
      <c r="D490" s="60"/>
      <c r="E490" s="6"/>
      <c r="F490" s="6"/>
      <c r="G490" s="12"/>
      <c r="H490" s="12"/>
      <c r="I490" s="12" t="str" cm="2">
        <f t="array" ref="I490">IFERROR(INDEX(BrandList!$B$2:$B$200,MATCH(TRUE,ISNUMBER(SEARCH(BrandList!$B$2:$B$200,G490)),0)),"")</f>
        <v/>
      </c>
      <c r="J490" s="12"/>
      <c r="K490" s="12"/>
      <c r="L490" s="60"/>
      <c r="M490" s="60"/>
      <c r="N490" s="60"/>
      <c r="O490" s="60"/>
      <c r="P490" s="7" t="str">
        <f t="shared" si="15"/>
        <v/>
      </c>
      <c r="Q490" s="8">
        <f>IFERROR(VLOOKUP(VALUE(A490),WEEKLY_DATA!$A:$H,2,0),0)</f>
        <v>0</v>
      </c>
      <c r="R490" s="8">
        <f>IFERROR(VLOOKUP(VALUE(A490),WEEKLY_DATA!$A:$H,3,0),0)</f>
        <v>0</v>
      </c>
      <c r="S490" s="8">
        <f>IFERROR(VLOOKUP(VALUE(A490),WEEKLY_DATA!$A:$H,4,0),0)</f>
        <v>0</v>
      </c>
      <c r="T490" s="51">
        <f>IFERROR(VLOOKUP(VALUE(A490),WEEKLY_DATA!$A:$H,5,0),0)</f>
        <v>0</v>
      </c>
      <c r="U490" s="51">
        <f>IFERROR(VLOOKUP(VALUE(A490),WEEKLY_DATA!$A:$H,6,0),0)</f>
        <v>0</v>
      </c>
      <c r="V490" s="51">
        <f>IFERROR(VLOOKUP(VALUE(A490),WEEKLY_DATA!$A:$H,7,0),0)</f>
        <v>0</v>
      </c>
      <c r="W490" s="9" t="str">
        <f>IFERROR(IF(OR(Q490="",Q490=0),"",IF(VLOOKUP(VALUE($A490),WEEKLY_DATA!$A:$H,6,0)=0,"No Sales",Q490/(VLOOKUP(VALUE($A490),WEEKLY_DATA!$A:$H,6,0)/13))),"")</f>
        <v/>
      </c>
      <c r="X490" s="10">
        <f>IFERROR(VLOOKUP(VALUE(A490),WEEKLY_DATA!$A:$H,8,0),0)</f>
        <v>0</v>
      </c>
      <c r="Y490" s="13" t="str">
        <f t="shared" si="14"/>
        <v>—</v>
      </c>
      <c r="Z490" s="11"/>
      <c r="AA490" s="11"/>
      <c r="AB490" s="11"/>
      <c r="AC490" s="11"/>
      <c r="AD490" s="11"/>
      <c r="AE490" s="11"/>
      <c r="AF490" s="61"/>
      <c r="AG490" s="61"/>
      <c r="AH490" s="62"/>
      <c r="AI490" s="62"/>
      <c r="AJ490" s="61"/>
      <c r="AK490" s="61"/>
      <c r="AL490" s="61"/>
      <c r="AM490" s="58"/>
      <c r="AN490" s="58"/>
      <c r="AO490" s="58"/>
      <c r="AP490" s="58"/>
      <c r="AQ490" s="58"/>
      <c r="AR490" s="58"/>
      <c r="AS490" s="91"/>
      <c r="AT490" s="93"/>
      <c r="AU490" s="93"/>
      <c r="AV490" s="93"/>
      <c r="AW490" s="93"/>
    </row>
    <row r="491" spans="1:49" x14ac:dyDescent="0.25">
      <c r="A491" s="59"/>
      <c r="B491" s="12"/>
      <c r="C491" s="12"/>
      <c r="D491" s="60"/>
      <c r="E491" s="6"/>
      <c r="F491" s="6"/>
      <c r="G491" s="12"/>
      <c r="H491" s="12"/>
      <c r="I491" s="12" t="str" cm="2">
        <f t="array" ref="I491">IFERROR(INDEX(BrandList!$B$2:$B$200,MATCH(TRUE,ISNUMBER(SEARCH(BrandList!$B$2:$B$200,G491)),0)),"")</f>
        <v/>
      </c>
      <c r="J491" s="12"/>
      <c r="K491" s="12"/>
      <c r="L491" s="60"/>
      <c r="M491" s="60"/>
      <c r="N491" s="60"/>
      <c r="O491" s="60"/>
      <c r="P491" s="7" t="str">
        <f t="shared" si="15"/>
        <v/>
      </c>
      <c r="Q491" s="8">
        <f>IFERROR(VLOOKUP(VALUE(A491),WEEKLY_DATA!$A:$H,2,0),0)</f>
        <v>0</v>
      </c>
      <c r="R491" s="8">
        <f>IFERROR(VLOOKUP(VALUE(A491),WEEKLY_DATA!$A:$H,3,0),0)</f>
        <v>0</v>
      </c>
      <c r="S491" s="8">
        <f>IFERROR(VLOOKUP(VALUE(A491),WEEKLY_DATA!$A:$H,4,0),0)</f>
        <v>0</v>
      </c>
      <c r="T491" s="51">
        <f>IFERROR(VLOOKUP(VALUE(A491),WEEKLY_DATA!$A:$H,5,0),0)</f>
        <v>0</v>
      </c>
      <c r="U491" s="51">
        <f>IFERROR(VLOOKUP(VALUE(A491),WEEKLY_DATA!$A:$H,6,0),0)</f>
        <v>0</v>
      </c>
      <c r="V491" s="51">
        <f>IFERROR(VLOOKUP(VALUE(A491),WEEKLY_DATA!$A:$H,7,0),0)</f>
        <v>0</v>
      </c>
      <c r="W491" s="9" t="str">
        <f>IFERROR(IF(OR(Q491="",Q491=0),"",IF(VLOOKUP(VALUE($A491),WEEKLY_DATA!$A:$H,6,0)=0,"No Sales",Q491/(VLOOKUP(VALUE($A491),WEEKLY_DATA!$A:$H,6,0)/13))),"")</f>
        <v/>
      </c>
      <c r="X491" s="10">
        <f>IFERROR(VLOOKUP(VALUE(A491),WEEKLY_DATA!$A:$H,8,0),0)</f>
        <v>0</v>
      </c>
      <c r="Y491" s="13" t="str">
        <f t="shared" si="14"/>
        <v>—</v>
      </c>
      <c r="Z491" s="11"/>
      <c r="AA491" s="11"/>
      <c r="AB491" s="11"/>
      <c r="AC491" s="11"/>
      <c r="AD491" s="11"/>
      <c r="AE491" s="11"/>
      <c r="AF491" s="61"/>
      <c r="AG491" s="61"/>
      <c r="AH491" s="62"/>
      <c r="AI491" s="62"/>
      <c r="AJ491" s="61"/>
      <c r="AK491" s="61"/>
      <c r="AL491" s="61"/>
      <c r="AM491" s="58"/>
      <c r="AN491" s="58"/>
      <c r="AO491" s="58"/>
      <c r="AP491" s="58"/>
      <c r="AQ491" s="58"/>
      <c r="AR491" s="58"/>
      <c r="AS491" s="91"/>
      <c r="AT491" s="93"/>
      <c r="AU491" s="93"/>
      <c r="AV491" s="93"/>
      <c r="AW491" s="93"/>
    </row>
    <row r="492" spans="1:49" x14ac:dyDescent="0.25">
      <c r="A492" s="59"/>
      <c r="B492" s="12"/>
      <c r="C492" s="12"/>
      <c r="D492" s="60"/>
      <c r="E492" s="6"/>
      <c r="F492" s="6"/>
      <c r="G492" s="12"/>
      <c r="H492" s="12"/>
      <c r="I492" s="12" t="str" cm="2">
        <f t="array" ref="I492">IFERROR(INDEX(BrandList!$B$2:$B$200,MATCH(TRUE,ISNUMBER(SEARCH(BrandList!$B$2:$B$200,G492)),0)),"")</f>
        <v/>
      </c>
      <c r="J492" s="12"/>
      <c r="K492" s="12"/>
      <c r="L492" s="60"/>
      <c r="M492" s="60"/>
      <c r="N492" s="60"/>
      <c r="O492" s="60"/>
      <c r="P492" s="7" t="str">
        <f t="shared" si="15"/>
        <v/>
      </c>
      <c r="Q492" s="8">
        <f>IFERROR(VLOOKUP(VALUE(A492),WEEKLY_DATA!$A:$H,2,0),0)</f>
        <v>0</v>
      </c>
      <c r="R492" s="8">
        <f>IFERROR(VLOOKUP(VALUE(A492),WEEKLY_DATA!$A:$H,3,0),0)</f>
        <v>0</v>
      </c>
      <c r="S492" s="8">
        <f>IFERROR(VLOOKUP(VALUE(A492),WEEKLY_DATA!$A:$H,4,0),0)</f>
        <v>0</v>
      </c>
      <c r="T492" s="51">
        <f>IFERROR(VLOOKUP(VALUE(A492),WEEKLY_DATA!$A:$H,5,0),0)</f>
        <v>0</v>
      </c>
      <c r="U492" s="51">
        <f>IFERROR(VLOOKUP(VALUE(A492),WEEKLY_DATA!$A:$H,6,0),0)</f>
        <v>0</v>
      </c>
      <c r="V492" s="51">
        <f>IFERROR(VLOOKUP(VALUE(A492),WEEKLY_DATA!$A:$H,7,0),0)</f>
        <v>0</v>
      </c>
      <c r="W492" s="9" t="str">
        <f>IFERROR(IF(OR(Q492="",Q492=0),"",IF(VLOOKUP(VALUE($A492),WEEKLY_DATA!$A:$H,6,0)=0,"No Sales",Q492/(VLOOKUP(VALUE($A492),WEEKLY_DATA!$A:$H,6,0)/13))),"")</f>
        <v/>
      </c>
      <c r="X492" s="10">
        <f>IFERROR(VLOOKUP(VALUE(A492),WEEKLY_DATA!$A:$H,8,0),0)</f>
        <v>0</v>
      </c>
      <c r="Y492" s="13" t="str">
        <f t="shared" si="14"/>
        <v>—</v>
      </c>
      <c r="Z492" s="11"/>
      <c r="AA492" s="11"/>
      <c r="AB492" s="11"/>
      <c r="AC492" s="11"/>
      <c r="AD492" s="11"/>
      <c r="AE492" s="11"/>
      <c r="AF492" s="61"/>
      <c r="AG492" s="61"/>
      <c r="AH492" s="62"/>
      <c r="AI492" s="62"/>
      <c r="AJ492" s="61"/>
      <c r="AK492" s="61"/>
      <c r="AL492" s="61"/>
      <c r="AM492" s="58"/>
      <c r="AN492" s="58"/>
      <c r="AO492" s="58"/>
      <c r="AP492" s="58"/>
      <c r="AQ492" s="58"/>
      <c r="AR492" s="58"/>
      <c r="AS492" s="91"/>
      <c r="AT492" s="93"/>
      <c r="AU492" s="93"/>
      <c r="AV492" s="93"/>
      <c r="AW492" s="93"/>
    </row>
    <row r="493" spans="1:49" x14ac:dyDescent="0.25">
      <c r="A493" s="59"/>
      <c r="B493" s="12"/>
      <c r="C493" s="12"/>
      <c r="D493" s="60"/>
      <c r="E493" s="6"/>
      <c r="F493" s="6"/>
      <c r="G493" s="12"/>
      <c r="H493" s="12"/>
      <c r="I493" s="12" t="str" cm="2">
        <f t="array" ref="I493">IFERROR(INDEX(BrandList!$B$2:$B$200,MATCH(TRUE,ISNUMBER(SEARCH(BrandList!$B$2:$B$200,G493)),0)),"")</f>
        <v/>
      </c>
      <c r="J493" s="12"/>
      <c r="K493" s="12"/>
      <c r="L493" s="60"/>
      <c r="M493" s="60"/>
      <c r="N493" s="60"/>
      <c r="O493" s="60"/>
      <c r="P493" s="7" t="str">
        <f t="shared" si="15"/>
        <v/>
      </c>
      <c r="Q493" s="8">
        <f>IFERROR(VLOOKUP(VALUE(A493),WEEKLY_DATA!$A:$H,2,0),0)</f>
        <v>0</v>
      </c>
      <c r="R493" s="8">
        <f>IFERROR(VLOOKUP(VALUE(A493),WEEKLY_DATA!$A:$H,3,0),0)</f>
        <v>0</v>
      </c>
      <c r="S493" s="8">
        <f>IFERROR(VLOOKUP(VALUE(A493),WEEKLY_DATA!$A:$H,4,0),0)</f>
        <v>0</v>
      </c>
      <c r="T493" s="51">
        <f>IFERROR(VLOOKUP(VALUE(A493),WEEKLY_DATA!$A:$H,5,0),0)</f>
        <v>0</v>
      </c>
      <c r="U493" s="51">
        <f>IFERROR(VLOOKUP(VALUE(A493),WEEKLY_DATA!$A:$H,6,0),0)</f>
        <v>0</v>
      </c>
      <c r="V493" s="51">
        <f>IFERROR(VLOOKUP(VALUE(A493),WEEKLY_DATA!$A:$H,7,0),0)</f>
        <v>0</v>
      </c>
      <c r="W493" s="9" t="str">
        <f>IFERROR(IF(OR(Q493="",Q493=0),"",IF(VLOOKUP(VALUE($A493),WEEKLY_DATA!$A:$H,6,0)=0,"No Sales",Q493/(VLOOKUP(VALUE($A493),WEEKLY_DATA!$A:$H,6,0)/13))),"")</f>
        <v/>
      </c>
      <c r="X493" s="10">
        <f>IFERROR(VLOOKUP(VALUE(A493),WEEKLY_DATA!$A:$H,8,0),0)</f>
        <v>0</v>
      </c>
      <c r="Y493" s="13" t="str">
        <f t="shared" si="14"/>
        <v>—</v>
      </c>
      <c r="Z493" s="11"/>
      <c r="AA493" s="11"/>
      <c r="AB493" s="11"/>
      <c r="AC493" s="11"/>
      <c r="AD493" s="11"/>
      <c r="AE493" s="11"/>
      <c r="AF493" s="61"/>
      <c r="AG493" s="61"/>
      <c r="AH493" s="62"/>
      <c r="AI493" s="62"/>
      <c r="AJ493" s="61"/>
      <c r="AK493" s="61"/>
      <c r="AL493" s="61"/>
      <c r="AM493" s="58"/>
      <c r="AN493" s="58"/>
      <c r="AO493" s="58"/>
      <c r="AP493" s="58"/>
      <c r="AQ493" s="58"/>
      <c r="AR493" s="58"/>
      <c r="AS493" s="91"/>
      <c r="AT493" s="93"/>
      <c r="AU493" s="93"/>
      <c r="AV493" s="93"/>
      <c r="AW493" s="93"/>
    </row>
    <row r="494" spans="1:49" x14ac:dyDescent="0.25">
      <c r="A494" s="59"/>
      <c r="B494" s="12"/>
      <c r="C494" s="12"/>
      <c r="D494" s="60"/>
      <c r="E494" s="6"/>
      <c r="F494" s="6"/>
      <c r="G494" s="12"/>
      <c r="H494" s="12"/>
      <c r="I494" s="12" t="str" cm="2">
        <f t="array" ref="I494">IFERROR(INDEX(BrandList!$B$2:$B$200,MATCH(TRUE,ISNUMBER(SEARCH(BrandList!$B$2:$B$200,G494)),0)),"")</f>
        <v/>
      </c>
      <c r="J494" s="12"/>
      <c r="K494" s="12"/>
      <c r="L494" s="60"/>
      <c r="M494" s="60"/>
      <c r="N494" s="60"/>
      <c r="O494" s="60"/>
      <c r="P494" s="7" t="str">
        <f t="shared" si="15"/>
        <v/>
      </c>
      <c r="Q494" s="8">
        <f>IFERROR(VLOOKUP(VALUE(A494),WEEKLY_DATA!$A:$H,2,0),0)</f>
        <v>0</v>
      </c>
      <c r="R494" s="8">
        <f>IFERROR(VLOOKUP(VALUE(A494),WEEKLY_DATA!$A:$H,3,0),0)</f>
        <v>0</v>
      </c>
      <c r="S494" s="8">
        <f>IFERROR(VLOOKUP(VALUE(A494),WEEKLY_DATA!$A:$H,4,0),0)</f>
        <v>0</v>
      </c>
      <c r="T494" s="51">
        <f>IFERROR(VLOOKUP(VALUE(A494),WEEKLY_DATA!$A:$H,5,0),0)</f>
        <v>0</v>
      </c>
      <c r="U494" s="51">
        <f>IFERROR(VLOOKUP(VALUE(A494),WEEKLY_DATA!$A:$H,6,0),0)</f>
        <v>0</v>
      </c>
      <c r="V494" s="51">
        <f>IFERROR(VLOOKUP(VALUE(A494),WEEKLY_DATA!$A:$H,7,0),0)</f>
        <v>0</v>
      </c>
      <c r="W494" s="9" t="str">
        <f>IFERROR(IF(OR(Q494="",Q494=0),"",IF(VLOOKUP(VALUE($A494),WEEKLY_DATA!$A:$H,6,0)=0,"No Sales",Q494/(VLOOKUP(VALUE($A494),WEEKLY_DATA!$A:$H,6,0)/13))),"")</f>
        <v/>
      </c>
      <c r="X494" s="10">
        <f>IFERROR(VLOOKUP(VALUE(A494),WEEKLY_DATA!$A:$H,8,0),0)</f>
        <v>0</v>
      </c>
      <c r="Y494" s="13" t="str">
        <f t="shared" si="14"/>
        <v>—</v>
      </c>
      <c r="Z494" s="11"/>
      <c r="AA494" s="11"/>
      <c r="AB494" s="11"/>
      <c r="AC494" s="11"/>
      <c r="AD494" s="11"/>
      <c r="AE494" s="11"/>
      <c r="AF494" s="61"/>
      <c r="AG494" s="61"/>
      <c r="AH494" s="62"/>
      <c r="AI494" s="62"/>
      <c r="AJ494" s="61"/>
      <c r="AK494" s="61"/>
      <c r="AL494" s="61"/>
      <c r="AM494" s="58"/>
      <c r="AN494" s="58"/>
      <c r="AO494" s="58"/>
      <c r="AP494" s="58"/>
      <c r="AQ494" s="58"/>
      <c r="AR494" s="58"/>
      <c r="AS494" s="91"/>
      <c r="AT494" s="93"/>
      <c r="AU494" s="93"/>
      <c r="AV494" s="93"/>
      <c r="AW494" s="93"/>
    </row>
    <row r="495" spans="1:49" x14ac:dyDescent="0.25">
      <c r="A495" s="59"/>
      <c r="B495" s="12"/>
      <c r="C495" s="12"/>
      <c r="D495" s="60"/>
      <c r="E495" s="6"/>
      <c r="F495" s="6"/>
      <c r="G495" s="12"/>
      <c r="H495" s="12"/>
      <c r="I495" s="12" t="str" cm="2">
        <f t="array" ref="I495">IFERROR(INDEX(BrandList!$B$2:$B$200,MATCH(TRUE,ISNUMBER(SEARCH(BrandList!$B$2:$B$200,G495)),0)),"")</f>
        <v/>
      </c>
      <c r="J495" s="12"/>
      <c r="K495" s="12"/>
      <c r="L495" s="60"/>
      <c r="M495" s="60"/>
      <c r="N495" s="60"/>
      <c r="O495" s="60"/>
      <c r="P495" s="7" t="str">
        <f t="shared" si="15"/>
        <v/>
      </c>
      <c r="Q495" s="8">
        <f>IFERROR(VLOOKUP(VALUE(A495),WEEKLY_DATA!$A:$H,2,0),0)</f>
        <v>0</v>
      </c>
      <c r="R495" s="8">
        <f>IFERROR(VLOOKUP(VALUE(A495),WEEKLY_DATA!$A:$H,3,0),0)</f>
        <v>0</v>
      </c>
      <c r="S495" s="8">
        <f>IFERROR(VLOOKUP(VALUE(A495),WEEKLY_DATA!$A:$H,4,0),0)</f>
        <v>0</v>
      </c>
      <c r="T495" s="51">
        <f>IFERROR(VLOOKUP(VALUE(A495),WEEKLY_DATA!$A:$H,5,0),0)</f>
        <v>0</v>
      </c>
      <c r="U495" s="51">
        <f>IFERROR(VLOOKUP(VALUE(A495),WEEKLY_DATA!$A:$H,6,0),0)</f>
        <v>0</v>
      </c>
      <c r="V495" s="51">
        <f>IFERROR(VLOOKUP(VALUE(A495),WEEKLY_DATA!$A:$H,7,0),0)</f>
        <v>0</v>
      </c>
      <c r="W495" s="9" t="str">
        <f>IFERROR(IF(OR(Q495="",Q495=0),"",IF(VLOOKUP(VALUE($A495),WEEKLY_DATA!$A:$H,6,0)=0,"No Sales",Q495/(VLOOKUP(VALUE($A495),WEEKLY_DATA!$A:$H,6,0)/13))),"")</f>
        <v/>
      </c>
      <c r="X495" s="10">
        <f>IFERROR(VLOOKUP(VALUE(A495),WEEKLY_DATA!$A:$H,8,0),0)</f>
        <v>0</v>
      </c>
      <c r="Y495" s="13" t="str">
        <f t="shared" si="14"/>
        <v>—</v>
      </c>
      <c r="Z495" s="11"/>
      <c r="AA495" s="11"/>
      <c r="AB495" s="11"/>
      <c r="AC495" s="11"/>
      <c r="AD495" s="11"/>
      <c r="AE495" s="11"/>
      <c r="AF495" s="61"/>
      <c r="AG495" s="61"/>
      <c r="AH495" s="62"/>
      <c r="AI495" s="62"/>
      <c r="AJ495" s="61"/>
      <c r="AK495" s="61"/>
      <c r="AL495" s="61"/>
      <c r="AM495" s="58"/>
      <c r="AN495" s="58"/>
      <c r="AO495" s="58"/>
      <c r="AP495" s="58"/>
      <c r="AQ495" s="58"/>
      <c r="AR495" s="58"/>
      <c r="AS495" s="91"/>
      <c r="AT495" s="93"/>
      <c r="AU495" s="93"/>
      <c r="AV495" s="93"/>
      <c r="AW495" s="93"/>
    </row>
    <row r="496" spans="1:49" x14ac:dyDescent="0.25">
      <c r="A496" s="59"/>
      <c r="B496" s="12"/>
      <c r="C496" s="12"/>
      <c r="D496" s="60"/>
      <c r="E496" s="6"/>
      <c r="F496" s="6"/>
      <c r="G496" s="12"/>
      <c r="H496" s="12"/>
      <c r="I496" s="12" t="str" cm="2">
        <f t="array" ref="I496">IFERROR(INDEX(BrandList!$B$2:$B$200,MATCH(TRUE,ISNUMBER(SEARCH(BrandList!$B$2:$B$200,G496)),0)),"")</f>
        <v/>
      </c>
      <c r="J496" s="12"/>
      <c r="K496" s="12"/>
      <c r="L496" s="60"/>
      <c r="M496" s="60"/>
      <c r="N496" s="60"/>
      <c r="O496" s="60"/>
      <c r="P496" s="7" t="str">
        <f t="shared" si="15"/>
        <v/>
      </c>
      <c r="Q496" s="8">
        <f>IFERROR(VLOOKUP(VALUE(A496),WEEKLY_DATA!$A:$H,2,0),0)</f>
        <v>0</v>
      </c>
      <c r="R496" s="8">
        <f>IFERROR(VLOOKUP(VALUE(A496),WEEKLY_DATA!$A:$H,3,0),0)</f>
        <v>0</v>
      </c>
      <c r="S496" s="8">
        <f>IFERROR(VLOOKUP(VALUE(A496),WEEKLY_DATA!$A:$H,4,0),0)</f>
        <v>0</v>
      </c>
      <c r="T496" s="51">
        <f>IFERROR(VLOOKUP(VALUE(A496),WEEKLY_DATA!$A:$H,5,0),0)</f>
        <v>0</v>
      </c>
      <c r="U496" s="51">
        <f>IFERROR(VLOOKUP(VALUE(A496),WEEKLY_DATA!$A:$H,6,0),0)</f>
        <v>0</v>
      </c>
      <c r="V496" s="51">
        <f>IFERROR(VLOOKUP(VALUE(A496),WEEKLY_DATA!$A:$H,7,0),0)</f>
        <v>0</v>
      </c>
      <c r="W496" s="9" t="str">
        <f>IFERROR(IF(OR(Q496="",Q496=0),"",IF(VLOOKUP(VALUE($A496),WEEKLY_DATA!$A:$H,6,0)=0,"No Sales",Q496/(VLOOKUP(VALUE($A496),WEEKLY_DATA!$A:$H,6,0)/13))),"")</f>
        <v/>
      </c>
      <c r="X496" s="10">
        <f>IFERROR(VLOOKUP(VALUE(A496),WEEKLY_DATA!$A:$H,8,0),0)</f>
        <v>0</v>
      </c>
      <c r="Y496" s="13" t="str">
        <f t="shared" si="14"/>
        <v>—</v>
      </c>
      <c r="Z496" s="11"/>
      <c r="AA496" s="11"/>
      <c r="AB496" s="11"/>
      <c r="AC496" s="11"/>
      <c r="AD496" s="11"/>
      <c r="AE496" s="11"/>
      <c r="AF496" s="61"/>
      <c r="AG496" s="61"/>
      <c r="AH496" s="62"/>
      <c r="AI496" s="62"/>
      <c r="AJ496" s="61"/>
      <c r="AK496" s="61"/>
      <c r="AL496" s="61"/>
      <c r="AM496" s="58"/>
      <c r="AN496" s="58"/>
      <c r="AO496" s="58"/>
      <c r="AP496" s="58"/>
      <c r="AQ496" s="58"/>
      <c r="AR496" s="58"/>
      <c r="AS496" s="91"/>
      <c r="AT496" s="93"/>
      <c r="AU496" s="93"/>
      <c r="AV496" s="93"/>
      <c r="AW496" s="93"/>
    </row>
    <row r="497" spans="1:49" x14ac:dyDescent="0.25">
      <c r="A497" s="59"/>
      <c r="B497" s="12"/>
      <c r="C497" s="12"/>
      <c r="D497" s="60"/>
      <c r="E497" s="6"/>
      <c r="F497" s="6"/>
      <c r="G497" s="12"/>
      <c r="H497" s="12"/>
      <c r="I497" s="12" t="str" cm="2">
        <f t="array" ref="I497">IFERROR(INDEX(BrandList!$B$2:$B$200,MATCH(TRUE,ISNUMBER(SEARCH(BrandList!$B$2:$B$200,G497)),0)),"")</f>
        <v/>
      </c>
      <c r="J497" s="12"/>
      <c r="K497" s="12"/>
      <c r="L497" s="60"/>
      <c r="M497" s="60"/>
      <c r="N497" s="60"/>
      <c r="O497" s="60"/>
      <c r="P497" s="7" t="str">
        <f t="shared" si="15"/>
        <v/>
      </c>
      <c r="Q497" s="8">
        <f>IFERROR(VLOOKUP(VALUE(A497),WEEKLY_DATA!$A:$H,2,0),0)</f>
        <v>0</v>
      </c>
      <c r="R497" s="8">
        <f>IFERROR(VLOOKUP(VALUE(A497),WEEKLY_DATA!$A:$H,3,0),0)</f>
        <v>0</v>
      </c>
      <c r="S497" s="8">
        <f>IFERROR(VLOOKUP(VALUE(A497),WEEKLY_DATA!$A:$H,4,0),0)</f>
        <v>0</v>
      </c>
      <c r="T497" s="51">
        <f>IFERROR(VLOOKUP(VALUE(A497),WEEKLY_DATA!$A:$H,5,0),0)</f>
        <v>0</v>
      </c>
      <c r="U497" s="51">
        <f>IFERROR(VLOOKUP(VALUE(A497),WEEKLY_DATA!$A:$H,6,0),0)</f>
        <v>0</v>
      </c>
      <c r="V497" s="51">
        <f>IFERROR(VLOOKUP(VALUE(A497),WEEKLY_DATA!$A:$H,7,0),0)</f>
        <v>0</v>
      </c>
      <c r="W497" s="9" t="str">
        <f>IFERROR(IF(OR(Q497="",Q497=0),"",IF(VLOOKUP(VALUE($A497),WEEKLY_DATA!$A:$H,6,0)=0,"No Sales",Q497/(VLOOKUP(VALUE($A497),WEEKLY_DATA!$A:$H,6,0)/13))),"")</f>
        <v/>
      </c>
      <c r="X497" s="10">
        <f>IFERROR(VLOOKUP(VALUE(A497),WEEKLY_DATA!$A:$H,8,0),0)</f>
        <v>0</v>
      </c>
      <c r="Y497" s="13" t="str">
        <f t="shared" si="14"/>
        <v>—</v>
      </c>
      <c r="Z497" s="11"/>
      <c r="AA497" s="11"/>
      <c r="AB497" s="11"/>
      <c r="AC497" s="11"/>
      <c r="AD497" s="11"/>
      <c r="AE497" s="11"/>
      <c r="AF497" s="61"/>
      <c r="AG497" s="61"/>
      <c r="AH497" s="62"/>
      <c r="AI497" s="62"/>
      <c r="AJ497" s="61"/>
      <c r="AK497" s="61"/>
      <c r="AL497" s="61"/>
      <c r="AM497" s="58"/>
      <c r="AN497" s="58"/>
      <c r="AO497" s="58"/>
      <c r="AP497" s="58"/>
      <c r="AQ497" s="58"/>
      <c r="AR497" s="58"/>
      <c r="AS497" s="91"/>
      <c r="AT497" s="93"/>
      <c r="AU497" s="93"/>
      <c r="AV497" s="93"/>
      <c r="AW497" s="93"/>
    </row>
    <row r="498" spans="1:49" x14ac:dyDescent="0.25">
      <c r="A498" s="59"/>
      <c r="B498" s="12"/>
      <c r="C498" s="12"/>
      <c r="D498" s="60"/>
      <c r="E498" s="6"/>
      <c r="F498" s="6"/>
      <c r="G498" s="12"/>
      <c r="H498" s="12"/>
      <c r="I498" s="12" t="str" cm="2">
        <f t="array" ref="I498">IFERROR(INDEX(BrandList!$B$2:$B$200,MATCH(TRUE,ISNUMBER(SEARCH(BrandList!$B$2:$B$200,G498)),0)),"")</f>
        <v/>
      </c>
      <c r="J498" s="12"/>
      <c r="K498" s="12"/>
      <c r="L498" s="60"/>
      <c r="M498" s="60"/>
      <c r="N498" s="60"/>
      <c r="O498" s="60"/>
      <c r="P498" s="7" t="str">
        <f t="shared" si="15"/>
        <v/>
      </c>
      <c r="Q498" s="8">
        <f>IFERROR(VLOOKUP(VALUE(A498),WEEKLY_DATA!$A:$H,2,0),0)</f>
        <v>0</v>
      </c>
      <c r="R498" s="8">
        <f>IFERROR(VLOOKUP(VALUE(A498),WEEKLY_DATA!$A:$H,3,0),0)</f>
        <v>0</v>
      </c>
      <c r="S498" s="8">
        <f>IFERROR(VLOOKUP(VALUE(A498),WEEKLY_DATA!$A:$H,4,0),0)</f>
        <v>0</v>
      </c>
      <c r="T498" s="51">
        <f>IFERROR(VLOOKUP(VALUE(A498),WEEKLY_DATA!$A:$H,5,0),0)</f>
        <v>0</v>
      </c>
      <c r="U498" s="51">
        <f>IFERROR(VLOOKUP(VALUE(A498),WEEKLY_DATA!$A:$H,6,0),0)</f>
        <v>0</v>
      </c>
      <c r="V498" s="51">
        <f>IFERROR(VLOOKUP(VALUE(A498),WEEKLY_DATA!$A:$H,7,0),0)</f>
        <v>0</v>
      </c>
      <c r="W498" s="9" t="str">
        <f>IFERROR(IF(OR(Q498="",Q498=0),"",IF(VLOOKUP(VALUE($A498),WEEKLY_DATA!$A:$H,6,0)=0,"No Sales",Q498/(VLOOKUP(VALUE($A498),WEEKLY_DATA!$A:$H,6,0)/13))),"")</f>
        <v/>
      </c>
      <c r="X498" s="10">
        <f>IFERROR(VLOOKUP(VALUE(A498),WEEKLY_DATA!$A:$H,8,0),0)</f>
        <v>0</v>
      </c>
      <c r="Y498" s="13" t="str">
        <f t="shared" si="14"/>
        <v>—</v>
      </c>
      <c r="Z498" s="11"/>
      <c r="AA498" s="11"/>
      <c r="AB498" s="11"/>
      <c r="AC498" s="11"/>
      <c r="AD498" s="11"/>
      <c r="AE498" s="11"/>
      <c r="AF498" s="61"/>
      <c r="AG498" s="61"/>
      <c r="AH498" s="62"/>
      <c r="AI498" s="62"/>
      <c r="AJ498" s="61"/>
      <c r="AK498" s="61"/>
      <c r="AL498" s="61"/>
      <c r="AM498" s="58"/>
      <c r="AN498" s="58"/>
      <c r="AO498" s="58"/>
      <c r="AP498" s="58"/>
      <c r="AQ498" s="58"/>
      <c r="AR498" s="58"/>
      <c r="AS498" s="91"/>
      <c r="AT498" s="93"/>
      <c r="AU498" s="93"/>
      <c r="AV498" s="93"/>
      <c r="AW498" s="93"/>
    </row>
    <row r="499" spans="1:49" x14ac:dyDescent="0.25">
      <c r="A499" s="59"/>
      <c r="B499" s="12"/>
      <c r="C499" s="12"/>
      <c r="D499" s="60"/>
      <c r="E499" s="6"/>
      <c r="F499" s="6"/>
      <c r="G499" s="12"/>
      <c r="H499" s="12"/>
      <c r="I499" s="12" t="str" cm="2">
        <f t="array" ref="I499">IFERROR(INDEX(BrandList!$B$2:$B$200,MATCH(TRUE,ISNUMBER(SEARCH(BrandList!$B$2:$B$200,G499)),0)),"")</f>
        <v/>
      </c>
      <c r="J499" s="12"/>
      <c r="K499" s="12"/>
      <c r="L499" s="60"/>
      <c r="M499" s="60"/>
      <c r="N499" s="60"/>
      <c r="O499" s="60"/>
      <c r="P499" s="7" t="str">
        <f t="shared" si="15"/>
        <v/>
      </c>
      <c r="Q499" s="8">
        <f>IFERROR(VLOOKUP(VALUE(A499),WEEKLY_DATA!$A:$H,2,0),0)</f>
        <v>0</v>
      </c>
      <c r="R499" s="8">
        <f>IFERROR(VLOOKUP(VALUE(A499),WEEKLY_DATA!$A:$H,3,0),0)</f>
        <v>0</v>
      </c>
      <c r="S499" s="8">
        <f>IFERROR(VLOOKUP(VALUE(A499),WEEKLY_DATA!$A:$H,4,0),0)</f>
        <v>0</v>
      </c>
      <c r="T499" s="51">
        <f>IFERROR(VLOOKUP(VALUE(A499),WEEKLY_DATA!$A:$H,5,0),0)</f>
        <v>0</v>
      </c>
      <c r="U499" s="51">
        <f>IFERROR(VLOOKUP(VALUE(A499),WEEKLY_DATA!$A:$H,6,0),0)</f>
        <v>0</v>
      </c>
      <c r="V499" s="51">
        <f>IFERROR(VLOOKUP(VALUE(A499),WEEKLY_DATA!$A:$H,7,0),0)</f>
        <v>0</v>
      </c>
      <c r="W499" s="9" t="str">
        <f>IFERROR(IF(OR(Q499="",Q499=0),"",IF(VLOOKUP(VALUE($A499),WEEKLY_DATA!$A:$H,6,0)=0,"No Sales",Q499/(VLOOKUP(VALUE($A499),WEEKLY_DATA!$A:$H,6,0)/13))),"")</f>
        <v/>
      </c>
      <c r="X499" s="10">
        <f>IFERROR(VLOOKUP(VALUE(A499),WEEKLY_DATA!$A:$H,8,0),0)</f>
        <v>0</v>
      </c>
      <c r="Y499" s="13" t="str">
        <f t="shared" si="14"/>
        <v>—</v>
      </c>
      <c r="Z499" s="11"/>
      <c r="AA499" s="11"/>
      <c r="AB499" s="11"/>
      <c r="AC499" s="11"/>
      <c r="AD499" s="11"/>
      <c r="AE499" s="11"/>
      <c r="AF499" s="61"/>
      <c r="AG499" s="61"/>
      <c r="AH499" s="62"/>
      <c r="AI499" s="62"/>
      <c r="AJ499" s="61"/>
      <c r="AK499" s="61"/>
      <c r="AL499" s="61"/>
      <c r="AM499" s="58"/>
      <c r="AN499" s="58"/>
      <c r="AO499" s="58"/>
      <c r="AP499" s="58"/>
      <c r="AQ499" s="58"/>
      <c r="AR499" s="58"/>
      <c r="AS499" s="91"/>
      <c r="AT499" s="93"/>
      <c r="AU499" s="93"/>
      <c r="AV499" s="93"/>
      <c r="AW499" s="93"/>
    </row>
    <row r="500" spans="1:49" x14ac:dyDescent="0.25">
      <c r="A500" s="59"/>
      <c r="B500" s="12"/>
      <c r="C500" s="12"/>
      <c r="D500" s="60"/>
      <c r="E500" s="6"/>
      <c r="F500" s="6"/>
      <c r="G500" s="12"/>
      <c r="H500" s="12"/>
      <c r="I500" s="12" t="str" cm="2">
        <f t="array" ref="I500">IFERROR(INDEX(BrandList!$B$2:$B$200,MATCH(TRUE,ISNUMBER(SEARCH(BrandList!$B$2:$B$200,G500)),0)),"")</f>
        <v/>
      </c>
      <c r="J500" s="12"/>
      <c r="K500" s="12"/>
      <c r="L500" s="60"/>
      <c r="M500" s="60"/>
      <c r="N500" s="60"/>
      <c r="O500" s="60"/>
      <c r="P500" s="7" t="str">
        <f t="shared" si="15"/>
        <v/>
      </c>
      <c r="Q500" s="8">
        <f>IFERROR(VLOOKUP(VALUE(A500),WEEKLY_DATA!$A:$H,2,0),0)</f>
        <v>0</v>
      </c>
      <c r="R500" s="8">
        <f>IFERROR(VLOOKUP(VALUE(A500),WEEKLY_DATA!$A:$H,3,0),0)</f>
        <v>0</v>
      </c>
      <c r="S500" s="8">
        <f>IFERROR(VLOOKUP(VALUE(A500),WEEKLY_DATA!$A:$H,4,0),0)</f>
        <v>0</v>
      </c>
      <c r="T500" s="51">
        <f>IFERROR(VLOOKUP(VALUE(A500),WEEKLY_DATA!$A:$H,5,0),0)</f>
        <v>0</v>
      </c>
      <c r="U500" s="51">
        <f>IFERROR(VLOOKUP(VALUE(A500),WEEKLY_DATA!$A:$H,6,0),0)</f>
        <v>0</v>
      </c>
      <c r="V500" s="51">
        <f>IFERROR(VLOOKUP(VALUE(A500),WEEKLY_DATA!$A:$H,7,0),0)</f>
        <v>0</v>
      </c>
      <c r="W500" s="9" t="str">
        <f>IFERROR(IF(OR(Q500="",Q500=0),"",IF(VLOOKUP(VALUE($A500),WEEKLY_DATA!$A:$H,6,0)=0,"No Sales",Q500/(VLOOKUP(VALUE($A500),WEEKLY_DATA!$A:$H,6,0)/13))),"")</f>
        <v/>
      </c>
      <c r="X500" s="10">
        <f>IFERROR(VLOOKUP(VALUE(A500),WEEKLY_DATA!$A:$H,8,0),0)</f>
        <v>0</v>
      </c>
      <c r="Y500" s="13" t="str">
        <f t="shared" si="14"/>
        <v>—</v>
      </c>
      <c r="Z500" s="11"/>
      <c r="AA500" s="11"/>
      <c r="AB500" s="11"/>
      <c r="AC500" s="11"/>
      <c r="AD500" s="11"/>
      <c r="AE500" s="11"/>
      <c r="AF500" s="61"/>
      <c r="AG500" s="61"/>
      <c r="AH500" s="62"/>
      <c r="AI500" s="62"/>
      <c r="AJ500" s="61"/>
      <c r="AK500" s="61"/>
      <c r="AL500" s="61"/>
      <c r="AM500" s="58"/>
      <c r="AN500" s="58"/>
      <c r="AO500" s="58"/>
      <c r="AP500" s="58"/>
      <c r="AQ500" s="58"/>
      <c r="AR500" s="58"/>
      <c r="AS500" s="91"/>
      <c r="AT500" s="93"/>
      <c r="AU500" s="93"/>
      <c r="AV500" s="93"/>
      <c r="AW500" s="93"/>
    </row>
    <row r="501" spans="1:49" x14ac:dyDescent="0.25">
      <c r="A501" s="59"/>
      <c r="B501" s="12"/>
      <c r="C501" s="12"/>
      <c r="D501" s="60"/>
      <c r="E501" s="6"/>
      <c r="F501" s="6"/>
      <c r="G501" s="12"/>
      <c r="H501" s="12"/>
      <c r="I501" s="12" t="str" cm="2">
        <f t="array" ref="I501">IFERROR(INDEX(BrandList!$B$2:$B$200,MATCH(TRUE,ISNUMBER(SEARCH(BrandList!$B$2:$B$200,G501)),0)),"")</f>
        <v/>
      </c>
      <c r="J501" s="12"/>
      <c r="K501" s="12"/>
      <c r="L501" s="60"/>
      <c r="M501" s="60"/>
      <c r="N501" s="60"/>
      <c r="O501" s="60"/>
      <c r="P501" s="7" t="str">
        <f t="shared" si="15"/>
        <v/>
      </c>
      <c r="Q501" s="8">
        <f>IFERROR(VLOOKUP(VALUE(A501),WEEKLY_DATA!$A:$H,2,0),0)</f>
        <v>0</v>
      </c>
      <c r="R501" s="8">
        <f>IFERROR(VLOOKUP(VALUE(A501),WEEKLY_DATA!$A:$H,3,0),0)</f>
        <v>0</v>
      </c>
      <c r="S501" s="8">
        <f>IFERROR(VLOOKUP(VALUE(A501),WEEKLY_DATA!$A:$H,4,0),0)</f>
        <v>0</v>
      </c>
      <c r="T501" s="51">
        <f>IFERROR(VLOOKUP(VALUE(A501),WEEKLY_DATA!$A:$H,5,0),0)</f>
        <v>0</v>
      </c>
      <c r="U501" s="51">
        <f>IFERROR(VLOOKUP(VALUE(A501),WEEKLY_DATA!$A:$H,6,0),0)</f>
        <v>0</v>
      </c>
      <c r="V501" s="51">
        <f>IFERROR(VLOOKUP(VALUE(A501),WEEKLY_DATA!$A:$H,7,0),0)</f>
        <v>0</v>
      </c>
      <c r="W501" s="9" t="str">
        <f>IFERROR(IF(OR(Q501="",Q501=0),"",IF(VLOOKUP(VALUE($A501),WEEKLY_DATA!$A:$H,6,0)=0,"No Sales",Q501/(VLOOKUP(VALUE($A501),WEEKLY_DATA!$A:$H,6,0)/13))),"")</f>
        <v/>
      </c>
      <c r="X501" s="10">
        <f>IFERROR(VLOOKUP(VALUE(A501),WEEKLY_DATA!$A:$H,8,0),0)</f>
        <v>0</v>
      </c>
      <c r="Y501" s="13" t="str">
        <f t="shared" si="14"/>
        <v>—</v>
      </c>
      <c r="Z501" s="11"/>
      <c r="AA501" s="11"/>
      <c r="AB501" s="11"/>
      <c r="AC501" s="11"/>
      <c r="AD501" s="11"/>
      <c r="AE501" s="11"/>
      <c r="AF501" s="61"/>
      <c r="AG501" s="61"/>
      <c r="AH501" s="62"/>
      <c r="AI501" s="62"/>
      <c r="AJ501" s="61"/>
      <c r="AK501" s="61"/>
      <c r="AL501" s="61"/>
      <c r="AM501" s="58"/>
      <c r="AN501" s="58"/>
      <c r="AO501" s="58"/>
      <c r="AP501" s="58"/>
      <c r="AQ501" s="58"/>
      <c r="AR501" s="58"/>
      <c r="AS501" s="91"/>
      <c r="AT501" s="93"/>
      <c r="AU501" s="93"/>
      <c r="AV501" s="93"/>
      <c r="AW501" s="93"/>
    </row>
    <row r="502" spans="1:49" x14ac:dyDescent="0.25">
      <c r="A502" s="59"/>
      <c r="B502" s="12"/>
      <c r="C502" s="12"/>
      <c r="D502" s="60"/>
      <c r="E502" s="6"/>
      <c r="F502" s="6"/>
      <c r="G502" s="12"/>
      <c r="H502" s="12"/>
      <c r="I502" s="12" t="str" cm="2">
        <f t="array" ref="I502">IFERROR(INDEX(BrandList!$B$2:$B$200,MATCH(TRUE,ISNUMBER(SEARCH(BrandList!$B$2:$B$200,G502)),0)),"")</f>
        <v/>
      </c>
      <c r="J502" s="12"/>
      <c r="K502" s="12"/>
      <c r="L502" s="60"/>
      <c r="M502" s="60"/>
      <c r="N502" s="60"/>
      <c r="O502" s="60"/>
      <c r="P502" s="7" t="str">
        <f t="shared" si="15"/>
        <v/>
      </c>
      <c r="Q502" s="8">
        <f>IFERROR(VLOOKUP(VALUE(A502),WEEKLY_DATA!$A:$H,2,0),0)</f>
        <v>0</v>
      </c>
      <c r="R502" s="8">
        <f>IFERROR(VLOOKUP(VALUE(A502),WEEKLY_DATA!$A:$H,3,0),0)</f>
        <v>0</v>
      </c>
      <c r="S502" s="8">
        <f>IFERROR(VLOOKUP(VALUE(A502),WEEKLY_DATA!$A:$H,4,0),0)</f>
        <v>0</v>
      </c>
      <c r="T502" s="51">
        <f>IFERROR(VLOOKUP(VALUE(A502),WEEKLY_DATA!$A:$H,5,0),0)</f>
        <v>0</v>
      </c>
      <c r="U502" s="51">
        <f>IFERROR(VLOOKUP(VALUE(A502),WEEKLY_DATA!$A:$H,6,0),0)</f>
        <v>0</v>
      </c>
      <c r="V502" s="51">
        <f>IFERROR(VLOOKUP(VALUE(A502),WEEKLY_DATA!$A:$H,7,0),0)</f>
        <v>0</v>
      </c>
      <c r="W502" s="9" t="str">
        <f>IFERROR(IF(OR(Q502="",Q502=0),"",IF(VLOOKUP(VALUE($A502),WEEKLY_DATA!$A:$H,6,0)=0,"No Sales",Q502/(VLOOKUP(VALUE($A502),WEEKLY_DATA!$A:$H,6,0)/13))),"")</f>
        <v/>
      </c>
      <c r="X502" s="10">
        <f>IFERROR(VLOOKUP(VALUE(A502),WEEKLY_DATA!$A:$H,8,0),0)</f>
        <v>0</v>
      </c>
      <c r="Y502" s="13" t="str">
        <f t="shared" si="14"/>
        <v>—</v>
      </c>
      <c r="Z502" s="11"/>
      <c r="AA502" s="11"/>
      <c r="AB502" s="11"/>
      <c r="AC502" s="11"/>
      <c r="AD502" s="11"/>
      <c r="AE502" s="11"/>
      <c r="AF502" s="61"/>
      <c r="AG502" s="61"/>
      <c r="AH502" s="62"/>
      <c r="AI502" s="62"/>
      <c r="AJ502" s="61"/>
      <c r="AK502" s="61"/>
      <c r="AL502" s="61"/>
      <c r="AM502" s="58"/>
      <c r="AN502" s="58"/>
      <c r="AO502" s="58"/>
      <c r="AP502" s="58"/>
      <c r="AQ502" s="58"/>
      <c r="AR502" s="58"/>
      <c r="AS502" s="91"/>
      <c r="AT502" s="93"/>
      <c r="AU502" s="93"/>
      <c r="AV502" s="93"/>
      <c r="AW502" s="93"/>
    </row>
    <row r="503" spans="1:49" x14ac:dyDescent="0.25">
      <c r="A503" s="59"/>
      <c r="B503" s="12"/>
      <c r="C503" s="12"/>
      <c r="D503" s="60"/>
      <c r="E503" s="6"/>
      <c r="F503" s="6"/>
      <c r="G503" s="12"/>
      <c r="H503" s="12"/>
      <c r="I503" s="12" t="str" cm="2">
        <f t="array" ref="I503">IFERROR(INDEX(BrandList!$B$2:$B$200,MATCH(TRUE,ISNUMBER(SEARCH(BrandList!$B$2:$B$200,G503)),0)),"")</f>
        <v/>
      </c>
      <c r="J503" s="12"/>
      <c r="K503" s="12"/>
      <c r="L503" s="60"/>
      <c r="M503" s="60"/>
      <c r="N503" s="60"/>
      <c r="O503" s="60"/>
      <c r="P503" s="7" t="str">
        <f t="shared" si="15"/>
        <v/>
      </c>
      <c r="Q503" s="8">
        <f>IFERROR(VLOOKUP(VALUE(A503),WEEKLY_DATA!$A:$H,2,0),0)</f>
        <v>0</v>
      </c>
      <c r="R503" s="8">
        <f>IFERROR(VLOOKUP(VALUE(A503),WEEKLY_DATA!$A:$H,3,0),0)</f>
        <v>0</v>
      </c>
      <c r="S503" s="8">
        <f>IFERROR(VLOOKUP(VALUE(A503),WEEKLY_DATA!$A:$H,4,0),0)</f>
        <v>0</v>
      </c>
      <c r="T503" s="51">
        <f>IFERROR(VLOOKUP(VALUE(A503),WEEKLY_DATA!$A:$H,5,0),0)</f>
        <v>0</v>
      </c>
      <c r="U503" s="51">
        <f>IFERROR(VLOOKUP(VALUE(A503),WEEKLY_DATA!$A:$H,6,0),0)</f>
        <v>0</v>
      </c>
      <c r="V503" s="51">
        <f>IFERROR(VLOOKUP(VALUE(A503),WEEKLY_DATA!$A:$H,7,0),0)</f>
        <v>0</v>
      </c>
      <c r="W503" s="9" t="str">
        <f>IFERROR(IF(OR(Q503="",Q503=0),"",IF(VLOOKUP(VALUE($A503),WEEKLY_DATA!$A:$H,6,0)=0,"No Sales",Q503/(VLOOKUP(VALUE($A503),WEEKLY_DATA!$A:$H,6,0)/13))),"")</f>
        <v/>
      </c>
      <c r="X503" s="10">
        <f>IFERROR(VLOOKUP(VALUE(A503),WEEKLY_DATA!$A:$H,8,0),0)</f>
        <v>0</v>
      </c>
      <c r="Y503" s="13" t="str">
        <f t="shared" si="14"/>
        <v>—</v>
      </c>
      <c r="Z503" s="11"/>
      <c r="AA503" s="11"/>
      <c r="AB503" s="11"/>
      <c r="AC503" s="11"/>
      <c r="AD503" s="11"/>
      <c r="AE503" s="11"/>
      <c r="AF503" s="61"/>
      <c r="AG503" s="61"/>
      <c r="AH503" s="62"/>
      <c r="AI503" s="62"/>
      <c r="AJ503" s="61"/>
      <c r="AK503" s="61"/>
      <c r="AL503" s="61"/>
      <c r="AM503" s="58"/>
      <c r="AN503" s="58"/>
      <c r="AO503" s="58"/>
      <c r="AP503" s="58"/>
      <c r="AQ503" s="58"/>
      <c r="AR503" s="58"/>
      <c r="AS503" s="91"/>
      <c r="AT503" s="93"/>
      <c r="AU503" s="93"/>
      <c r="AV503" s="93"/>
      <c r="AW503" s="93"/>
    </row>
    <row r="504" spans="1:49" x14ac:dyDescent="0.25">
      <c r="A504" s="59"/>
      <c r="B504" s="12"/>
      <c r="C504" s="12"/>
      <c r="D504" s="60"/>
      <c r="E504" s="6"/>
      <c r="F504" s="6"/>
      <c r="G504" s="12"/>
      <c r="H504" s="12"/>
      <c r="I504" s="12" t="str" cm="2">
        <f t="array" ref="I504">IFERROR(INDEX(BrandList!$B$2:$B$200,MATCH(TRUE,ISNUMBER(SEARCH(BrandList!$B$2:$B$200,G504)),0)),"")</f>
        <v/>
      </c>
      <c r="J504" s="12"/>
      <c r="K504" s="12"/>
      <c r="L504" s="60"/>
      <c r="M504" s="60"/>
      <c r="N504" s="60"/>
      <c r="O504" s="60"/>
      <c r="P504" s="7" t="str">
        <f t="shared" si="15"/>
        <v/>
      </c>
      <c r="Q504" s="8">
        <f>IFERROR(VLOOKUP(VALUE(A504),WEEKLY_DATA!$A:$H,2,0),0)</f>
        <v>0</v>
      </c>
      <c r="R504" s="8">
        <f>IFERROR(VLOOKUP(VALUE(A504),WEEKLY_DATA!$A:$H,3,0),0)</f>
        <v>0</v>
      </c>
      <c r="S504" s="8">
        <f>IFERROR(VLOOKUP(VALUE(A504),WEEKLY_DATA!$A:$H,4,0),0)</f>
        <v>0</v>
      </c>
      <c r="T504" s="51">
        <f>IFERROR(VLOOKUP(VALUE(A504),WEEKLY_DATA!$A:$H,5,0),0)</f>
        <v>0</v>
      </c>
      <c r="U504" s="51">
        <f>IFERROR(VLOOKUP(VALUE(A504),WEEKLY_DATA!$A:$H,6,0),0)</f>
        <v>0</v>
      </c>
      <c r="V504" s="51">
        <f>IFERROR(VLOOKUP(VALUE(A504),WEEKLY_DATA!$A:$H,7,0),0)</f>
        <v>0</v>
      </c>
      <c r="W504" s="9" t="str">
        <f>IFERROR(IF(OR(Q504="",Q504=0),"",IF(VLOOKUP(VALUE($A504),WEEKLY_DATA!$A:$H,6,0)=0,"No Sales",Q504/(VLOOKUP(VALUE($A504),WEEKLY_DATA!$A:$H,6,0)/13))),"")</f>
        <v/>
      </c>
      <c r="X504" s="10">
        <f>IFERROR(VLOOKUP(VALUE(A504),WEEKLY_DATA!$A:$H,8,0),0)</f>
        <v>0</v>
      </c>
      <c r="Y504" s="13" t="str">
        <f t="shared" si="14"/>
        <v>—</v>
      </c>
      <c r="Z504" s="11"/>
      <c r="AA504" s="11"/>
      <c r="AB504" s="11"/>
      <c r="AC504" s="11"/>
      <c r="AD504" s="11"/>
      <c r="AE504" s="11"/>
      <c r="AF504" s="61"/>
      <c r="AG504" s="61"/>
      <c r="AH504" s="62"/>
      <c r="AI504" s="62"/>
      <c r="AJ504" s="61"/>
      <c r="AK504" s="61"/>
      <c r="AL504" s="61"/>
      <c r="AM504" s="58"/>
      <c r="AN504" s="58"/>
      <c r="AO504" s="58"/>
      <c r="AP504" s="58"/>
      <c r="AQ504" s="58"/>
      <c r="AR504" s="58"/>
      <c r="AS504" s="91"/>
      <c r="AT504" s="93"/>
      <c r="AU504" s="93"/>
      <c r="AV504" s="93"/>
      <c r="AW504" s="93"/>
    </row>
    <row r="505" spans="1:49" x14ac:dyDescent="0.25">
      <c r="A505" s="59"/>
      <c r="B505" s="12"/>
      <c r="C505" s="12"/>
      <c r="D505" s="60"/>
      <c r="E505" s="6"/>
      <c r="F505" s="6"/>
      <c r="G505" s="12"/>
      <c r="H505" s="12"/>
      <c r="I505" s="12" t="str" cm="2">
        <f t="array" ref="I505">IFERROR(INDEX(BrandList!$B$2:$B$200,MATCH(TRUE,ISNUMBER(SEARCH(BrandList!$B$2:$B$200,G505)),0)),"")</f>
        <v/>
      </c>
      <c r="J505" s="12"/>
      <c r="K505" s="12"/>
      <c r="L505" s="60"/>
      <c r="M505" s="60"/>
      <c r="N505" s="60"/>
      <c r="O505" s="60"/>
      <c r="P505" s="7" t="str">
        <f t="shared" si="15"/>
        <v/>
      </c>
      <c r="Q505" s="8">
        <f>IFERROR(VLOOKUP(VALUE(A505),WEEKLY_DATA!$A:$H,2,0),0)</f>
        <v>0</v>
      </c>
      <c r="R505" s="8">
        <f>IFERROR(VLOOKUP(VALUE(A505),WEEKLY_DATA!$A:$H,3,0),0)</f>
        <v>0</v>
      </c>
      <c r="S505" s="8">
        <f>IFERROR(VLOOKUP(VALUE(A505),WEEKLY_DATA!$A:$H,4,0),0)</f>
        <v>0</v>
      </c>
      <c r="T505" s="51">
        <f>IFERROR(VLOOKUP(VALUE(A505),WEEKLY_DATA!$A:$H,5,0),0)</f>
        <v>0</v>
      </c>
      <c r="U505" s="51">
        <f>IFERROR(VLOOKUP(VALUE(A505),WEEKLY_DATA!$A:$H,6,0),0)</f>
        <v>0</v>
      </c>
      <c r="V505" s="51">
        <f>IFERROR(VLOOKUP(VALUE(A505),WEEKLY_DATA!$A:$H,7,0),0)</f>
        <v>0</v>
      </c>
      <c r="W505" s="9" t="str">
        <f>IFERROR(IF(OR(Q505="",Q505=0),"",IF(VLOOKUP(VALUE($A505),WEEKLY_DATA!$A:$H,6,0)=0,"No Sales",Q505/(VLOOKUP(VALUE($A505),WEEKLY_DATA!$A:$H,6,0)/13))),"")</f>
        <v/>
      </c>
      <c r="X505" s="10">
        <f>IFERROR(VLOOKUP(VALUE(A505),WEEKLY_DATA!$A:$H,8,0),0)</f>
        <v>0</v>
      </c>
      <c r="Y505" s="13" t="str">
        <f t="shared" si="14"/>
        <v>—</v>
      </c>
      <c r="Z505" s="11"/>
      <c r="AA505" s="11"/>
      <c r="AB505" s="11"/>
      <c r="AC505" s="11"/>
      <c r="AD505" s="11"/>
      <c r="AE505" s="11"/>
      <c r="AF505" s="61"/>
      <c r="AG505" s="61"/>
      <c r="AH505" s="62"/>
      <c r="AI505" s="62"/>
      <c r="AJ505" s="61"/>
      <c r="AK505" s="61"/>
      <c r="AL505" s="61"/>
      <c r="AM505" s="58"/>
      <c r="AN505" s="58"/>
      <c r="AO505" s="58"/>
      <c r="AP505" s="58"/>
      <c r="AQ505" s="58"/>
      <c r="AR505" s="58"/>
      <c r="AS505" s="91"/>
      <c r="AT505" s="93"/>
      <c r="AU505" s="93"/>
      <c r="AV505" s="93"/>
      <c r="AW505" s="93"/>
    </row>
    <row r="506" spans="1:49" x14ac:dyDescent="0.25">
      <c r="A506" s="59"/>
      <c r="B506" s="12"/>
      <c r="C506" s="12"/>
      <c r="D506" s="60"/>
      <c r="E506" s="6"/>
      <c r="F506" s="6"/>
      <c r="G506" s="12"/>
      <c r="H506" s="12"/>
      <c r="I506" s="12" t="str" cm="2">
        <f t="array" ref="I506">IFERROR(INDEX(BrandList!$B$2:$B$200,MATCH(TRUE,ISNUMBER(SEARCH(BrandList!$B$2:$B$200,G506)),0)),"")</f>
        <v/>
      </c>
      <c r="J506" s="12"/>
      <c r="K506" s="12"/>
      <c r="L506" s="60"/>
      <c r="M506" s="60"/>
      <c r="N506" s="60"/>
      <c r="O506" s="60"/>
      <c r="P506" s="7" t="str">
        <f t="shared" si="15"/>
        <v/>
      </c>
      <c r="Q506" s="8">
        <f>IFERROR(VLOOKUP(VALUE(A506),WEEKLY_DATA!$A:$H,2,0),0)</f>
        <v>0</v>
      </c>
      <c r="R506" s="8">
        <f>IFERROR(VLOOKUP(VALUE(A506),WEEKLY_DATA!$A:$H,3,0),0)</f>
        <v>0</v>
      </c>
      <c r="S506" s="8">
        <f>IFERROR(VLOOKUP(VALUE(A506),WEEKLY_DATA!$A:$H,4,0),0)</f>
        <v>0</v>
      </c>
      <c r="T506" s="51">
        <f>IFERROR(VLOOKUP(VALUE(A506),WEEKLY_DATA!$A:$H,5,0),0)</f>
        <v>0</v>
      </c>
      <c r="U506" s="51">
        <f>IFERROR(VLOOKUP(VALUE(A506),WEEKLY_DATA!$A:$H,6,0),0)</f>
        <v>0</v>
      </c>
      <c r="V506" s="51">
        <f>IFERROR(VLOOKUP(VALUE(A506),WEEKLY_DATA!$A:$H,7,0),0)</f>
        <v>0</v>
      </c>
      <c r="W506" s="9" t="str">
        <f>IFERROR(IF(OR(Q506="",Q506=0),"",IF(VLOOKUP(VALUE($A506),WEEKLY_DATA!$A:$H,6,0)=0,"No Sales",Q506/(VLOOKUP(VALUE($A506),WEEKLY_DATA!$A:$H,6,0)/13))),"")</f>
        <v/>
      </c>
      <c r="X506" s="10">
        <f>IFERROR(VLOOKUP(VALUE(A506),WEEKLY_DATA!$A:$H,8,0),0)</f>
        <v>0</v>
      </c>
      <c r="Y506" s="13" t="str">
        <f t="shared" si="14"/>
        <v>—</v>
      </c>
      <c r="Z506" s="11"/>
      <c r="AA506" s="11"/>
      <c r="AB506" s="11"/>
      <c r="AC506" s="11"/>
      <c r="AD506" s="11"/>
      <c r="AE506" s="11"/>
      <c r="AF506" s="61"/>
      <c r="AG506" s="61"/>
      <c r="AH506" s="62"/>
      <c r="AI506" s="62"/>
      <c r="AJ506" s="61"/>
      <c r="AK506" s="61"/>
      <c r="AL506" s="61"/>
      <c r="AM506" s="58"/>
      <c r="AN506" s="58"/>
      <c r="AO506" s="58"/>
      <c r="AP506" s="58"/>
      <c r="AQ506" s="58"/>
      <c r="AR506" s="58"/>
      <c r="AS506" s="91"/>
      <c r="AT506" s="93"/>
      <c r="AU506" s="93"/>
      <c r="AV506" s="93"/>
      <c r="AW506" s="93"/>
    </row>
    <row r="507" spans="1:49" x14ac:dyDescent="0.25">
      <c r="A507" s="59"/>
      <c r="B507" s="12"/>
      <c r="C507" s="12"/>
      <c r="D507" s="60"/>
      <c r="E507" s="6"/>
      <c r="F507" s="6"/>
      <c r="G507" s="12"/>
      <c r="H507" s="12"/>
      <c r="I507" s="12" t="str" cm="2">
        <f t="array" ref="I507">IFERROR(INDEX(BrandList!$B$2:$B$200,MATCH(TRUE,ISNUMBER(SEARCH(BrandList!$B$2:$B$200,G507)),0)),"")</f>
        <v/>
      </c>
      <c r="J507" s="12"/>
      <c r="K507" s="12"/>
      <c r="L507" s="60"/>
      <c r="M507" s="60"/>
      <c r="N507" s="60"/>
      <c r="O507" s="60"/>
      <c r="P507" s="7" t="str">
        <f t="shared" si="15"/>
        <v/>
      </c>
      <c r="Q507" s="8">
        <f>IFERROR(VLOOKUP(VALUE(A507),WEEKLY_DATA!$A:$H,2,0),0)</f>
        <v>0</v>
      </c>
      <c r="R507" s="8">
        <f>IFERROR(VLOOKUP(VALUE(A507),WEEKLY_DATA!$A:$H,3,0),0)</f>
        <v>0</v>
      </c>
      <c r="S507" s="8">
        <f>IFERROR(VLOOKUP(VALUE(A507),WEEKLY_DATA!$A:$H,4,0),0)</f>
        <v>0</v>
      </c>
      <c r="T507" s="51">
        <f>IFERROR(VLOOKUP(VALUE(A507),WEEKLY_DATA!$A:$H,5,0),0)</f>
        <v>0</v>
      </c>
      <c r="U507" s="51">
        <f>IFERROR(VLOOKUP(VALUE(A507),WEEKLY_DATA!$A:$H,6,0),0)</f>
        <v>0</v>
      </c>
      <c r="V507" s="51">
        <f>IFERROR(VLOOKUP(VALUE(A507),WEEKLY_DATA!$A:$H,7,0),0)</f>
        <v>0</v>
      </c>
      <c r="W507" s="9" t="str">
        <f>IFERROR(IF(OR(Q507="",Q507=0),"",IF(VLOOKUP(VALUE($A507),WEEKLY_DATA!$A:$H,6,0)=0,"No Sales",Q507/(VLOOKUP(VALUE($A507),WEEKLY_DATA!$A:$H,6,0)/13))),"")</f>
        <v/>
      </c>
      <c r="X507" s="10">
        <f>IFERROR(VLOOKUP(VALUE(A507),WEEKLY_DATA!$A:$H,8,0),0)</f>
        <v>0</v>
      </c>
      <c r="Y507" s="13" t="str">
        <f t="shared" si="14"/>
        <v>—</v>
      </c>
      <c r="Z507" s="11"/>
      <c r="AA507" s="11"/>
      <c r="AB507" s="11"/>
      <c r="AC507" s="11"/>
      <c r="AD507" s="11"/>
      <c r="AE507" s="11"/>
      <c r="AF507" s="61"/>
      <c r="AG507" s="61"/>
      <c r="AH507" s="62"/>
      <c r="AI507" s="62"/>
      <c r="AJ507" s="61"/>
      <c r="AK507" s="61"/>
      <c r="AL507" s="61"/>
      <c r="AM507" s="58"/>
      <c r="AN507" s="58"/>
      <c r="AO507" s="58"/>
      <c r="AP507" s="58"/>
      <c r="AQ507" s="58"/>
      <c r="AR507" s="58"/>
      <c r="AS507" s="91"/>
      <c r="AT507" s="93"/>
      <c r="AU507" s="93"/>
      <c r="AV507" s="93"/>
      <c r="AW507" s="93"/>
    </row>
    <row r="508" spans="1:49" x14ac:dyDescent="0.25">
      <c r="A508" s="59"/>
      <c r="B508" s="12"/>
      <c r="C508" s="12"/>
      <c r="D508" s="60"/>
      <c r="E508" s="6"/>
      <c r="F508" s="6"/>
      <c r="G508" s="12"/>
      <c r="H508" s="12"/>
      <c r="I508" s="12" t="str" cm="2">
        <f t="array" ref="I508">IFERROR(INDEX(BrandList!$B$2:$B$200,MATCH(TRUE,ISNUMBER(SEARCH(BrandList!$B$2:$B$200,G508)),0)),"")</f>
        <v/>
      </c>
      <c r="J508" s="12"/>
      <c r="K508" s="12"/>
      <c r="L508" s="60"/>
      <c r="M508" s="60"/>
      <c r="N508" s="60"/>
      <c r="O508" s="60"/>
      <c r="P508" s="7" t="str">
        <f t="shared" si="15"/>
        <v/>
      </c>
      <c r="Q508" s="8">
        <f>IFERROR(VLOOKUP(VALUE(A508),WEEKLY_DATA!$A:$H,2,0),0)</f>
        <v>0</v>
      </c>
      <c r="R508" s="8">
        <f>IFERROR(VLOOKUP(VALUE(A508),WEEKLY_DATA!$A:$H,3,0),0)</f>
        <v>0</v>
      </c>
      <c r="S508" s="8">
        <f>IFERROR(VLOOKUP(VALUE(A508),WEEKLY_DATA!$A:$H,4,0),0)</f>
        <v>0</v>
      </c>
      <c r="T508" s="51">
        <f>IFERROR(VLOOKUP(VALUE(A508),WEEKLY_DATA!$A:$H,5,0),0)</f>
        <v>0</v>
      </c>
      <c r="U508" s="51">
        <f>IFERROR(VLOOKUP(VALUE(A508),WEEKLY_DATA!$A:$H,6,0),0)</f>
        <v>0</v>
      </c>
      <c r="V508" s="51">
        <f>IFERROR(VLOOKUP(VALUE(A508),WEEKLY_DATA!$A:$H,7,0),0)</f>
        <v>0</v>
      </c>
      <c r="W508" s="9" t="str">
        <f>IFERROR(IF(OR(Q508="",Q508=0),"",IF(VLOOKUP(VALUE($A508),WEEKLY_DATA!$A:$H,6,0)=0,"No Sales",Q508/(VLOOKUP(VALUE($A508),WEEKLY_DATA!$A:$H,6,0)/13))),"")</f>
        <v/>
      </c>
      <c r="X508" s="10">
        <f>IFERROR(VLOOKUP(VALUE(A508),WEEKLY_DATA!$A:$H,8,0),0)</f>
        <v>0</v>
      </c>
      <c r="Y508" s="13" t="str">
        <f t="shared" si="14"/>
        <v>—</v>
      </c>
      <c r="Z508" s="11"/>
      <c r="AA508" s="11"/>
      <c r="AB508" s="11"/>
      <c r="AC508" s="11"/>
      <c r="AD508" s="11"/>
      <c r="AE508" s="11"/>
      <c r="AF508" s="61"/>
      <c r="AG508" s="61"/>
      <c r="AH508" s="62"/>
      <c r="AI508" s="62"/>
      <c r="AJ508" s="61"/>
      <c r="AK508" s="61"/>
      <c r="AL508" s="61"/>
      <c r="AM508" s="58"/>
      <c r="AN508" s="58"/>
      <c r="AO508" s="58"/>
      <c r="AP508" s="58"/>
      <c r="AQ508" s="58"/>
      <c r="AR508" s="58"/>
      <c r="AS508" s="91"/>
      <c r="AT508" s="93"/>
      <c r="AU508" s="93"/>
      <c r="AV508" s="93"/>
      <c r="AW508" s="93"/>
    </row>
    <row r="509" spans="1:49" x14ac:dyDescent="0.25">
      <c r="A509" s="59"/>
      <c r="B509" s="12"/>
      <c r="C509" s="12"/>
      <c r="D509" s="60"/>
      <c r="E509" s="6"/>
      <c r="F509" s="6"/>
      <c r="G509" s="12"/>
      <c r="H509" s="12"/>
      <c r="I509" s="12" t="str" cm="2">
        <f t="array" ref="I509">IFERROR(INDEX(BrandList!$B$2:$B$200,MATCH(TRUE,ISNUMBER(SEARCH(BrandList!$B$2:$B$200,G509)),0)),"")</f>
        <v/>
      </c>
      <c r="J509" s="12"/>
      <c r="K509" s="12"/>
      <c r="L509" s="60"/>
      <c r="M509" s="60"/>
      <c r="N509" s="60"/>
      <c r="O509" s="60"/>
      <c r="P509" s="7" t="str">
        <f t="shared" si="15"/>
        <v/>
      </c>
      <c r="Q509" s="8">
        <f>IFERROR(VLOOKUP(VALUE(A509),WEEKLY_DATA!$A:$H,2,0),0)</f>
        <v>0</v>
      </c>
      <c r="R509" s="8">
        <f>IFERROR(VLOOKUP(VALUE(A509),WEEKLY_DATA!$A:$H,3,0),0)</f>
        <v>0</v>
      </c>
      <c r="S509" s="8">
        <f>IFERROR(VLOOKUP(VALUE(A509),WEEKLY_DATA!$A:$H,4,0),0)</f>
        <v>0</v>
      </c>
      <c r="T509" s="51">
        <f>IFERROR(VLOOKUP(VALUE(A509),WEEKLY_DATA!$A:$H,5,0),0)</f>
        <v>0</v>
      </c>
      <c r="U509" s="51">
        <f>IFERROR(VLOOKUP(VALUE(A509),WEEKLY_DATA!$A:$H,6,0),0)</f>
        <v>0</v>
      </c>
      <c r="V509" s="51">
        <f>IFERROR(VLOOKUP(VALUE(A509),WEEKLY_DATA!$A:$H,7,0),0)</f>
        <v>0</v>
      </c>
      <c r="W509" s="9" t="str">
        <f>IFERROR(IF(OR(Q509="",Q509=0),"",IF(VLOOKUP(VALUE($A509),WEEKLY_DATA!$A:$H,6,0)=0,"No Sales",Q509/(VLOOKUP(VALUE($A509),WEEKLY_DATA!$A:$H,6,0)/13))),"")</f>
        <v/>
      </c>
      <c r="X509" s="10">
        <f>IFERROR(VLOOKUP(VALUE(A509),WEEKLY_DATA!$A:$H,8,0),0)</f>
        <v>0</v>
      </c>
      <c r="Y509" s="13" t="str">
        <f t="shared" si="14"/>
        <v>—</v>
      </c>
      <c r="Z509" s="11"/>
      <c r="AA509" s="11"/>
      <c r="AB509" s="11"/>
      <c r="AC509" s="11"/>
      <c r="AD509" s="11"/>
      <c r="AE509" s="11"/>
      <c r="AF509" s="61"/>
      <c r="AG509" s="61"/>
      <c r="AH509" s="62"/>
      <c r="AI509" s="62"/>
      <c r="AJ509" s="61"/>
      <c r="AK509" s="61"/>
      <c r="AL509" s="61"/>
      <c r="AM509" s="58"/>
      <c r="AN509" s="58"/>
      <c r="AO509" s="58"/>
      <c r="AP509" s="58"/>
      <c r="AQ509" s="58"/>
      <c r="AR509" s="58"/>
      <c r="AS509" s="91"/>
      <c r="AT509" s="93"/>
      <c r="AU509" s="93"/>
      <c r="AV509" s="93"/>
      <c r="AW509" s="93"/>
    </row>
    <row r="510" spans="1:49" x14ac:dyDescent="0.25">
      <c r="A510" s="59"/>
      <c r="B510" s="12"/>
      <c r="C510" s="12"/>
      <c r="D510" s="60"/>
      <c r="E510" s="6"/>
      <c r="F510" s="6"/>
      <c r="G510" s="12"/>
      <c r="H510" s="12"/>
      <c r="I510" s="12" t="str" cm="2">
        <f t="array" ref="I510">IFERROR(INDEX(BrandList!$B$2:$B$200,MATCH(TRUE,ISNUMBER(SEARCH(BrandList!$B$2:$B$200,G510)),0)),"")</f>
        <v/>
      </c>
      <c r="J510" s="12"/>
      <c r="K510" s="12"/>
      <c r="L510" s="60"/>
      <c r="M510" s="60"/>
      <c r="N510" s="60"/>
      <c r="O510" s="60"/>
      <c r="P510" s="7" t="str">
        <f t="shared" si="15"/>
        <v/>
      </c>
      <c r="Q510" s="8">
        <f>IFERROR(VLOOKUP(VALUE(A510),WEEKLY_DATA!$A:$H,2,0),0)</f>
        <v>0</v>
      </c>
      <c r="R510" s="8">
        <f>IFERROR(VLOOKUP(VALUE(A510),WEEKLY_DATA!$A:$H,3,0),0)</f>
        <v>0</v>
      </c>
      <c r="S510" s="8">
        <f>IFERROR(VLOOKUP(VALUE(A510),WEEKLY_DATA!$A:$H,4,0),0)</f>
        <v>0</v>
      </c>
      <c r="T510" s="51">
        <f>IFERROR(VLOOKUP(VALUE(A510),WEEKLY_DATA!$A:$H,5,0),0)</f>
        <v>0</v>
      </c>
      <c r="U510" s="51">
        <f>IFERROR(VLOOKUP(VALUE(A510),WEEKLY_DATA!$A:$H,6,0),0)</f>
        <v>0</v>
      </c>
      <c r="V510" s="51">
        <f>IFERROR(VLOOKUP(VALUE(A510),WEEKLY_DATA!$A:$H,7,0),0)</f>
        <v>0</v>
      </c>
      <c r="W510" s="9" t="str">
        <f>IFERROR(IF(OR(Q510="",Q510=0),"",IF(VLOOKUP(VALUE($A510),WEEKLY_DATA!$A:$H,6,0)=0,"No Sales",Q510/(VLOOKUP(VALUE($A510),WEEKLY_DATA!$A:$H,6,0)/13))),"")</f>
        <v/>
      </c>
      <c r="X510" s="10">
        <f>IFERROR(VLOOKUP(VALUE(A510),WEEKLY_DATA!$A:$H,8,0),0)</f>
        <v>0</v>
      </c>
      <c r="Y510" s="13" t="str">
        <f t="shared" si="14"/>
        <v>—</v>
      </c>
      <c r="Z510" s="11"/>
      <c r="AA510" s="11"/>
      <c r="AB510" s="11"/>
      <c r="AC510" s="11"/>
      <c r="AD510" s="11"/>
      <c r="AE510" s="11"/>
      <c r="AF510" s="61"/>
      <c r="AG510" s="61"/>
      <c r="AH510" s="62"/>
      <c r="AI510" s="62"/>
      <c r="AJ510" s="61"/>
      <c r="AK510" s="61"/>
      <c r="AL510" s="61"/>
      <c r="AM510" s="58"/>
      <c r="AN510" s="58"/>
      <c r="AO510" s="58"/>
      <c r="AP510" s="58"/>
      <c r="AQ510" s="58"/>
      <c r="AR510" s="58"/>
      <c r="AS510" s="91"/>
      <c r="AT510" s="93"/>
      <c r="AU510" s="93"/>
      <c r="AV510" s="93"/>
      <c r="AW510" s="93"/>
    </row>
    <row r="511" spans="1:49" x14ac:dyDescent="0.25">
      <c r="A511" s="59"/>
      <c r="B511" s="12"/>
      <c r="C511" s="12"/>
      <c r="D511" s="60"/>
      <c r="E511" s="6"/>
      <c r="F511" s="6"/>
      <c r="G511" s="12"/>
      <c r="H511" s="12"/>
      <c r="I511" s="12" t="str" cm="2">
        <f t="array" ref="I511">IFERROR(INDEX(BrandList!$B$2:$B$200,MATCH(TRUE,ISNUMBER(SEARCH(BrandList!$B$2:$B$200,G511)),0)),"")</f>
        <v/>
      </c>
      <c r="J511" s="12"/>
      <c r="K511" s="12"/>
      <c r="L511" s="60"/>
      <c r="M511" s="60"/>
      <c r="N511" s="60"/>
      <c r="O511" s="60"/>
      <c r="P511" s="7" t="str">
        <f t="shared" si="15"/>
        <v/>
      </c>
      <c r="Q511" s="8">
        <f>IFERROR(VLOOKUP(VALUE(A511),WEEKLY_DATA!$A:$H,2,0),0)</f>
        <v>0</v>
      </c>
      <c r="R511" s="8">
        <f>IFERROR(VLOOKUP(VALUE(A511),WEEKLY_DATA!$A:$H,3,0),0)</f>
        <v>0</v>
      </c>
      <c r="S511" s="8">
        <f>IFERROR(VLOOKUP(VALUE(A511),WEEKLY_DATA!$A:$H,4,0),0)</f>
        <v>0</v>
      </c>
      <c r="T511" s="51">
        <f>IFERROR(VLOOKUP(VALUE(A511),WEEKLY_DATA!$A:$H,5,0),0)</f>
        <v>0</v>
      </c>
      <c r="U511" s="51">
        <f>IFERROR(VLOOKUP(VALUE(A511),WEEKLY_DATA!$A:$H,6,0),0)</f>
        <v>0</v>
      </c>
      <c r="V511" s="51">
        <f>IFERROR(VLOOKUP(VALUE(A511),WEEKLY_DATA!$A:$H,7,0),0)</f>
        <v>0</v>
      </c>
      <c r="W511" s="9" t="str">
        <f>IFERROR(IF(OR(Q511="",Q511=0),"",IF(VLOOKUP(VALUE($A511),WEEKLY_DATA!$A:$H,6,0)=0,"No Sales",Q511/(VLOOKUP(VALUE($A511),WEEKLY_DATA!$A:$H,6,0)/13))),"")</f>
        <v/>
      </c>
      <c r="X511" s="10">
        <f>IFERROR(VLOOKUP(VALUE(A511),WEEKLY_DATA!$A:$H,8,0),0)</f>
        <v>0</v>
      </c>
      <c r="Y511" s="13" t="str">
        <f t="shared" si="14"/>
        <v>—</v>
      </c>
      <c r="Z511" s="11"/>
      <c r="AA511" s="11"/>
      <c r="AB511" s="11"/>
      <c r="AC511" s="11"/>
      <c r="AD511" s="11"/>
      <c r="AE511" s="11"/>
      <c r="AF511" s="61"/>
      <c r="AG511" s="61"/>
      <c r="AH511" s="62"/>
      <c r="AI511" s="62"/>
      <c r="AJ511" s="61"/>
      <c r="AK511" s="61"/>
      <c r="AL511" s="61"/>
      <c r="AM511" s="58"/>
      <c r="AN511" s="58"/>
      <c r="AO511" s="58"/>
      <c r="AP511" s="58"/>
      <c r="AQ511" s="58"/>
      <c r="AR511" s="58"/>
      <c r="AS511" s="91"/>
      <c r="AT511" s="93"/>
      <c r="AU511" s="93"/>
      <c r="AV511" s="93"/>
      <c r="AW511" s="93"/>
    </row>
    <row r="512" spans="1:49" x14ac:dyDescent="0.25">
      <c r="A512" s="59"/>
      <c r="B512" s="12"/>
      <c r="C512" s="12"/>
      <c r="D512" s="60"/>
      <c r="E512" s="6"/>
      <c r="F512" s="6"/>
      <c r="G512" s="12"/>
      <c r="H512" s="12"/>
      <c r="I512" s="12" t="str" cm="2">
        <f t="array" ref="I512">IFERROR(INDEX(BrandList!$B$2:$B$200,MATCH(TRUE,ISNUMBER(SEARCH(BrandList!$B$2:$B$200,G512)),0)),"")</f>
        <v/>
      </c>
      <c r="J512" s="12"/>
      <c r="K512" s="12"/>
      <c r="L512" s="60"/>
      <c r="M512" s="60"/>
      <c r="N512" s="60"/>
      <c r="O512" s="60"/>
      <c r="P512" s="7" t="str">
        <f t="shared" si="15"/>
        <v/>
      </c>
      <c r="Q512" s="8">
        <f>IFERROR(VLOOKUP(VALUE(A512),WEEKLY_DATA!$A:$H,2,0),0)</f>
        <v>0</v>
      </c>
      <c r="R512" s="8">
        <f>IFERROR(VLOOKUP(VALUE(A512),WEEKLY_DATA!$A:$H,3,0),0)</f>
        <v>0</v>
      </c>
      <c r="S512" s="8">
        <f>IFERROR(VLOOKUP(VALUE(A512),WEEKLY_DATA!$A:$H,4,0),0)</f>
        <v>0</v>
      </c>
      <c r="T512" s="51">
        <f>IFERROR(VLOOKUP(VALUE(A512),WEEKLY_DATA!$A:$H,5,0),0)</f>
        <v>0</v>
      </c>
      <c r="U512" s="51">
        <f>IFERROR(VLOOKUP(VALUE(A512),WEEKLY_DATA!$A:$H,6,0),0)</f>
        <v>0</v>
      </c>
      <c r="V512" s="51">
        <f>IFERROR(VLOOKUP(VALUE(A512),WEEKLY_DATA!$A:$H,7,0),0)</f>
        <v>0</v>
      </c>
      <c r="W512" s="9" t="str">
        <f>IFERROR(IF(OR(Q512="",Q512=0),"",IF(VLOOKUP(VALUE($A512),WEEKLY_DATA!$A:$H,6,0)=0,"No Sales",Q512/(VLOOKUP(VALUE($A512),WEEKLY_DATA!$A:$H,6,0)/13))),"")</f>
        <v/>
      </c>
      <c r="X512" s="10">
        <f>IFERROR(VLOOKUP(VALUE(A512),WEEKLY_DATA!$A:$H,8,0),0)</f>
        <v>0</v>
      </c>
      <c r="Y512" s="13" t="str">
        <f t="shared" si="14"/>
        <v>—</v>
      </c>
      <c r="Z512" s="11"/>
      <c r="AA512" s="11"/>
      <c r="AB512" s="11"/>
      <c r="AC512" s="11"/>
      <c r="AD512" s="11"/>
      <c r="AE512" s="11"/>
      <c r="AF512" s="61"/>
      <c r="AG512" s="61"/>
      <c r="AH512" s="62"/>
      <c r="AI512" s="62"/>
      <c r="AJ512" s="61"/>
      <c r="AK512" s="61"/>
      <c r="AL512" s="61"/>
      <c r="AM512" s="58"/>
      <c r="AN512" s="58"/>
      <c r="AO512" s="58"/>
      <c r="AP512" s="58"/>
      <c r="AQ512" s="58"/>
      <c r="AR512" s="58"/>
      <c r="AS512" s="91"/>
      <c r="AT512" s="93"/>
      <c r="AU512" s="93"/>
      <c r="AV512" s="93"/>
      <c r="AW512" s="93"/>
    </row>
    <row r="513" spans="1:49" x14ac:dyDescent="0.25">
      <c r="A513" s="59"/>
      <c r="B513" s="12"/>
      <c r="C513" s="12"/>
      <c r="D513" s="60"/>
      <c r="E513" s="6"/>
      <c r="F513" s="6"/>
      <c r="G513" s="12"/>
      <c r="H513" s="12"/>
      <c r="I513" s="12" t="str" cm="2">
        <f t="array" ref="I513">IFERROR(INDEX(BrandList!$B$2:$B$200,MATCH(TRUE,ISNUMBER(SEARCH(BrandList!$B$2:$B$200,G513)),0)),"")</f>
        <v/>
      </c>
      <c r="J513" s="12"/>
      <c r="K513" s="12"/>
      <c r="L513" s="60"/>
      <c r="M513" s="60"/>
      <c r="N513" s="60"/>
      <c r="O513" s="60"/>
      <c r="P513" s="7" t="str">
        <f t="shared" si="15"/>
        <v/>
      </c>
      <c r="Q513" s="8">
        <f>IFERROR(VLOOKUP(VALUE(A513),WEEKLY_DATA!$A:$H,2,0),0)</f>
        <v>0</v>
      </c>
      <c r="R513" s="8">
        <f>IFERROR(VLOOKUP(VALUE(A513),WEEKLY_DATA!$A:$H,3,0),0)</f>
        <v>0</v>
      </c>
      <c r="S513" s="8">
        <f>IFERROR(VLOOKUP(VALUE(A513),WEEKLY_DATA!$A:$H,4,0),0)</f>
        <v>0</v>
      </c>
      <c r="T513" s="51">
        <f>IFERROR(VLOOKUP(VALUE(A513),WEEKLY_DATA!$A:$H,5,0),0)</f>
        <v>0</v>
      </c>
      <c r="U513" s="51">
        <f>IFERROR(VLOOKUP(VALUE(A513),WEEKLY_DATA!$A:$H,6,0),0)</f>
        <v>0</v>
      </c>
      <c r="V513" s="51">
        <f>IFERROR(VLOOKUP(VALUE(A513),WEEKLY_DATA!$A:$H,7,0),0)</f>
        <v>0</v>
      </c>
      <c r="W513" s="9" t="str">
        <f>IFERROR(IF(OR(Q513="",Q513=0),"",IF(VLOOKUP(VALUE($A513),WEEKLY_DATA!$A:$H,6,0)=0,"No Sales",Q513/(VLOOKUP(VALUE($A513),WEEKLY_DATA!$A:$H,6,0)/13))),"")</f>
        <v/>
      </c>
      <c r="X513" s="10">
        <f>IFERROR(VLOOKUP(VALUE(A513),WEEKLY_DATA!$A:$H,8,0),0)</f>
        <v>0</v>
      </c>
      <c r="Y513" s="13" t="str">
        <f t="shared" si="14"/>
        <v>—</v>
      </c>
      <c r="Z513" s="11"/>
      <c r="AA513" s="11"/>
      <c r="AB513" s="11"/>
      <c r="AC513" s="11"/>
      <c r="AD513" s="11"/>
      <c r="AE513" s="11"/>
      <c r="AF513" s="61"/>
      <c r="AG513" s="61"/>
      <c r="AH513" s="62"/>
      <c r="AI513" s="62"/>
      <c r="AJ513" s="61"/>
      <c r="AK513" s="61"/>
      <c r="AL513" s="61"/>
      <c r="AM513" s="58"/>
      <c r="AN513" s="58"/>
      <c r="AO513" s="58"/>
      <c r="AP513" s="58"/>
      <c r="AQ513" s="58"/>
      <c r="AR513" s="58"/>
      <c r="AS513" s="91"/>
      <c r="AT513" s="93"/>
      <c r="AU513" s="93"/>
      <c r="AV513" s="93"/>
      <c r="AW513" s="93"/>
    </row>
    <row r="514" spans="1:49" x14ac:dyDescent="0.25">
      <c r="A514" s="59"/>
      <c r="B514" s="12"/>
      <c r="C514" s="12"/>
      <c r="D514" s="60"/>
      <c r="E514" s="6"/>
      <c r="F514" s="6"/>
      <c r="G514" s="12"/>
      <c r="H514" s="12"/>
      <c r="I514" s="12" t="str" cm="2">
        <f t="array" ref="I514">IFERROR(INDEX(BrandList!$B$2:$B$200,MATCH(TRUE,ISNUMBER(SEARCH(BrandList!$B$2:$B$200,G514)),0)),"")</f>
        <v/>
      </c>
      <c r="J514" s="12"/>
      <c r="K514" s="12"/>
      <c r="L514" s="60"/>
      <c r="M514" s="60"/>
      <c r="N514" s="60"/>
      <c r="O514" s="60"/>
      <c r="P514" s="7" t="str">
        <f t="shared" si="15"/>
        <v/>
      </c>
      <c r="Q514" s="8">
        <f>IFERROR(VLOOKUP(VALUE(A514),WEEKLY_DATA!$A:$H,2,0),0)</f>
        <v>0</v>
      </c>
      <c r="R514" s="8">
        <f>IFERROR(VLOOKUP(VALUE(A514),WEEKLY_DATA!$A:$H,3,0),0)</f>
        <v>0</v>
      </c>
      <c r="S514" s="8">
        <f>IFERROR(VLOOKUP(VALUE(A514),WEEKLY_DATA!$A:$H,4,0),0)</f>
        <v>0</v>
      </c>
      <c r="T514" s="51">
        <f>IFERROR(VLOOKUP(VALUE(A514),WEEKLY_DATA!$A:$H,5,0),0)</f>
        <v>0</v>
      </c>
      <c r="U514" s="51">
        <f>IFERROR(VLOOKUP(VALUE(A514),WEEKLY_DATA!$A:$H,6,0),0)</f>
        <v>0</v>
      </c>
      <c r="V514" s="51">
        <f>IFERROR(VLOOKUP(VALUE(A514),WEEKLY_DATA!$A:$H,7,0),0)</f>
        <v>0</v>
      </c>
      <c r="W514" s="9" t="str">
        <f>IFERROR(IF(OR(Q514="",Q514=0),"",IF(VLOOKUP(VALUE($A514),WEEKLY_DATA!$A:$H,6,0)=0,"No Sales",Q514/(VLOOKUP(VALUE($A514),WEEKLY_DATA!$A:$H,6,0)/13))),"")</f>
        <v/>
      </c>
      <c r="X514" s="10">
        <f>IFERROR(VLOOKUP(VALUE(A514),WEEKLY_DATA!$A:$H,8,0),0)</f>
        <v>0</v>
      </c>
      <c r="Y514" s="13" t="str">
        <f t="shared" si="14"/>
        <v>—</v>
      </c>
      <c r="Z514" s="11"/>
      <c r="AA514" s="11"/>
      <c r="AB514" s="11"/>
      <c r="AC514" s="11"/>
      <c r="AD514" s="11"/>
      <c r="AE514" s="11"/>
      <c r="AF514" s="61"/>
      <c r="AG514" s="61"/>
      <c r="AH514" s="62"/>
      <c r="AI514" s="62"/>
      <c r="AJ514" s="61"/>
      <c r="AK514" s="61"/>
      <c r="AL514" s="61"/>
      <c r="AM514" s="58"/>
      <c r="AN514" s="58"/>
      <c r="AO514" s="58"/>
      <c r="AP514" s="58"/>
      <c r="AQ514" s="58"/>
      <c r="AR514" s="58"/>
      <c r="AS514" s="91"/>
      <c r="AT514" s="93"/>
      <c r="AU514" s="93"/>
      <c r="AV514" s="93"/>
      <c r="AW514" s="93"/>
    </row>
    <row r="515" spans="1:49" x14ac:dyDescent="0.25">
      <c r="A515" s="59"/>
      <c r="B515" s="12"/>
      <c r="C515" s="12"/>
      <c r="D515" s="60"/>
      <c r="E515" s="6"/>
      <c r="F515" s="6"/>
      <c r="G515" s="12"/>
      <c r="H515" s="12"/>
      <c r="I515" s="12" t="str" cm="2">
        <f t="array" ref="I515">IFERROR(INDEX(BrandList!$B$2:$B$200,MATCH(TRUE,ISNUMBER(SEARCH(BrandList!$B$2:$B$200,G515)),0)),"")</f>
        <v/>
      </c>
      <c r="J515" s="12"/>
      <c r="K515" s="12"/>
      <c r="L515" s="60"/>
      <c r="M515" s="60"/>
      <c r="N515" s="60"/>
      <c r="O515" s="60"/>
      <c r="P515" s="7" t="str">
        <f t="shared" si="15"/>
        <v/>
      </c>
      <c r="Q515" s="8">
        <f>IFERROR(VLOOKUP(VALUE(A515),WEEKLY_DATA!$A:$H,2,0),0)</f>
        <v>0</v>
      </c>
      <c r="R515" s="8">
        <f>IFERROR(VLOOKUP(VALUE(A515),WEEKLY_DATA!$A:$H,3,0),0)</f>
        <v>0</v>
      </c>
      <c r="S515" s="8">
        <f>IFERROR(VLOOKUP(VALUE(A515),WEEKLY_DATA!$A:$H,4,0),0)</f>
        <v>0</v>
      </c>
      <c r="T515" s="51">
        <f>IFERROR(VLOOKUP(VALUE(A515),WEEKLY_DATA!$A:$H,5,0),0)</f>
        <v>0</v>
      </c>
      <c r="U515" s="51">
        <f>IFERROR(VLOOKUP(VALUE(A515),WEEKLY_DATA!$A:$H,6,0),0)</f>
        <v>0</v>
      </c>
      <c r="V515" s="51">
        <f>IFERROR(VLOOKUP(VALUE(A515),WEEKLY_DATA!$A:$H,7,0),0)</f>
        <v>0</v>
      </c>
      <c r="W515" s="9" t="str">
        <f>IFERROR(IF(OR(Q515="",Q515=0),"",IF(VLOOKUP(VALUE($A515),WEEKLY_DATA!$A:$H,6,0)=0,"No Sales",Q515/(VLOOKUP(VALUE($A515),WEEKLY_DATA!$A:$H,6,0)/13))),"")</f>
        <v/>
      </c>
      <c r="X515" s="10">
        <f>IFERROR(VLOOKUP(VALUE(A515),WEEKLY_DATA!$A:$H,8,0),0)</f>
        <v>0</v>
      </c>
      <c r="Y515" s="13" t="str">
        <f t="shared" si="14"/>
        <v>—</v>
      </c>
      <c r="Z515" s="11"/>
      <c r="AA515" s="11"/>
      <c r="AB515" s="11"/>
      <c r="AC515" s="11"/>
      <c r="AD515" s="11"/>
      <c r="AE515" s="11"/>
      <c r="AF515" s="61"/>
      <c r="AG515" s="61"/>
      <c r="AH515" s="62"/>
      <c r="AI515" s="62"/>
      <c r="AJ515" s="61"/>
      <c r="AK515" s="61"/>
      <c r="AL515" s="61"/>
      <c r="AM515" s="58"/>
      <c r="AN515" s="58"/>
      <c r="AO515" s="58"/>
      <c r="AP515" s="58"/>
      <c r="AQ515" s="58"/>
      <c r="AR515" s="58"/>
      <c r="AS515" s="91"/>
      <c r="AT515" s="93"/>
      <c r="AU515" s="93"/>
      <c r="AV515" s="93"/>
      <c r="AW515" s="93"/>
    </row>
    <row r="516" spans="1:49" x14ac:dyDescent="0.25">
      <c r="A516" s="59"/>
      <c r="B516" s="12"/>
      <c r="C516" s="12"/>
      <c r="D516" s="60"/>
      <c r="E516" s="6"/>
      <c r="F516" s="6"/>
      <c r="G516" s="12"/>
      <c r="H516" s="12"/>
      <c r="I516" s="12" t="str" cm="2">
        <f t="array" ref="I516">IFERROR(INDEX(BrandList!$B$2:$B$200,MATCH(TRUE,ISNUMBER(SEARCH(BrandList!$B$2:$B$200,G516)),0)),"")</f>
        <v/>
      </c>
      <c r="J516" s="12"/>
      <c r="K516" s="12"/>
      <c r="L516" s="60"/>
      <c r="M516" s="60"/>
      <c r="N516" s="60"/>
      <c r="O516" s="60"/>
      <c r="P516" s="7" t="str">
        <f t="shared" si="15"/>
        <v/>
      </c>
      <c r="Q516" s="8">
        <f>IFERROR(VLOOKUP(VALUE(A516),WEEKLY_DATA!$A:$H,2,0),0)</f>
        <v>0</v>
      </c>
      <c r="R516" s="8">
        <f>IFERROR(VLOOKUP(VALUE(A516),WEEKLY_DATA!$A:$H,3,0),0)</f>
        <v>0</v>
      </c>
      <c r="S516" s="8">
        <f>IFERROR(VLOOKUP(VALUE(A516),WEEKLY_DATA!$A:$H,4,0),0)</f>
        <v>0</v>
      </c>
      <c r="T516" s="51">
        <f>IFERROR(VLOOKUP(VALUE(A516),WEEKLY_DATA!$A:$H,5,0),0)</f>
        <v>0</v>
      </c>
      <c r="U516" s="51">
        <f>IFERROR(VLOOKUP(VALUE(A516),WEEKLY_DATA!$A:$H,6,0),0)</f>
        <v>0</v>
      </c>
      <c r="V516" s="51">
        <f>IFERROR(VLOOKUP(VALUE(A516),WEEKLY_DATA!$A:$H,7,0),0)</f>
        <v>0</v>
      </c>
      <c r="W516" s="9" t="str">
        <f>IFERROR(IF(OR(Q516="",Q516=0),"",IF(VLOOKUP(VALUE($A516),WEEKLY_DATA!$A:$H,6,0)=0,"No Sales",Q516/(VLOOKUP(VALUE($A516),WEEKLY_DATA!$A:$H,6,0)/13))),"")</f>
        <v/>
      </c>
      <c r="X516" s="10">
        <f>IFERROR(VLOOKUP(VALUE(A516),WEEKLY_DATA!$A:$H,8,0),0)</f>
        <v>0</v>
      </c>
      <c r="Y516" s="13" t="str">
        <f t="shared" si="14"/>
        <v>—</v>
      </c>
      <c r="Z516" s="11"/>
      <c r="AA516" s="11"/>
      <c r="AB516" s="11"/>
      <c r="AC516" s="11"/>
      <c r="AD516" s="11"/>
      <c r="AE516" s="11"/>
      <c r="AF516" s="61"/>
      <c r="AG516" s="61"/>
      <c r="AH516" s="62"/>
      <c r="AI516" s="62"/>
      <c r="AJ516" s="61"/>
      <c r="AK516" s="61"/>
      <c r="AL516" s="61"/>
      <c r="AM516" s="58"/>
      <c r="AN516" s="58"/>
      <c r="AO516" s="58"/>
      <c r="AP516" s="58"/>
      <c r="AQ516" s="58"/>
      <c r="AR516" s="58"/>
      <c r="AS516" s="91"/>
      <c r="AT516" s="93"/>
      <c r="AU516" s="93"/>
      <c r="AV516" s="93"/>
      <c r="AW516" s="93"/>
    </row>
    <row r="517" spans="1:49" x14ac:dyDescent="0.25">
      <c r="A517" s="59"/>
      <c r="B517" s="12"/>
      <c r="C517" s="12"/>
      <c r="D517" s="60"/>
      <c r="E517" s="6"/>
      <c r="F517" s="6"/>
      <c r="G517" s="12"/>
      <c r="H517" s="12"/>
      <c r="I517" s="12" t="str" cm="2">
        <f t="array" ref="I517">IFERROR(INDEX(BrandList!$B$2:$B$200,MATCH(TRUE,ISNUMBER(SEARCH(BrandList!$B$2:$B$200,G517)),0)),"")</f>
        <v/>
      </c>
      <c r="J517" s="12"/>
      <c r="K517" s="12"/>
      <c r="L517" s="60"/>
      <c r="M517" s="60"/>
      <c r="N517" s="60"/>
      <c r="O517" s="60"/>
      <c r="P517" s="7" t="str">
        <f t="shared" si="15"/>
        <v/>
      </c>
      <c r="Q517" s="8">
        <f>IFERROR(VLOOKUP(VALUE(A517),WEEKLY_DATA!$A:$H,2,0),0)</f>
        <v>0</v>
      </c>
      <c r="R517" s="8">
        <f>IFERROR(VLOOKUP(VALUE(A517),WEEKLY_DATA!$A:$H,3,0),0)</f>
        <v>0</v>
      </c>
      <c r="S517" s="8">
        <f>IFERROR(VLOOKUP(VALUE(A517),WEEKLY_DATA!$A:$H,4,0),0)</f>
        <v>0</v>
      </c>
      <c r="T517" s="51">
        <f>IFERROR(VLOOKUP(VALUE(A517),WEEKLY_DATA!$A:$H,5,0),0)</f>
        <v>0</v>
      </c>
      <c r="U517" s="51">
        <f>IFERROR(VLOOKUP(VALUE(A517),WEEKLY_DATA!$A:$H,6,0),0)</f>
        <v>0</v>
      </c>
      <c r="V517" s="51">
        <f>IFERROR(VLOOKUP(VALUE(A517),WEEKLY_DATA!$A:$H,7,0),0)</f>
        <v>0</v>
      </c>
      <c r="W517" s="9" t="str">
        <f>IFERROR(IF(OR(Q517="",Q517=0),"",IF(VLOOKUP(VALUE($A517),WEEKLY_DATA!$A:$H,6,0)=0,"No Sales",Q517/(VLOOKUP(VALUE($A517),WEEKLY_DATA!$A:$H,6,0)/13))),"")</f>
        <v/>
      </c>
      <c r="X517" s="10">
        <f>IFERROR(VLOOKUP(VALUE(A517),WEEKLY_DATA!$A:$H,8,0),0)</f>
        <v>0</v>
      </c>
      <c r="Y517" s="13" t="str">
        <f t="shared" si="14"/>
        <v>—</v>
      </c>
      <c r="Z517" s="11"/>
      <c r="AA517" s="11"/>
      <c r="AB517" s="11"/>
      <c r="AC517" s="11"/>
      <c r="AD517" s="11"/>
      <c r="AE517" s="11"/>
      <c r="AF517" s="61"/>
      <c r="AG517" s="61"/>
      <c r="AH517" s="62"/>
      <c r="AI517" s="62"/>
      <c r="AJ517" s="61"/>
      <c r="AK517" s="61"/>
      <c r="AL517" s="61"/>
      <c r="AM517" s="58"/>
      <c r="AN517" s="58"/>
      <c r="AO517" s="58"/>
      <c r="AP517" s="58"/>
      <c r="AQ517" s="58"/>
      <c r="AR517" s="58"/>
      <c r="AS517" s="91"/>
      <c r="AT517" s="93"/>
      <c r="AU517" s="93"/>
      <c r="AV517" s="93"/>
      <c r="AW517" s="93"/>
    </row>
    <row r="518" spans="1:49" x14ac:dyDescent="0.25">
      <c r="A518" s="59"/>
      <c r="B518" s="12"/>
      <c r="C518" s="12"/>
      <c r="D518" s="60"/>
      <c r="E518" s="6"/>
      <c r="F518" s="6"/>
      <c r="G518" s="12"/>
      <c r="H518" s="12"/>
      <c r="I518" s="12" t="str" cm="2">
        <f t="array" ref="I518">IFERROR(INDEX(BrandList!$B$2:$B$200,MATCH(TRUE,ISNUMBER(SEARCH(BrandList!$B$2:$B$200,G518)),0)),"")</f>
        <v/>
      </c>
      <c r="J518" s="12"/>
      <c r="K518" s="12"/>
      <c r="L518" s="60"/>
      <c r="M518" s="60"/>
      <c r="N518" s="60"/>
      <c r="O518" s="60"/>
      <c r="P518" s="7" t="str">
        <f t="shared" si="15"/>
        <v/>
      </c>
      <c r="Q518" s="8">
        <f>IFERROR(VLOOKUP(VALUE(A518),WEEKLY_DATA!$A:$H,2,0),0)</f>
        <v>0</v>
      </c>
      <c r="R518" s="8">
        <f>IFERROR(VLOOKUP(VALUE(A518),WEEKLY_DATA!$A:$H,3,0),0)</f>
        <v>0</v>
      </c>
      <c r="S518" s="8">
        <f>IFERROR(VLOOKUP(VALUE(A518),WEEKLY_DATA!$A:$H,4,0),0)</f>
        <v>0</v>
      </c>
      <c r="T518" s="51">
        <f>IFERROR(VLOOKUP(VALUE(A518),WEEKLY_DATA!$A:$H,5,0),0)</f>
        <v>0</v>
      </c>
      <c r="U518" s="51">
        <f>IFERROR(VLOOKUP(VALUE(A518),WEEKLY_DATA!$A:$H,6,0),0)</f>
        <v>0</v>
      </c>
      <c r="V518" s="51">
        <f>IFERROR(VLOOKUP(VALUE(A518),WEEKLY_DATA!$A:$H,7,0),0)</f>
        <v>0</v>
      </c>
      <c r="W518" s="9" t="str">
        <f>IFERROR(IF(OR(Q518="",Q518=0),"",IF(VLOOKUP(VALUE($A518),WEEKLY_DATA!$A:$H,6,0)=0,"No Sales",Q518/(VLOOKUP(VALUE($A518),WEEKLY_DATA!$A:$H,6,0)/13))),"")</f>
        <v/>
      </c>
      <c r="X518" s="10">
        <f>IFERROR(VLOOKUP(VALUE(A518),WEEKLY_DATA!$A:$H,8,0),0)</f>
        <v>0</v>
      </c>
      <c r="Y518" s="13" t="str">
        <f t="shared" ref="Y518:Y581" si="16">IFERROR(
IF(J518="Discontinued","🔴 EOL",
IF(J518="Drop Ship","📦 Drop Ship",
IF(J518="New","🆕 New",
IF(W518="","—",
IF(W518&lt;2,"🔴 Critical",
IF(W518&lt;4,"🟡 Low",
IF(W518&gt;26,"🔵 Overstock","🟢 Healthy")
)))))),"")</f>
        <v>—</v>
      </c>
      <c r="Z518" s="11"/>
      <c r="AA518" s="11"/>
      <c r="AB518" s="11"/>
      <c r="AC518" s="11"/>
      <c r="AD518" s="11"/>
      <c r="AE518" s="11"/>
      <c r="AF518" s="61"/>
      <c r="AG518" s="61"/>
      <c r="AH518" s="62"/>
      <c r="AI518" s="62"/>
      <c r="AJ518" s="61"/>
      <c r="AK518" s="61"/>
      <c r="AL518" s="61"/>
      <c r="AM518" s="58"/>
      <c r="AN518" s="58"/>
      <c r="AO518" s="58"/>
      <c r="AP518" s="58"/>
      <c r="AQ518" s="58"/>
      <c r="AR518" s="58"/>
      <c r="AS518" s="91"/>
      <c r="AT518" s="93"/>
      <c r="AU518" s="93"/>
      <c r="AV518" s="93"/>
      <c r="AW518" s="93"/>
    </row>
    <row r="519" spans="1:49" x14ac:dyDescent="0.25">
      <c r="A519" s="59"/>
      <c r="B519" s="12"/>
      <c r="C519" s="12"/>
      <c r="D519" s="60"/>
      <c r="E519" s="6"/>
      <c r="F519" s="6"/>
      <c r="G519" s="12"/>
      <c r="H519" s="12"/>
      <c r="I519" s="12" t="str" cm="2">
        <f t="array" ref="I519">IFERROR(INDEX(BrandList!$B$2:$B$200,MATCH(TRUE,ISNUMBER(SEARCH(BrandList!$B$2:$B$200,G519)),0)),"")</f>
        <v/>
      </c>
      <c r="J519" s="12"/>
      <c r="K519" s="12"/>
      <c r="L519" s="60"/>
      <c r="M519" s="60"/>
      <c r="N519" s="60"/>
      <c r="O519" s="60"/>
      <c r="P519" s="7" t="str">
        <f t="shared" ref="P519:P582" si="17">IFERROR(IF(OR(E519="",F519="",F519=0),"",(F519-E519)/F519),"")</f>
        <v/>
      </c>
      <c r="Q519" s="8">
        <f>IFERROR(VLOOKUP(VALUE(A519),WEEKLY_DATA!$A:$H,2,0),0)</f>
        <v>0</v>
      </c>
      <c r="R519" s="8">
        <f>IFERROR(VLOOKUP(VALUE(A519),WEEKLY_DATA!$A:$H,3,0),0)</f>
        <v>0</v>
      </c>
      <c r="S519" s="8">
        <f>IFERROR(VLOOKUP(VALUE(A519),WEEKLY_DATA!$A:$H,4,0),0)</f>
        <v>0</v>
      </c>
      <c r="T519" s="51">
        <f>IFERROR(VLOOKUP(VALUE(A519),WEEKLY_DATA!$A:$H,5,0),0)</f>
        <v>0</v>
      </c>
      <c r="U519" s="51">
        <f>IFERROR(VLOOKUP(VALUE(A519),WEEKLY_DATA!$A:$H,6,0),0)</f>
        <v>0</v>
      </c>
      <c r="V519" s="51">
        <f>IFERROR(VLOOKUP(VALUE(A519),WEEKLY_DATA!$A:$H,7,0),0)</f>
        <v>0</v>
      </c>
      <c r="W519" s="9" t="str">
        <f>IFERROR(IF(OR(Q519="",Q519=0),"",IF(VLOOKUP(VALUE($A519),WEEKLY_DATA!$A:$H,6,0)=0,"No Sales",Q519/(VLOOKUP(VALUE($A519),WEEKLY_DATA!$A:$H,6,0)/13))),"")</f>
        <v/>
      </c>
      <c r="X519" s="10">
        <f>IFERROR(VLOOKUP(VALUE(A519),WEEKLY_DATA!$A:$H,8,0),0)</f>
        <v>0</v>
      </c>
      <c r="Y519" s="13" t="str">
        <f t="shared" si="16"/>
        <v>—</v>
      </c>
      <c r="Z519" s="11"/>
      <c r="AA519" s="11"/>
      <c r="AB519" s="11"/>
      <c r="AC519" s="11"/>
      <c r="AD519" s="11"/>
      <c r="AE519" s="11"/>
      <c r="AF519" s="61"/>
      <c r="AG519" s="61"/>
      <c r="AH519" s="62"/>
      <c r="AI519" s="62"/>
      <c r="AJ519" s="61"/>
      <c r="AK519" s="61"/>
      <c r="AL519" s="61"/>
      <c r="AM519" s="58"/>
      <c r="AN519" s="58"/>
      <c r="AO519" s="58"/>
      <c r="AP519" s="58"/>
      <c r="AQ519" s="58"/>
      <c r="AR519" s="58"/>
      <c r="AS519" s="91"/>
      <c r="AT519" s="93"/>
      <c r="AU519" s="93"/>
      <c r="AV519" s="93"/>
      <c r="AW519" s="93"/>
    </row>
    <row r="520" spans="1:49" x14ac:dyDescent="0.25">
      <c r="A520" s="59"/>
      <c r="B520" s="12"/>
      <c r="C520" s="12"/>
      <c r="D520" s="60"/>
      <c r="E520" s="6"/>
      <c r="F520" s="6"/>
      <c r="G520" s="12"/>
      <c r="H520" s="12"/>
      <c r="I520" s="12" t="str" cm="2">
        <f t="array" ref="I520">IFERROR(INDEX(BrandList!$B$2:$B$200,MATCH(TRUE,ISNUMBER(SEARCH(BrandList!$B$2:$B$200,G520)),0)),"")</f>
        <v/>
      </c>
      <c r="J520" s="12"/>
      <c r="K520" s="12"/>
      <c r="L520" s="60"/>
      <c r="M520" s="60"/>
      <c r="N520" s="60"/>
      <c r="O520" s="60"/>
      <c r="P520" s="7" t="str">
        <f t="shared" si="17"/>
        <v/>
      </c>
      <c r="Q520" s="8">
        <f>IFERROR(VLOOKUP(VALUE(A520),WEEKLY_DATA!$A:$H,2,0),0)</f>
        <v>0</v>
      </c>
      <c r="R520" s="8">
        <f>IFERROR(VLOOKUP(VALUE(A520),WEEKLY_DATA!$A:$H,3,0),0)</f>
        <v>0</v>
      </c>
      <c r="S520" s="8">
        <f>IFERROR(VLOOKUP(VALUE(A520),WEEKLY_DATA!$A:$H,4,0),0)</f>
        <v>0</v>
      </c>
      <c r="T520" s="51">
        <f>IFERROR(VLOOKUP(VALUE(A520),WEEKLY_DATA!$A:$H,5,0),0)</f>
        <v>0</v>
      </c>
      <c r="U520" s="51">
        <f>IFERROR(VLOOKUP(VALUE(A520),WEEKLY_DATA!$A:$H,6,0),0)</f>
        <v>0</v>
      </c>
      <c r="V520" s="51">
        <f>IFERROR(VLOOKUP(VALUE(A520),WEEKLY_DATA!$A:$H,7,0),0)</f>
        <v>0</v>
      </c>
      <c r="W520" s="9" t="str">
        <f>IFERROR(IF(OR(Q520="",Q520=0),"",IF(VLOOKUP(VALUE($A520),WEEKLY_DATA!$A:$H,6,0)=0,"No Sales",Q520/(VLOOKUP(VALUE($A520),WEEKLY_DATA!$A:$H,6,0)/13))),"")</f>
        <v/>
      </c>
      <c r="X520" s="10">
        <f>IFERROR(VLOOKUP(VALUE(A520),WEEKLY_DATA!$A:$H,8,0),0)</f>
        <v>0</v>
      </c>
      <c r="Y520" s="13" t="str">
        <f t="shared" si="16"/>
        <v>—</v>
      </c>
      <c r="Z520" s="11"/>
      <c r="AA520" s="11"/>
      <c r="AB520" s="11"/>
      <c r="AC520" s="11"/>
      <c r="AD520" s="11"/>
      <c r="AE520" s="11"/>
      <c r="AF520" s="61"/>
      <c r="AG520" s="61"/>
      <c r="AH520" s="62"/>
      <c r="AI520" s="62"/>
      <c r="AJ520" s="61"/>
      <c r="AK520" s="61"/>
      <c r="AL520" s="61"/>
      <c r="AM520" s="58"/>
      <c r="AN520" s="58"/>
      <c r="AO520" s="58"/>
      <c r="AP520" s="58"/>
      <c r="AQ520" s="58"/>
      <c r="AR520" s="58"/>
      <c r="AS520" s="91"/>
      <c r="AT520" s="93"/>
      <c r="AU520" s="93"/>
      <c r="AV520" s="93"/>
      <c r="AW520" s="93"/>
    </row>
    <row r="521" spans="1:49" x14ac:dyDescent="0.25">
      <c r="A521" s="59"/>
      <c r="B521" s="12"/>
      <c r="C521" s="12"/>
      <c r="D521" s="60"/>
      <c r="E521" s="6"/>
      <c r="F521" s="6"/>
      <c r="G521" s="12"/>
      <c r="H521" s="12"/>
      <c r="I521" s="12" t="str" cm="2">
        <f t="array" ref="I521">IFERROR(INDEX(BrandList!$B$2:$B$200,MATCH(TRUE,ISNUMBER(SEARCH(BrandList!$B$2:$B$200,G521)),0)),"")</f>
        <v/>
      </c>
      <c r="J521" s="12"/>
      <c r="K521" s="12"/>
      <c r="L521" s="60"/>
      <c r="M521" s="60"/>
      <c r="N521" s="60"/>
      <c r="O521" s="60"/>
      <c r="P521" s="7" t="str">
        <f t="shared" si="17"/>
        <v/>
      </c>
      <c r="Q521" s="8">
        <f>IFERROR(VLOOKUP(VALUE(A521),WEEKLY_DATA!$A:$H,2,0),0)</f>
        <v>0</v>
      </c>
      <c r="R521" s="8">
        <f>IFERROR(VLOOKUP(VALUE(A521),WEEKLY_DATA!$A:$H,3,0),0)</f>
        <v>0</v>
      </c>
      <c r="S521" s="8">
        <f>IFERROR(VLOOKUP(VALUE(A521),WEEKLY_DATA!$A:$H,4,0),0)</f>
        <v>0</v>
      </c>
      <c r="T521" s="51">
        <f>IFERROR(VLOOKUP(VALUE(A521),WEEKLY_DATA!$A:$H,5,0),0)</f>
        <v>0</v>
      </c>
      <c r="U521" s="51">
        <f>IFERROR(VLOOKUP(VALUE(A521),WEEKLY_DATA!$A:$H,6,0),0)</f>
        <v>0</v>
      </c>
      <c r="V521" s="51">
        <f>IFERROR(VLOOKUP(VALUE(A521),WEEKLY_DATA!$A:$H,7,0),0)</f>
        <v>0</v>
      </c>
      <c r="W521" s="9" t="str">
        <f>IFERROR(IF(OR(Q521="",Q521=0),"",IF(VLOOKUP(VALUE($A521),WEEKLY_DATA!$A:$H,6,0)=0,"No Sales",Q521/(VLOOKUP(VALUE($A521),WEEKLY_DATA!$A:$H,6,0)/13))),"")</f>
        <v/>
      </c>
      <c r="X521" s="10">
        <f>IFERROR(VLOOKUP(VALUE(A521),WEEKLY_DATA!$A:$H,8,0),0)</f>
        <v>0</v>
      </c>
      <c r="Y521" s="13" t="str">
        <f t="shared" si="16"/>
        <v>—</v>
      </c>
      <c r="Z521" s="11"/>
      <c r="AA521" s="11"/>
      <c r="AB521" s="11"/>
      <c r="AC521" s="11"/>
      <c r="AD521" s="11"/>
      <c r="AE521" s="11"/>
      <c r="AF521" s="61"/>
      <c r="AG521" s="61"/>
      <c r="AH521" s="62"/>
      <c r="AI521" s="62"/>
      <c r="AJ521" s="61"/>
      <c r="AK521" s="61"/>
      <c r="AL521" s="61"/>
      <c r="AM521" s="58"/>
      <c r="AN521" s="58"/>
      <c r="AO521" s="58"/>
      <c r="AP521" s="58"/>
      <c r="AQ521" s="58"/>
      <c r="AR521" s="58"/>
      <c r="AS521" s="91"/>
      <c r="AT521" s="93"/>
      <c r="AU521" s="93"/>
      <c r="AV521" s="93"/>
      <c r="AW521" s="93"/>
    </row>
    <row r="522" spans="1:49" x14ac:dyDescent="0.25">
      <c r="A522" s="59"/>
      <c r="B522" s="12"/>
      <c r="C522" s="12"/>
      <c r="D522" s="60"/>
      <c r="E522" s="6"/>
      <c r="F522" s="6"/>
      <c r="G522" s="12"/>
      <c r="H522" s="12"/>
      <c r="I522" s="12" t="str" cm="2">
        <f t="array" ref="I522">IFERROR(INDEX(BrandList!$B$2:$B$200,MATCH(TRUE,ISNUMBER(SEARCH(BrandList!$B$2:$B$200,G522)),0)),"")</f>
        <v/>
      </c>
      <c r="J522" s="12"/>
      <c r="K522" s="12"/>
      <c r="L522" s="60"/>
      <c r="M522" s="60"/>
      <c r="N522" s="60"/>
      <c r="O522" s="60"/>
      <c r="P522" s="7" t="str">
        <f t="shared" si="17"/>
        <v/>
      </c>
      <c r="Q522" s="8">
        <f>IFERROR(VLOOKUP(VALUE(A522),WEEKLY_DATA!$A:$H,2,0),0)</f>
        <v>0</v>
      </c>
      <c r="R522" s="8">
        <f>IFERROR(VLOOKUP(VALUE(A522),WEEKLY_DATA!$A:$H,3,0),0)</f>
        <v>0</v>
      </c>
      <c r="S522" s="8">
        <f>IFERROR(VLOOKUP(VALUE(A522),WEEKLY_DATA!$A:$H,4,0),0)</f>
        <v>0</v>
      </c>
      <c r="T522" s="51">
        <f>IFERROR(VLOOKUP(VALUE(A522),WEEKLY_DATA!$A:$H,5,0),0)</f>
        <v>0</v>
      </c>
      <c r="U522" s="51">
        <f>IFERROR(VLOOKUP(VALUE(A522),WEEKLY_DATA!$A:$H,6,0),0)</f>
        <v>0</v>
      </c>
      <c r="V522" s="51">
        <f>IFERROR(VLOOKUP(VALUE(A522),WEEKLY_DATA!$A:$H,7,0),0)</f>
        <v>0</v>
      </c>
      <c r="W522" s="9" t="str">
        <f>IFERROR(IF(OR(Q522="",Q522=0),"",IF(VLOOKUP(VALUE($A522),WEEKLY_DATA!$A:$H,6,0)=0,"No Sales",Q522/(VLOOKUP(VALUE($A522),WEEKLY_DATA!$A:$H,6,0)/13))),"")</f>
        <v/>
      </c>
      <c r="X522" s="10">
        <f>IFERROR(VLOOKUP(VALUE(A522),WEEKLY_DATA!$A:$H,8,0),0)</f>
        <v>0</v>
      </c>
      <c r="Y522" s="13" t="str">
        <f t="shared" si="16"/>
        <v>—</v>
      </c>
      <c r="Z522" s="11"/>
      <c r="AA522" s="11"/>
      <c r="AB522" s="11"/>
      <c r="AC522" s="11"/>
      <c r="AD522" s="11"/>
      <c r="AE522" s="11"/>
      <c r="AF522" s="61"/>
      <c r="AG522" s="61"/>
      <c r="AH522" s="62"/>
      <c r="AI522" s="62"/>
      <c r="AJ522" s="61"/>
      <c r="AK522" s="61"/>
      <c r="AL522" s="61"/>
      <c r="AM522" s="58"/>
      <c r="AN522" s="58"/>
      <c r="AO522" s="58"/>
      <c r="AP522" s="58"/>
      <c r="AQ522" s="58"/>
      <c r="AR522" s="58"/>
      <c r="AS522" s="91"/>
      <c r="AT522" s="93"/>
      <c r="AU522" s="93"/>
      <c r="AV522" s="93"/>
      <c r="AW522" s="93"/>
    </row>
    <row r="523" spans="1:49" x14ac:dyDescent="0.25">
      <c r="A523" s="59"/>
      <c r="B523" s="12"/>
      <c r="C523" s="12"/>
      <c r="D523" s="60"/>
      <c r="E523" s="6"/>
      <c r="F523" s="6"/>
      <c r="G523" s="12"/>
      <c r="H523" s="12"/>
      <c r="I523" s="12" t="str" cm="2">
        <f t="array" ref="I523">IFERROR(INDEX(BrandList!$B$2:$B$200,MATCH(TRUE,ISNUMBER(SEARCH(BrandList!$B$2:$B$200,G523)),0)),"")</f>
        <v/>
      </c>
      <c r="J523" s="12"/>
      <c r="K523" s="12"/>
      <c r="L523" s="60"/>
      <c r="M523" s="60"/>
      <c r="N523" s="60"/>
      <c r="O523" s="60"/>
      <c r="P523" s="7" t="str">
        <f t="shared" si="17"/>
        <v/>
      </c>
      <c r="Q523" s="8">
        <f>IFERROR(VLOOKUP(VALUE(A523),WEEKLY_DATA!$A:$H,2,0),0)</f>
        <v>0</v>
      </c>
      <c r="R523" s="8">
        <f>IFERROR(VLOOKUP(VALUE(A523),WEEKLY_DATA!$A:$H,3,0),0)</f>
        <v>0</v>
      </c>
      <c r="S523" s="8">
        <f>IFERROR(VLOOKUP(VALUE(A523),WEEKLY_DATA!$A:$H,4,0),0)</f>
        <v>0</v>
      </c>
      <c r="T523" s="51">
        <f>IFERROR(VLOOKUP(VALUE(A523),WEEKLY_DATA!$A:$H,5,0),0)</f>
        <v>0</v>
      </c>
      <c r="U523" s="51">
        <f>IFERROR(VLOOKUP(VALUE(A523),WEEKLY_DATA!$A:$H,6,0),0)</f>
        <v>0</v>
      </c>
      <c r="V523" s="51">
        <f>IFERROR(VLOOKUP(VALUE(A523),WEEKLY_DATA!$A:$H,7,0),0)</f>
        <v>0</v>
      </c>
      <c r="W523" s="9" t="str">
        <f>IFERROR(IF(OR(Q523="",Q523=0),"",IF(VLOOKUP(VALUE($A523),WEEKLY_DATA!$A:$H,6,0)=0,"No Sales",Q523/(VLOOKUP(VALUE($A523),WEEKLY_DATA!$A:$H,6,0)/13))),"")</f>
        <v/>
      </c>
      <c r="X523" s="10">
        <f>IFERROR(VLOOKUP(VALUE(A523),WEEKLY_DATA!$A:$H,8,0),0)</f>
        <v>0</v>
      </c>
      <c r="Y523" s="13" t="str">
        <f t="shared" si="16"/>
        <v>—</v>
      </c>
      <c r="Z523" s="11"/>
      <c r="AA523" s="11"/>
      <c r="AB523" s="11"/>
      <c r="AC523" s="11"/>
      <c r="AD523" s="11"/>
      <c r="AE523" s="11"/>
      <c r="AF523" s="61"/>
      <c r="AG523" s="61"/>
      <c r="AH523" s="62"/>
      <c r="AI523" s="62"/>
      <c r="AJ523" s="61"/>
      <c r="AK523" s="61"/>
      <c r="AL523" s="61"/>
      <c r="AM523" s="58"/>
      <c r="AN523" s="58"/>
      <c r="AO523" s="58"/>
      <c r="AP523" s="58"/>
      <c r="AQ523" s="58"/>
      <c r="AR523" s="58"/>
      <c r="AS523" s="91"/>
      <c r="AT523" s="93"/>
      <c r="AU523" s="93"/>
      <c r="AV523" s="93"/>
      <c r="AW523" s="93"/>
    </row>
    <row r="524" spans="1:49" x14ac:dyDescent="0.25">
      <c r="A524" s="59"/>
      <c r="B524" s="12"/>
      <c r="C524" s="12"/>
      <c r="D524" s="60"/>
      <c r="E524" s="6"/>
      <c r="F524" s="6"/>
      <c r="G524" s="12"/>
      <c r="H524" s="12"/>
      <c r="I524" s="12" t="str" cm="2">
        <f t="array" ref="I524">IFERROR(INDEX(BrandList!$B$2:$B$200,MATCH(TRUE,ISNUMBER(SEARCH(BrandList!$B$2:$B$200,G524)),0)),"")</f>
        <v/>
      </c>
      <c r="J524" s="12"/>
      <c r="K524" s="12"/>
      <c r="L524" s="60"/>
      <c r="M524" s="60"/>
      <c r="N524" s="60"/>
      <c r="O524" s="60"/>
      <c r="P524" s="7" t="str">
        <f t="shared" si="17"/>
        <v/>
      </c>
      <c r="Q524" s="8">
        <f>IFERROR(VLOOKUP(VALUE(A524),WEEKLY_DATA!$A:$H,2,0),0)</f>
        <v>0</v>
      </c>
      <c r="R524" s="8">
        <f>IFERROR(VLOOKUP(VALUE(A524),WEEKLY_DATA!$A:$H,3,0),0)</f>
        <v>0</v>
      </c>
      <c r="S524" s="8">
        <f>IFERROR(VLOOKUP(VALUE(A524),WEEKLY_DATA!$A:$H,4,0),0)</f>
        <v>0</v>
      </c>
      <c r="T524" s="51">
        <f>IFERROR(VLOOKUP(VALUE(A524),WEEKLY_DATA!$A:$H,5,0),0)</f>
        <v>0</v>
      </c>
      <c r="U524" s="51">
        <f>IFERROR(VLOOKUP(VALUE(A524),WEEKLY_DATA!$A:$H,6,0),0)</f>
        <v>0</v>
      </c>
      <c r="V524" s="51">
        <f>IFERROR(VLOOKUP(VALUE(A524),WEEKLY_DATA!$A:$H,7,0),0)</f>
        <v>0</v>
      </c>
      <c r="W524" s="9" t="str">
        <f>IFERROR(IF(OR(Q524="",Q524=0),"",IF(VLOOKUP(VALUE($A524),WEEKLY_DATA!$A:$H,6,0)=0,"No Sales",Q524/(VLOOKUP(VALUE($A524),WEEKLY_DATA!$A:$H,6,0)/13))),"")</f>
        <v/>
      </c>
      <c r="X524" s="10">
        <f>IFERROR(VLOOKUP(VALUE(A524),WEEKLY_DATA!$A:$H,8,0),0)</f>
        <v>0</v>
      </c>
      <c r="Y524" s="13" t="str">
        <f t="shared" si="16"/>
        <v>—</v>
      </c>
      <c r="Z524" s="11"/>
      <c r="AA524" s="11"/>
      <c r="AB524" s="11"/>
      <c r="AC524" s="11"/>
      <c r="AD524" s="11"/>
      <c r="AE524" s="11"/>
      <c r="AF524" s="61"/>
      <c r="AG524" s="61"/>
      <c r="AH524" s="62"/>
      <c r="AI524" s="62"/>
      <c r="AJ524" s="61"/>
      <c r="AK524" s="61"/>
      <c r="AL524" s="61"/>
      <c r="AM524" s="58"/>
      <c r="AN524" s="58"/>
      <c r="AO524" s="58"/>
      <c r="AP524" s="58"/>
      <c r="AQ524" s="58"/>
      <c r="AR524" s="58"/>
      <c r="AS524" s="91"/>
      <c r="AT524" s="93"/>
      <c r="AU524" s="93"/>
      <c r="AV524" s="93"/>
      <c r="AW524" s="93"/>
    </row>
    <row r="525" spans="1:49" x14ac:dyDescent="0.25">
      <c r="A525" s="59"/>
      <c r="B525" s="12"/>
      <c r="C525" s="12"/>
      <c r="D525" s="60"/>
      <c r="E525" s="6"/>
      <c r="F525" s="6"/>
      <c r="G525" s="12"/>
      <c r="H525" s="12"/>
      <c r="I525" s="12" t="str" cm="2">
        <f t="array" ref="I525">IFERROR(INDEX(BrandList!$B$2:$B$200,MATCH(TRUE,ISNUMBER(SEARCH(BrandList!$B$2:$B$200,G525)),0)),"")</f>
        <v/>
      </c>
      <c r="J525" s="12"/>
      <c r="K525" s="12"/>
      <c r="L525" s="60"/>
      <c r="M525" s="60"/>
      <c r="N525" s="60"/>
      <c r="O525" s="60"/>
      <c r="P525" s="7" t="str">
        <f t="shared" si="17"/>
        <v/>
      </c>
      <c r="Q525" s="8">
        <f>IFERROR(VLOOKUP(VALUE(A525),WEEKLY_DATA!$A:$H,2,0),0)</f>
        <v>0</v>
      </c>
      <c r="R525" s="8">
        <f>IFERROR(VLOOKUP(VALUE(A525),WEEKLY_DATA!$A:$H,3,0),0)</f>
        <v>0</v>
      </c>
      <c r="S525" s="8">
        <f>IFERROR(VLOOKUP(VALUE(A525),WEEKLY_DATA!$A:$H,4,0),0)</f>
        <v>0</v>
      </c>
      <c r="T525" s="51">
        <f>IFERROR(VLOOKUP(VALUE(A525),WEEKLY_DATA!$A:$H,5,0),0)</f>
        <v>0</v>
      </c>
      <c r="U525" s="51">
        <f>IFERROR(VLOOKUP(VALUE(A525),WEEKLY_DATA!$A:$H,6,0),0)</f>
        <v>0</v>
      </c>
      <c r="V525" s="51">
        <f>IFERROR(VLOOKUP(VALUE(A525),WEEKLY_DATA!$A:$H,7,0),0)</f>
        <v>0</v>
      </c>
      <c r="W525" s="9" t="str">
        <f>IFERROR(IF(OR(Q525="",Q525=0),"",IF(VLOOKUP(VALUE($A525),WEEKLY_DATA!$A:$H,6,0)=0,"No Sales",Q525/(VLOOKUP(VALUE($A525),WEEKLY_DATA!$A:$H,6,0)/13))),"")</f>
        <v/>
      </c>
      <c r="X525" s="10">
        <f>IFERROR(VLOOKUP(VALUE(A525),WEEKLY_DATA!$A:$H,8,0),0)</f>
        <v>0</v>
      </c>
      <c r="Y525" s="13" t="str">
        <f t="shared" si="16"/>
        <v>—</v>
      </c>
      <c r="Z525" s="11"/>
      <c r="AA525" s="11"/>
      <c r="AB525" s="11"/>
      <c r="AC525" s="11"/>
      <c r="AD525" s="11"/>
      <c r="AE525" s="11"/>
      <c r="AF525" s="61"/>
      <c r="AG525" s="61"/>
      <c r="AH525" s="62"/>
      <c r="AI525" s="62"/>
      <c r="AJ525" s="61"/>
      <c r="AK525" s="61"/>
      <c r="AL525" s="61"/>
      <c r="AM525" s="58"/>
      <c r="AN525" s="58"/>
      <c r="AO525" s="58"/>
      <c r="AP525" s="58"/>
      <c r="AQ525" s="58"/>
      <c r="AR525" s="58"/>
      <c r="AS525" s="91"/>
      <c r="AT525" s="93"/>
      <c r="AU525" s="93"/>
      <c r="AV525" s="93"/>
      <c r="AW525" s="93"/>
    </row>
    <row r="526" spans="1:49" x14ac:dyDescent="0.25">
      <c r="A526" s="59"/>
      <c r="B526" s="12"/>
      <c r="C526" s="12"/>
      <c r="D526" s="60"/>
      <c r="E526" s="6"/>
      <c r="F526" s="6"/>
      <c r="G526" s="12"/>
      <c r="H526" s="12"/>
      <c r="I526" s="12" t="str" cm="2">
        <f t="array" ref="I526">IFERROR(INDEX(BrandList!$B$2:$B$200,MATCH(TRUE,ISNUMBER(SEARCH(BrandList!$B$2:$B$200,G526)),0)),"")</f>
        <v/>
      </c>
      <c r="J526" s="12"/>
      <c r="K526" s="12"/>
      <c r="L526" s="60"/>
      <c r="M526" s="60"/>
      <c r="N526" s="60"/>
      <c r="O526" s="60"/>
      <c r="P526" s="7" t="str">
        <f t="shared" si="17"/>
        <v/>
      </c>
      <c r="Q526" s="8">
        <f>IFERROR(VLOOKUP(VALUE(A526),WEEKLY_DATA!$A:$H,2,0),0)</f>
        <v>0</v>
      </c>
      <c r="R526" s="8">
        <f>IFERROR(VLOOKUP(VALUE(A526),WEEKLY_DATA!$A:$H,3,0),0)</f>
        <v>0</v>
      </c>
      <c r="S526" s="8">
        <f>IFERROR(VLOOKUP(VALUE(A526),WEEKLY_DATA!$A:$H,4,0),0)</f>
        <v>0</v>
      </c>
      <c r="T526" s="51">
        <f>IFERROR(VLOOKUP(VALUE(A526),WEEKLY_DATA!$A:$H,5,0),0)</f>
        <v>0</v>
      </c>
      <c r="U526" s="51">
        <f>IFERROR(VLOOKUP(VALUE(A526),WEEKLY_DATA!$A:$H,6,0),0)</f>
        <v>0</v>
      </c>
      <c r="V526" s="51">
        <f>IFERROR(VLOOKUP(VALUE(A526),WEEKLY_DATA!$A:$H,7,0),0)</f>
        <v>0</v>
      </c>
      <c r="W526" s="9" t="str">
        <f>IFERROR(IF(OR(Q526="",Q526=0),"",IF(VLOOKUP(VALUE($A526),WEEKLY_DATA!$A:$H,6,0)=0,"No Sales",Q526/(VLOOKUP(VALUE($A526),WEEKLY_DATA!$A:$H,6,0)/13))),"")</f>
        <v/>
      </c>
      <c r="X526" s="10">
        <f>IFERROR(VLOOKUP(VALUE(A526),WEEKLY_DATA!$A:$H,8,0),0)</f>
        <v>0</v>
      </c>
      <c r="Y526" s="13" t="str">
        <f t="shared" si="16"/>
        <v>—</v>
      </c>
      <c r="Z526" s="11"/>
      <c r="AA526" s="11"/>
      <c r="AB526" s="11"/>
      <c r="AC526" s="11"/>
      <c r="AD526" s="11"/>
      <c r="AE526" s="11"/>
      <c r="AF526" s="61"/>
      <c r="AG526" s="61"/>
      <c r="AH526" s="62"/>
      <c r="AI526" s="62"/>
      <c r="AJ526" s="61"/>
      <c r="AK526" s="61"/>
      <c r="AL526" s="61"/>
      <c r="AM526" s="58"/>
      <c r="AN526" s="58"/>
      <c r="AO526" s="58"/>
      <c r="AP526" s="58"/>
      <c r="AQ526" s="58"/>
      <c r="AR526" s="58"/>
      <c r="AS526" s="91"/>
      <c r="AT526" s="93"/>
      <c r="AU526" s="93"/>
      <c r="AV526" s="93"/>
      <c r="AW526" s="93"/>
    </row>
    <row r="527" spans="1:49" x14ac:dyDescent="0.25">
      <c r="A527" s="59"/>
      <c r="B527" s="12"/>
      <c r="C527" s="12"/>
      <c r="D527" s="60"/>
      <c r="E527" s="6"/>
      <c r="F527" s="6"/>
      <c r="G527" s="12"/>
      <c r="H527" s="12"/>
      <c r="I527" s="12" t="str" cm="2">
        <f t="array" ref="I527">IFERROR(INDEX(BrandList!$B$2:$B$200,MATCH(TRUE,ISNUMBER(SEARCH(BrandList!$B$2:$B$200,G527)),0)),"")</f>
        <v/>
      </c>
      <c r="J527" s="12"/>
      <c r="K527" s="12"/>
      <c r="L527" s="60"/>
      <c r="M527" s="60"/>
      <c r="N527" s="60"/>
      <c r="O527" s="60"/>
      <c r="P527" s="7" t="str">
        <f t="shared" si="17"/>
        <v/>
      </c>
      <c r="Q527" s="8">
        <f>IFERROR(VLOOKUP(VALUE(A527),WEEKLY_DATA!$A:$H,2,0),0)</f>
        <v>0</v>
      </c>
      <c r="R527" s="8">
        <f>IFERROR(VLOOKUP(VALUE(A527),WEEKLY_DATA!$A:$H,3,0),0)</f>
        <v>0</v>
      </c>
      <c r="S527" s="8">
        <f>IFERROR(VLOOKUP(VALUE(A527),WEEKLY_DATA!$A:$H,4,0),0)</f>
        <v>0</v>
      </c>
      <c r="T527" s="51">
        <f>IFERROR(VLOOKUP(VALUE(A527),WEEKLY_DATA!$A:$H,5,0),0)</f>
        <v>0</v>
      </c>
      <c r="U527" s="51">
        <f>IFERROR(VLOOKUP(VALUE(A527),WEEKLY_DATA!$A:$H,6,0),0)</f>
        <v>0</v>
      </c>
      <c r="V527" s="51">
        <f>IFERROR(VLOOKUP(VALUE(A527),WEEKLY_DATA!$A:$H,7,0),0)</f>
        <v>0</v>
      </c>
      <c r="W527" s="9" t="str">
        <f>IFERROR(IF(OR(Q527="",Q527=0),"",IF(VLOOKUP(VALUE($A527),WEEKLY_DATA!$A:$H,6,0)=0,"No Sales",Q527/(VLOOKUP(VALUE($A527),WEEKLY_DATA!$A:$H,6,0)/13))),"")</f>
        <v/>
      </c>
      <c r="X527" s="10">
        <f>IFERROR(VLOOKUP(VALUE(A527),WEEKLY_DATA!$A:$H,8,0),0)</f>
        <v>0</v>
      </c>
      <c r="Y527" s="13" t="str">
        <f t="shared" si="16"/>
        <v>—</v>
      </c>
      <c r="Z527" s="11"/>
      <c r="AA527" s="11"/>
      <c r="AB527" s="11"/>
      <c r="AC527" s="11"/>
      <c r="AD527" s="11"/>
      <c r="AE527" s="11"/>
      <c r="AF527" s="61"/>
      <c r="AG527" s="61"/>
      <c r="AH527" s="62"/>
      <c r="AI527" s="62"/>
      <c r="AJ527" s="61"/>
      <c r="AK527" s="61"/>
      <c r="AL527" s="61"/>
      <c r="AM527" s="58"/>
      <c r="AN527" s="58"/>
      <c r="AO527" s="58"/>
      <c r="AP527" s="58"/>
      <c r="AQ527" s="58"/>
      <c r="AR527" s="58"/>
      <c r="AS527" s="91"/>
      <c r="AT527" s="93"/>
      <c r="AU527" s="93"/>
      <c r="AV527" s="93"/>
      <c r="AW527" s="93"/>
    </row>
    <row r="528" spans="1:49" x14ac:dyDescent="0.25">
      <c r="A528" s="59"/>
      <c r="B528" s="12"/>
      <c r="C528" s="12"/>
      <c r="D528" s="60"/>
      <c r="E528" s="6"/>
      <c r="F528" s="6"/>
      <c r="G528" s="12"/>
      <c r="H528" s="12"/>
      <c r="I528" s="12" t="str" cm="2">
        <f t="array" ref="I528">IFERROR(INDEX(BrandList!$B$2:$B$200,MATCH(TRUE,ISNUMBER(SEARCH(BrandList!$B$2:$B$200,G528)),0)),"")</f>
        <v/>
      </c>
      <c r="J528" s="12"/>
      <c r="K528" s="12"/>
      <c r="L528" s="60"/>
      <c r="M528" s="60"/>
      <c r="N528" s="60"/>
      <c r="O528" s="60"/>
      <c r="P528" s="7" t="str">
        <f t="shared" si="17"/>
        <v/>
      </c>
      <c r="Q528" s="8">
        <f>IFERROR(VLOOKUP(VALUE(A528),WEEKLY_DATA!$A:$H,2,0),0)</f>
        <v>0</v>
      </c>
      <c r="R528" s="8">
        <f>IFERROR(VLOOKUP(VALUE(A528),WEEKLY_DATA!$A:$H,3,0),0)</f>
        <v>0</v>
      </c>
      <c r="S528" s="8">
        <f>IFERROR(VLOOKUP(VALUE(A528),WEEKLY_DATA!$A:$H,4,0),0)</f>
        <v>0</v>
      </c>
      <c r="T528" s="51">
        <f>IFERROR(VLOOKUP(VALUE(A528),WEEKLY_DATA!$A:$H,5,0),0)</f>
        <v>0</v>
      </c>
      <c r="U528" s="51">
        <f>IFERROR(VLOOKUP(VALUE(A528),WEEKLY_DATA!$A:$H,6,0),0)</f>
        <v>0</v>
      </c>
      <c r="V528" s="51">
        <f>IFERROR(VLOOKUP(VALUE(A528),WEEKLY_DATA!$A:$H,7,0),0)</f>
        <v>0</v>
      </c>
      <c r="W528" s="9" t="str">
        <f>IFERROR(IF(OR(Q528="",Q528=0),"",IF(VLOOKUP(VALUE($A528),WEEKLY_DATA!$A:$H,6,0)=0,"No Sales",Q528/(VLOOKUP(VALUE($A528),WEEKLY_DATA!$A:$H,6,0)/13))),"")</f>
        <v/>
      </c>
      <c r="X528" s="10">
        <f>IFERROR(VLOOKUP(VALUE(A528),WEEKLY_DATA!$A:$H,8,0),0)</f>
        <v>0</v>
      </c>
      <c r="Y528" s="13" t="str">
        <f t="shared" si="16"/>
        <v>—</v>
      </c>
      <c r="Z528" s="11"/>
      <c r="AA528" s="11"/>
      <c r="AB528" s="11"/>
      <c r="AC528" s="11"/>
      <c r="AD528" s="11"/>
      <c r="AE528" s="11"/>
      <c r="AF528" s="61"/>
      <c r="AG528" s="61"/>
      <c r="AH528" s="62"/>
      <c r="AI528" s="62"/>
      <c r="AJ528" s="61"/>
      <c r="AK528" s="61"/>
      <c r="AL528" s="61"/>
      <c r="AM528" s="58"/>
      <c r="AN528" s="58"/>
      <c r="AO528" s="58"/>
      <c r="AP528" s="58"/>
      <c r="AQ528" s="58"/>
      <c r="AR528" s="58"/>
      <c r="AS528" s="91"/>
      <c r="AT528" s="93"/>
      <c r="AU528" s="93"/>
      <c r="AV528" s="93"/>
      <c r="AW528" s="93"/>
    </row>
    <row r="529" spans="1:49" x14ac:dyDescent="0.25">
      <c r="A529" s="59"/>
      <c r="B529" s="12"/>
      <c r="C529" s="12"/>
      <c r="D529" s="60"/>
      <c r="E529" s="6"/>
      <c r="F529" s="6"/>
      <c r="G529" s="12"/>
      <c r="H529" s="12"/>
      <c r="I529" s="12" t="str" cm="2">
        <f t="array" ref="I529">IFERROR(INDEX(BrandList!$B$2:$B$200,MATCH(TRUE,ISNUMBER(SEARCH(BrandList!$B$2:$B$200,G529)),0)),"")</f>
        <v/>
      </c>
      <c r="J529" s="12"/>
      <c r="K529" s="12"/>
      <c r="L529" s="60"/>
      <c r="M529" s="60"/>
      <c r="N529" s="60"/>
      <c r="O529" s="60"/>
      <c r="P529" s="7" t="str">
        <f t="shared" si="17"/>
        <v/>
      </c>
      <c r="Q529" s="8">
        <f>IFERROR(VLOOKUP(VALUE(A529),WEEKLY_DATA!$A:$H,2,0),0)</f>
        <v>0</v>
      </c>
      <c r="R529" s="8">
        <f>IFERROR(VLOOKUP(VALUE(A529),WEEKLY_DATA!$A:$H,3,0),0)</f>
        <v>0</v>
      </c>
      <c r="S529" s="8">
        <f>IFERROR(VLOOKUP(VALUE(A529),WEEKLY_DATA!$A:$H,4,0),0)</f>
        <v>0</v>
      </c>
      <c r="T529" s="51">
        <f>IFERROR(VLOOKUP(VALUE(A529),WEEKLY_DATA!$A:$H,5,0),0)</f>
        <v>0</v>
      </c>
      <c r="U529" s="51">
        <f>IFERROR(VLOOKUP(VALUE(A529),WEEKLY_DATA!$A:$H,6,0),0)</f>
        <v>0</v>
      </c>
      <c r="V529" s="51">
        <f>IFERROR(VLOOKUP(VALUE(A529),WEEKLY_DATA!$A:$H,7,0),0)</f>
        <v>0</v>
      </c>
      <c r="W529" s="9" t="str">
        <f>IFERROR(IF(OR(Q529="",Q529=0),"",IF(VLOOKUP(VALUE($A529),WEEKLY_DATA!$A:$H,6,0)=0,"No Sales",Q529/(VLOOKUP(VALUE($A529),WEEKLY_DATA!$A:$H,6,0)/13))),"")</f>
        <v/>
      </c>
      <c r="X529" s="10">
        <f>IFERROR(VLOOKUP(VALUE(A529),WEEKLY_DATA!$A:$H,8,0),0)</f>
        <v>0</v>
      </c>
      <c r="Y529" s="13" t="str">
        <f t="shared" si="16"/>
        <v>—</v>
      </c>
      <c r="Z529" s="11"/>
      <c r="AA529" s="11"/>
      <c r="AB529" s="11"/>
      <c r="AC529" s="11"/>
      <c r="AD529" s="11"/>
      <c r="AE529" s="11"/>
      <c r="AF529" s="61"/>
      <c r="AG529" s="61"/>
      <c r="AH529" s="62"/>
      <c r="AI529" s="62"/>
      <c r="AJ529" s="61"/>
      <c r="AK529" s="61"/>
      <c r="AL529" s="61"/>
      <c r="AM529" s="58"/>
      <c r="AN529" s="58"/>
      <c r="AO529" s="58"/>
      <c r="AP529" s="58"/>
      <c r="AQ529" s="58"/>
      <c r="AR529" s="58"/>
      <c r="AS529" s="91"/>
      <c r="AT529" s="93"/>
      <c r="AU529" s="93"/>
      <c r="AV529" s="93"/>
      <c r="AW529" s="93"/>
    </row>
    <row r="530" spans="1:49" x14ac:dyDescent="0.25">
      <c r="A530" s="59"/>
      <c r="B530" s="12"/>
      <c r="C530" s="12"/>
      <c r="D530" s="60"/>
      <c r="E530" s="6"/>
      <c r="F530" s="6"/>
      <c r="G530" s="12"/>
      <c r="H530" s="12"/>
      <c r="I530" s="12" t="str" cm="2">
        <f t="array" ref="I530">IFERROR(INDEX(BrandList!$B$2:$B$200,MATCH(TRUE,ISNUMBER(SEARCH(BrandList!$B$2:$B$200,G530)),0)),"")</f>
        <v/>
      </c>
      <c r="J530" s="12"/>
      <c r="K530" s="12"/>
      <c r="L530" s="60"/>
      <c r="M530" s="60"/>
      <c r="N530" s="60"/>
      <c r="O530" s="60"/>
      <c r="P530" s="7" t="str">
        <f t="shared" si="17"/>
        <v/>
      </c>
      <c r="Q530" s="8">
        <f>IFERROR(VLOOKUP(VALUE(A530),WEEKLY_DATA!$A:$H,2,0),0)</f>
        <v>0</v>
      </c>
      <c r="R530" s="8">
        <f>IFERROR(VLOOKUP(VALUE(A530),WEEKLY_DATA!$A:$H,3,0),0)</f>
        <v>0</v>
      </c>
      <c r="S530" s="8">
        <f>IFERROR(VLOOKUP(VALUE(A530),WEEKLY_DATA!$A:$H,4,0),0)</f>
        <v>0</v>
      </c>
      <c r="T530" s="51">
        <f>IFERROR(VLOOKUP(VALUE(A530),WEEKLY_DATA!$A:$H,5,0),0)</f>
        <v>0</v>
      </c>
      <c r="U530" s="51">
        <f>IFERROR(VLOOKUP(VALUE(A530),WEEKLY_DATA!$A:$H,6,0),0)</f>
        <v>0</v>
      </c>
      <c r="V530" s="51">
        <f>IFERROR(VLOOKUP(VALUE(A530),WEEKLY_DATA!$A:$H,7,0),0)</f>
        <v>0</v>
      </c>
      <c r="W530" s="9" t="str">
        <f>IFERROR(IF(OR(Q530="",Q530=0),"",IF(VLOOKUP(VALUE($A530),WEEKLY_DATA!$A:$H,6,0)=0,"No Sales",Q530/(VLOOKUP(VALUE($A530),WEEKLY_DATA!$A:$H,6,0)/13))),"")</f>
        <v/>
      </c>
      <c r="X530" s="10">
        <f>IFERROR(VLOOKUP(VALUE(A530),WEEKLY_DATA!$A:$H,8,0),0)</f>
        <v>0</v>
      </c>
      <c r="Y530" s="13" t="str">
        <f t="shared" si="16"/>
        <v>—</v>
      </c>
      <c r="Z530" s="11"/>
      <c r="AA530" s="11"/>
      <c r="AB530" s="11"/>
      <c r="AC530" s="11"/>
      <c r="AD530" s="11"/>
      <c r="AE530" s="11"/>
      <c r="AF530" s="61"/>
      <c r="AG530" s="61"/>
      <c r="AH530" s="62"/>
      <c r="AI530" s="62"/>
      <c r="AJ530" s="61"/>
      <c r="AK530" s="61"/>
      <c r="AL530" s="61"/>
      <c r="AM530" s="58"/>
      <c r="AN530" s="58"/>
      <c r="AO530" s="58"/>
      <c r="AP530" s="58"/>
      <c r="AQ530" s="58"/>
      <c r="AR530" s="58"/>
      <c r="AS530" s="91"/>
      <c r="AT530" s="93"/>
      <c r="AU530" s="93"/>
      <c r="AV530" s="93"/>
      <c r="AW530" s="93"/>
    </row>
    <row r="531" spans="1:49" x14ac:dyDescent="0.25">
      <c r="A531" s="59"/>
      <c r="B531" s="12"/>
      <c r="C531" s="12"/>
      <c r="D531" s="60"/>
      <c r="E531" s="6"/>
      <c r="F531" s="6"/>
      <c r="G531" s="12"/>
      <c r="H531" s="12"/>
      <c r="I531" s="12" t="str" cm="2">
        <f t="array" ref="I531">IFERROR(INDEX(BrandList!$B$2:$B$200,MATCH(TRUE,ISNUMBER(SEARCH(BrandList!$B$2:$B$200,G531)),0)),"")</f>
        <v/>
      </c>
      <c r="J531" s="12"/>
      <c r="K531" s="12"/>
      <c r="L531" s="60"/>
      <c r="M531" s="60"/>
      <c r="N531" s="60"/>
      <c r="O531" s="60"/>
      <c r="P531" s="7" t="str">
        <f t="shared" si="17"/>
        <v/>
      </c>
      <c r="Q531" s="8">
        <f>IFERROR(VLOOKUP(VALUE(A531),WEEKLY_DATA!$A:$H,2,0),0)</f>
        <v>0</v>
      </c>
      <c r="R531" s="8">
        <f>IFERROR(VLOOKUP(VALUE(A531),WEEKLY_DATA!$A:$H,3,0),0)</f>
        <v>0</v>
      </c>
      <c r="S531" s="8">
        <f>IFERROR(VLOOKUP(VALUE(A531),WEEKLY_DATA!$A:$H,4,0),0)</f>
        <v>0</v>
      </c>
      <c r="T531" s="51">
        <f>IFERROR(VLOOKUP(VALUE(A531),WEEKLY_DATA!$A:$H,5,0),0)</f>
        <v>0</v>
      </c>
      <c r="U531" s="51">
        <f>IFERROR(VLOOKUP(VALUE(A531),WEEKLY_DATA!$A:$H,6,0),0)</f>
        <v>0</v>
      </c>
      <c r="V531" s="51">
        <f>IFERROR(VLOOKUP(VALUE(A531),WEEKLY_DATA!$A:$H,7,0),0)</f>
        <v>0</v>
      </c>
      <c r="W531" s="9" t="str">
        <f>IFERROR(IF(OR(Q531="",Q531=0),"",IF(VLOOKUP(VALUE($A531),WEEKLY_DATA!$A:$H,6,0)=0,"No Sales",Q531/(VLOOKUP(VALUE($A531),WEEKLY_DATA!$A:$H,6,0)/13))),"")</f>
        <v/>
      </c>
      <c r="X531" s="10">
        <f>IFERROR(VLOOKUP(VALUE(A531),WEEKLY_DATA!$A:$H,8,0),0)</f>
        <v>0</v>
      </c>
      <c r="Y531" s="13" t="str">
        <f t="shared" si="16"/>
        <v>—</v>
      </c>
      <c r="Z531" s="11"/>
      <c r="AA531" s="11"/>
      <c r="AB531" s="11"/>
      <c r="AC531" s="11"/>
      <c r="AD531" s="11"/>
      <c r="AE531" s="11"/>
      <c r="AF531" s="61"/>
      <c r="AG531" s="61"/>
      <c r="AH531" s="62"/>
      <c r="AI531" s="62"/>
      <c r="AJ531" s="61"/>
      <c r="AK531" s="61"/>
      <c r="AL531" s="61"/>
      <c r="AM531" s="58"/>
      <c r="AN531" s="58"/>
      <c r="AO531" s="58"/>
      <c r="AP531" s="58"/>
      <c r="AQ531" s="58"/>
      <c r="AR531" s="58"/>
      <c r="AS531" s="91"/>
      <c r="AT531" s="93"/>
      <c r="AU531" s="93"/>
      <c r="AV531" s="93"/>
      <c r="AW531" s="93"/>
    </row>
    <row r="532" spans="1:49" x14ac:dyDescent="0.25">
      <c r="A532" s="59"/>
      <c r="B532" s="12"/>
      <c r="C532" s="12"/>
      <c r="D532" s="60"/>
      <c r="E532" s="6"/>
      <c r="F532" s="6"/>
      <c r="G532" s="12"/>
      <c r="H532" s="12"/>
      <c r="I532" s="12" t="str" cm="2">
        <f t="array" ref="I532">IFERROR(INDEX(BrandList!$B$2:$B$200,MATCH(TRUE,ISNUMBER(SEARCH(BrandList!$B$2:$B$200,G532)),0)),"")</f>
        <v/>
      </c>
      <c r="J532" s="12"/>
      <c r="K532" s="12"/>
      <c r="L532" s="60"/>
      <c r="M532" s="60"/>
      <c r="N532" s="60"/>
      <c r="O532" s="60"/>
      <c r="P532" s="7" t="str">
        <f t="shared" si="17"/>
        <v/>
      </c>
      <c r="Q532" s="8">
        <f>IFERROR(VLOOKUP(VALUE(A532),WEEKLY_DATA!$A:$H,2,0),0)</f>
        <v>0</v>
      </c>
      <c r="R532" s="8">
        <f>IFERROR(VLOOKUP(VALUE(A532),WEEKLY_DATA!$A:$H,3,0),0)</f>
        <v>0</v>
      </c>
      <c r="S532" s="8">
        <f>IFERROR(VLOOKUP(VALUE(A532),WEEKLY_DATA!$A:$H,4,0),0)</f>
        <v>0</v>
      </c>
      <c r="T532" s="51">
        <f>IFERROR(VLOOKUP(VALUE(A532),WEEKLY_DATA!$A:$H,5,0),0)</f>
        <v>0</v>
      </c>
      <c r="U532" s="51">
        <f>IFERROR(VLOOKUP(VALUE(A532),WEEKLY_DATA!$A:$H,6,0),0)</f>
        <v>0</v>
      </c>
      <c r="V532" s="51">
        <f>IFERROR(VLOOKUP(VALUE(A532),WEEKLY_DATA!$A:$H,7,0),0)</f>
        <v>0</v>
      </c>
      <c r="W532" s="9" t="str">
        <f>IFERROR(IF(OR(Q532="",Q532=0),"",IF(VLOOKUP(VALUE($A532),WEEKLY_DATA!$A:$H,6,0)=0,"No Sales",Q532/(VLOOKUP(VALUE($A532),WEEKLY_DATA!$A:$H,6,0)/13))),"")</f>
        <v/>
      </c>
      <c r="X532" s="10">
        <f>IFERROR(VLOOKUP(VALUE(A532),WEEKLY_DATA!$A:$H,8,0),0)</f>
        <v>0</v>
      </c>
      <c r="Y532" s="13" t="str">
        <f t="shared" si="16"/>
        <v>—</v>
      </c>
      <c r="Z532" s="11"/>
      <c r="AA532" s="11"/>
      <c r="AB532" s="11"/>
      <c r="AC532" s="11"/>
      <c r="AD532" s="11"/>
      <c r="AE532" s="11"/>
      <c r="AF532" s="61"/>
      <c r="AG532" s="61"/>
      <c r="AH532" s="62"/>
      <c r="AI532" s="62"/>
      <c r="AJ532" s="61"/>
      <c r="AK532" s="61"/>
      <c r="AL532" s="61"/>
      <c r="AM532" s="58"/>
      <c r="AN532" s="58"/>
      <c r="AO532" s="58"/>
      <c r="AP532" s="58"/>
      <c r="AQ532" s="58"/>
      <c r="AR532" s="58"/>
      <c r="AS532" s="91"/>
      <c r="AT532" s="93"/>
      <c r="AU532" s="93"/>
      <c r="AV532" s="93"/>
      <c r="AW532" s="93"/>
    </row>
    <row r="533" spans="1:49" x14ac:dyDescent="0.25">
      <c r="A533" s="59"/>
      <c r="B533" s="12"/>
      <c r="C533" s="12"/>
      <c r="D533" s="60"/>
      <c r="E533" s="6"/>
      <c r="F533" s="6"/>
      <c r="G533" s="12"/>
      <c r="H533" s="12"/>
      <c r="I533" s="12" t="str" cm="2">
        <f t="array" ref="I533">IFERROR(INDEX(BrandList!$B$2:$B$200,MATCH(TRUE,ISNUMBER(SEARCH(BrandList!$B$2:$B$200,G533)),0)),"")</f>
        <v/>
      </c>
      <c r="J533" s="12"/>
      <c r="K533" s="12"/>
      <c r="L533" s="60"/>
      <c r="M533" s="60"/>
      <c r="N533" s="60"/>
      <c r="O533" s="60"/>
      <c r="P533" s="7" t="str">
        <f t="shared" si="17"/>
        <v/>
      </c>
      <c r="Q533" s="8">
        <f>IFERROR(VLOOKUP(VALUE(A533),WEEKLY_DATA!$A:$H,2,0),0)</f>
        <v>0</v>
      </c>
      <c r="R533" s="8">
        <f>IFERROR(VLOOKUP(VALUE(A533),WEEKLY_DATA!$A:$H,3,0),0)</f>
        <v>0</v>
      </c>
      <c r="S533" s="8">
        <f>IFERROR(VLOOKUP(VALUE(A533),WEEKLY_DATA!$A:$H,4,0),0)</f>
        <v>0</v>
      </c>
      <c r="T533" s="51">
        <f>IFERROR(VLOOKUP(VALUE(A533),WEEKLY_DATA!$A:$H,5,0),0)</f>
        <v>0</v>
      </c>
      <c r="U533" s="51">
        <f>IFERROR(VLOOKUP(VALUE(A533),WEEKLY_DATA!$A:$H,6,0),0)</f>
        <v>0</v>
      </c>
      <c r="V533" s="51">
        <f>IFERROR(VLOOKUP(VALUE(A533),WEEKLY_DATA!$A:$H,7,0),0)</f>
        <v>0</v>
      </c>
      <c r="W533" s="9" t="str">
        <f>IFERROR(IF(OR(Q533="",Q533=0),"",IF(VLOOKUP(VALUE($A533),WEEKLY_DATA!$A:$H,6,0)=0,"No Sales",Q533/(VLOOKUP(VALUE($A533),WEEKLY_DATA!$A:$H,6,0)/13))),"")</f>
        <v/>
      </c>
      <c r="X533" s="10">
        <f>IFERROR(VLOOKUP(VALUE(A533),WEEKLY_DATA!$A:$H,8,0),0)</f>
        <v>0</v>
      </c>
      <c r="Y533" s="13" t="str">
        <f t="shared" si="16"/>
        <v>—</v>
      </c>
      <c r="Z533" s="11"/>
      <c r="AA533" s="11"/>
      <c r="AB533" s="11"/>
      <c r="AC533" s="11"/>
      <c r="AD533" s="11"/>
      <c r="AE533" s="11"/>
      <c r="AF533" s="61"/>
      <c r="AG533" s="61"/>
      <c r="AH533" s="62"/>
      <c r="AI533" s="62"/>
      <c r="AJ533" s="61"/>
      <c r="AK533" s="61"/>
      <c r="AL533" s="61"/>
      <c r="AM533" s="58"/>
      <c r="AN533" s="58"/>
      <c r="AO533" s="58"/>
      <c r="AP533" s="58"/>
      <c r="AQ533" s="58"/>
      <c r="AR533" s="58"/>
      <c r="AS533" s="91"/>
      <c r="AT533" s="93"/>
      <c r="AU533" s="93"/>
      <c r="AV533" s="93"/>
      <c r="AW533" s="93"/>
    </row>
    <row r="534" spans="1:49" x14ac:dyDescent="0.25">
      <c r="A534" s="59"/>
      <c r="B534" s="12"/>
      <c r="C534" s="12"/>
      <c r="D534" s="60"/>
      <c r="E534" s="6"/>
      <c r="F534" s="6"/>
      <c r="G534" s="12"/>
      <c r="H534" s="12"/>
      <c r="I534" s="12" t="str" cm="2">
        <f t="array" ref="I534">IFERROR(INDEX(BrandList!$B$2:$B$200,MATCH(TRUE,ISNUMBER(SEARCH(BrandList!$B$2:$B$200,G534)),0)),"")</f>
        <v/>
      </c>
      <c r="J534" s="12"/>
      <c r="K534" s="12"/>
      <c r="L534" s="60"/>
      <c r="M534" s="60"/>
      <c r="N534" s="60"/>
      <c r="O534" s="60"/>
      <c r="P534" s="7" t="str">
        <f t="shared" si="17"/>
        <v/>
      </c>
      <c r="Q534" s="8">
        <f>IFERROR(VLOOKUP(VALUE(A534),WEEKLY_DATA!$A:$H,2,0),0)</f>
        <v>0</v>
      </c>
      <c r="R534" s="8">
        <f>IFERROR(VLOOKUP(VALUE(A534),WEEKLY_DATA!$A:$H,3,0),0)</f>
        <v>0</v>
      </c>
      <c r="S534" s="8">
        <f>IFERROR(VLOOKUP(VALUE(A534),WEEKLY_DATA!$A:$H,4,0),0)</f>
        <v>0</v>
      </c>
      <c r="T534" s="51">
        <f>IFERROR(VLOOKUP(VALUE(A534),WEEKLY_DATA!$A:$H,5,0),0)</f>
        <v>0</v>
      </c>
      <c r="U534" s="51">
        <f>IFERROR(VLOOKUP(VALUE(A534),WEEKLY_DATA!$A:$H,6,0),0)</f>
        <v>0</v>
      </c>
      <c r="V534" s="51">
        <f>IFERROR(VLOOKUP(VALUE(A534),WEEKLY_DATA!$A:$H,7,0),0)</f>
        <v>0</v>
      </c>
      <c r="W534" s="9" t="str">
        <f>IFERROR(IF(OR(Q534="",Q534=0),"",IF(VLOOKUP(VALUE($A534),WEEKLY_DATA!$A:$H,6,0)=0,"No Sales",Q534/(VLOOKUP(VALUE($A534),WEEKLY_DATA!$A:$H,6,0)/13))),"")</f>
        <v/>
      </c>
      <c r="X534" s="10">
        <f>IFERROR(VLOOKUP(VALUE(A534),WEEKLY_DATA!$A:$H,8,0),0)</f>
        <v>0</v>
      </c>
      <c r="Y534" s="13" t="str">
        <f t="shared" si="16"/>
        <v>—</v>
      </c>
      <c r="Z534" s="11"/>
      <c r="AA534" s="11"/>
      <c r="AB534" s="11"/>
      <c r="AC534" s="11"/>
      <c r="AD534" s="11"/>
      <c r="AE534" s="11"/>
      <c r="AF534" s="61"/>
      <c r="AG534" s="61"/>
      <c r="AH534" s="62"/>
      <c r="AI534" s="62"/>
      <c r="AJ534" s="61"/>
      <c r="AK534" s="61"/>
      <c r="AL534" s="61"/>
      <c r="AM534" s="58"/>
      <c r="AN534" s="58"/>
      <c r="AO534" s="58"/>
      <c r="AP534" s="58"/>
      <c r="AQ534" s="58"/>
      <c r="AR534" s="58"/>
      <c r="AS534" s="91"/>
      <c r="AT534" s="93"/>
      <c r="AU534" s="93"/>
      <c r="AV534" s="93"/>
      <c r="AW534" s="93"/>
    </row>
    <row r="535" spans="1:49" x14ac:dyDescent="0.25">
      <c r="A535" s="59"/>
      <c r="B535" s="12"/>
      <c r="C535" s="12"/>
      <c r="D535" s="60"/>
      <c r="E535" s="6"/>
      <c r="F535" s="6"/>
      <c r="G535" s="12"/>
      <c r="H535" s="12"/>
      <c r="I535" s="12" t="str" cm="2">
        <f t="array" ref="I535">IFERROR(INDEX(BrandList!$B$2:$B$200,MATCH(TRUE,ISNUMBER(SEARCH(BrandList!$B$2:$B$200,G535)),0)),"")</f>
        <v/>
      </c>
      <c r="J535" s="12"/>
      <c r="K535" s="12"/>
      <c r="L535" s="60"/>
      <c r="M535" s="60"/>
      <c r="N535" s="60"/>
      <c r="O535" s="60"/>
      <c r="P535" s="7" t="str">
        <f t="shared" si="17"/>
        <v/>
      </c>
      <c r="Q535" s="8">
        <f>IFERROR(VLOOKUP(VALUE(A535),WEEKLY_DATA!$A:$H,2,0),0)</f>
        <v>0</v>
      </c>
      <c r="R535" s="8">
        <f>IFERROR(VLOOKUP(VALUE(A535),WEEKLY_DATA!$A:$H,3,0),0)</f>
        <v>0</v>
      </c>
      <c r="S535" s="8">
        <f>IFERROR(VLOOKUP(VALUE(A535),WEEKLY_DATA!$A:$H,4,0),0)</f>
        <v>0</v>
      </c>
      <c r="T535" s="51">
        <f>IFERROR(VLOOKUP(VALUE(A535),WEEKLY_DATA!$A:$H,5,0),0)</f>
        <v>0</v>
      </c>
      <c r="U535" s="51">
        <f>IFERROR(VLOOKUP(VALUE(A535),WEEKLY_DATA!$A:$H,6,0),0)</f>
        <v>0</v>
      </c>
      <c r="V535" s="51">
        <f>IFERROR(VLOOKUP(VALUE(A535),WEEKLY_DATA!$A:$H,7,0),0)</f>
        <v>0</v>
      </c>
      <c r="W535" s="9" t="str">
        <f>IFERROR(IF(OR(Q535="",Q535=0),"",IF(VLOOKUP(VALUE($A535),WEEKLY_DATA!$A:$H,6,0)=0,"No Sales",Q535/(VLOOKUP(VALUE($A535),WEEKLY_DATA!$A:$H,6,0)/13))),"")</f>
        <v/>
      </c>
      <c r="X535" s="10">
        <f>IFERROR(VLOOKUP(VALUE(A535),WEEKLY_DATA!$A:$H,8,0),0)</f>
        <v>0</v>
      </c>
      <c r="Y535" s="13" t="str">
        <f t="shared" si="16"/>
        <v>—</v>
      </c>
      <c r="Z535" s="11"/>
      <c r="AA535" s="11"/>
      <c r="AB535" s="11"/>
      <c r="AC535" s="11"/>
      <c r="AD535" s="11"/>
      <c r="AE535" s="11"/>
      <c r="AF535" s="61"/>
      <c r="AG535" s="61"/>
      <c r="AH535" s="62"/>
      <c r="AI535" s="62"/>
      <c r="AJ535" s="61"/>
      <c r="AK535" s="61"/>
      <c r="AL535" s="61"/>
      <c r="AM535" s="58"/>
      <c r="AN535" s="58"/>
      <c r="AO535" s="58"/>
      <c r="AP535" s="58"/>
      <c r="AQ535" s="58"/>
      <c r="AR535" s="58"/>
      <c r="AS535" s="91"/>
      <c r="AT535" s="93"/>
      <c r="AU535" s="93"/>
      <c r="AV535" s="93"/>
      <c r="AW535" s="93"/>
    </row>
    <row r="536" spans="1:49" x14ac:dyDescent="0.25">
      <c r="A536" s="59"/>
      <c r="B536" s="12"/>
      <c r="C536" s="12"/>
      <c r="D536" s="60"/>
      <c r="E536" s="6"/>
      <c r="F536" s="6"/>
      <c r="G536" s="12"/>
      <c r="H536" s="12"/>
      <c r="I536" s="12" t="str" cm="2">
        <f t="array" ref="I536">IFERROR(INDEX(BrandList!$B$2:$B$200,MATCH(TRUE,ISNUMBER(SEARCH(BrandList!$B$2:$B$200,G536)),0)),"")</f>
        <v/>
      </c>
      <c r="J536" s="12"/>
      <c r="K536" s="12"/>
      <c r="L536" s="60"/>
      <c r="M536" s="60"/>
      <c r="N536" s="60"/>
      <c r="O536" s="60"/>
      <c r="P536" s="7" t="str">
        <f t="shared" si="17"/>
        <v/>
      </c>
      <c r="Q536" s="8">
        <f>IFERROR(VLOOKUP(VALUE(A536),WEEKLY_DATA!$A:$H,2,0),0)</f>
        <v>0</v>
      </c>
      <c r="R536" s="8">
        <f>IFERROR(VLOOKUP(VALUE(A536),WEEKLY_DATA!$A:$H,3,0),0)</f>
        <v>0</v>
      </c>
      <c r="S536" s="8">
        <f>IFERROR(VLOOKUP(VALUE(A536),WEEKLY_DATA!$A:$H,4,0),0)</f>
        <v>0</v>
      </c>
      <c r="T536" s="51">
        <f>IFERROR(VLOOKUP(VALUE(A536),WEEKLY_DATA!$A:$H,5,0),0)</f>
        <v>0</v>
      </c>
      <c r="U536" s="51">
        <f>IFERROR(VLOOKUP(VALUE(A536),WEEKLY_DATA!$A:$H,6,0),0)</f>
        <v>0</v>
      </c>
      <c r="V536" s="51">
        <f>IFERROR(VLOOKUP(VALUE(A536),WEEKLY_DATA!$A:$H,7,0),0)</f>
        <v>0</v>
      </c>
      <c r="W536" s="9" t="str">
        <f>IFERROR(IF(OR(Q536="",Q536=0),"",IF(VLOOKUP(VALUE($A536),WEEKLY_DATA!$A:$H,6,0)=0,"No Sales",Q536/(VLOOKUP(VALUE($A536),WEEKLY_DATA!$A:$H,6,0)/13))),"")</f>
        <v/>
      </c>
      <c r="X536" s="10">
        <f>IFERROR(VLOOKUP(VALUE(A536),WEEKLY_DATA!$A:$H,8,0),0)</f>
        <v>0</v>
      </c>
      <c r="Y536" s="13" t="str">
        <f t="shared" si="16"/>
        <v>—</v>
      </c>
      <c r="Z536" s="11"/>
      <c r="AA536" s="11"/>
      <c r="AB536" s="11"/>
      <c r="AC536" s="11"/>
      <c r="AD536" s="11"/>
      <c r="AE536" s="11"/>
      <c r="AF536" s="61"/>
      <c r="AG536" s="61"/>
      <c r="AH536" s="62"/>
      <c r="AI536" s="62"/>
      <c r="AJ536" s="61"/>
      <c r="AK536" s="61"/>
      <c r="AL536" s="61"/>
      <c r="AM536" s="58"/>
      <c r="AN536" s="58"/>
      <c r="AO536" s="58"/>
      <c r="AP536" s="58"/>
      <c r="AQ536" s="58"/>
      <c r="AR536" s="58"/>
      <c r="AS536" s="91"/>
      <c r="AT536" s="93"/>
      <c r="AU536" s="93"/>
      <c r="AV536" s="93"/>
      <c r="AW536" s="93"/>
    </row>
    <row r="537" spans="1:49" x14ac:dyDescent="0.25">
      <c r="A537" s="59"/>
      <c r="B537" s="12"/>
      <c r="C537" s="12"/>
      <c r="D537" s="60"/>
      <c r="E537" s="6"/>
      <c r="F537" s="6"/>
      <c r="G537" s="12"/>
      <c r="H537" s="12"/>
      <c r="I537" s="12" t="str" cm="2">
        <f t="array" ref="I537">IFERROR(INDEX(BrandList!$B$2:$B$200,MATCH(TRUE,ISNUMBER(SEARCH(BrandList!$B$2:$B$200,G537)),0)),"")</f>
        <v/>
      </c>
      <c r="J537" s="12"/>
      <c r="K537" s="12"/>
      <c r="L537" s="60"/>
      <c r="M537" s="60"/>
      <c r="N537" s="60"/>
      <c r="O537" s="60"/>
      <c r="P537" s="7" t="str">
        <f t="shared" si="17"/>
        <v/>
      </c>
      <c r="Q537" s="8">
        <f>IFERROR(VLOOKUP(VALUE(A537),WEEKLY_DATA!$A:$H,2,0),0)</f>
        <v>0</v>
      </c>
      <c r="R537" s="8">
        <f>IFERROR(VLOOKUP(VALUE(A537),WEEKLY_DATA!$A:$H,3,0),0)</f>
        <v>0</v>
      </c>
      <c r="S537" s="8">
        <f>IFERROR(VLOOKUP(VALUE(A537),WEEKLY_DATA!$A:$H,4,0),0)</f>
        <v>0</v>
      </c>
      <c r="T537" s="51">
        <f>IFERROR(VLOOKUP(VALUE(A537),WEEKLY_DATA!$A:$H,5,0),0)</f>
        <v>0</v>
      </c>
      <c r="U537" s="51">
        <f>IFERROR(VLOOKUP(VALUE(A537),WEEKLY_DATA!$A:$H,6,0),0)</f>
        <v>0</v>
      </c>
      <c r="V537" s="51">
        <f>IFERROR(VLOOKUP(VALUE(A537),WEEKLY_DATA!$A:$H,7,0),0)</f>
        <v>0</v>
      </c>
      <c r="W537" s="9" t="str">
        <f>IFERROR(IF(OR(Q537="",Q537=0),"",IF(VLOOKUP(VALUE($A537),WEEKLY_DATA!$A:$H,6,0)=0,"No Sales",Q537/(VLOOKUP(VALUE($A537),WEEKLY_DATA!$A:$H,6,0)/13))),"")</f>
        <v/>
      </c>
      <c r="X537" s="10">
        <f>IFERROR(VLOOKUP(VALUE(A537),WEEKLY_DATA!$A:$H,8,0),0)</f>
        <v>0</v>
      </c>
      <c r="Y537" s="13" t="str">
        <f t="shared" si="16"/>
        <v>—</v>
      </c>
      <c r="Z537" s="11"/>
      <c r="AA537" s="11"/>
      <c r="AB537" s="11"/>
      <c r="AC537" s="11"/>
      <c r="AD537" s="11"/>
      <c r="AE537" s="11"/>
      <c r="AF537" s="61"/>
      <c r="AG537" s="61"/>
      <c r="AH537" s="62"/>
      <c r="AI537" s="62"/>
      <c r="AJ537" s="61"/>
      <c r="AK537" s="61"/>
      <c r="AL537" s="61"/>
      <c r="AM537" s="58"/>
      <c r="AN537" s="58"/>
      <c r="AO537" s="58"/>
      <c r="AP537" s="58"/>
      <c r="AQ537" s="58"/>
      <c r="AR537" s="58"/>
      <c r="AS537" s="91"/>
      <c r="AT537" s="93"/>
      <c r="AU537" s="93"/>
      <c r="AV537" s="93"/>
      <c r="AW537" s="93"/>
    </row>
    <row r="538" spans="1:49" x14ac:dyDescent="0.25">
      <c r="A538" s="59"/>
      <c r="B538" s="12"/>
      <c r="C538" s="12"/>
      <c r="D538" s="60"/>
      <c r="E538" s="6"/>
      <c r="F538" s="6"/>
      <c r="G538" s="12"/>
      <c r="H538" s="12"/>
      <c r="I538" s="12" t="str" cm="2">
        <f t="array" ref="I538">IFERROR(INDEX(BrandList!$B$2:$B$200,MATCH(TRUE,ISNUMBER(SEARCH(BrandList!$B$2:$B$200,G538)),0)),"")</f>
        <v/>
      </c>
      <c r="J538" s="12"/>
      <c r="K538" s="12"/>
      <c r="L538" s="60"/>
      <c r="M538" s="60"/>
      <c r="N538" s="60"/>
      <c r="O538" s="60"/>
      <c r="P538" s="7" t="str">
        <f t="shared" si="17"/>
        <v/>
      </c>
      <c r="Q538" s="8">
        <f>IFERROR(VLOOKUP(VALUE(A538),WEEKLY_DATA!$A:$H,2,0),0)</f>
        <v>0</v>
      </c>
      <c r="R538" s="8">
        <f>IFERROR(VLOOKUP(VALUE(A538),WEEKLY_DATA!$A:$H,3,0),0)</f>
        <v>0</v>
      </c>
      <c r="S538" s="8">
        <f>IFERROR(VLOOKUP(VALUE(A538),WEEKLY_DATA!$A:$H,4,0),0)</f>
        <v>0</v>
      </c>
      <c r="T538" s="51">
        <f>IFERROR(VLOOKUP(VALUE(A538),WEEKLY_DATA!$A:$H,5,0),0)</f>
        <v>0</v>
      </c>
      <c r="U538" s="51">
        <f>IFERROR(VLOOKUP(VALUE(A538),WEEKLY_DATA!$A:$H,6,0),0)</f>
        <v>0</v>
      </c>
      <c r="V538" s="51">
        <f>IFERROR(VLOOKUP(VALUE(A538),WEEKLY_DATA!$A:$H,7,0),0)</f>
        <v>0</v>
      </c>
      <c r="W538" s="9" t="str">
        <f>IFERROR(IF(OR(Q538="",Q538=0),"",IF(VLOOKUP(VALUE($A538),WEEKLY_DATA!$A:$H,6,0)=0,"No Sales",Q538/(VLOOKUP(VALUE($A538),WEEKLY_DATA!$A:$H,6,0)/13))),"")</f>
        <v/>
      </c>
      <c r="X538" s="10">
        <f>IFERROR(VLOOKUP(VALUE(A538),WEEKLY_DATA!$A:$H,8,0),0)</f>
        <v>0</v>
      </c>
      <c r="Y538" s="13" t="str">
        <f t="shared" si="16"/>
        <v>—</v>
      </c>
      <c r="Z538" s="11"/>
      <c r="AA538" s="11"/>
      <c r="AB538" s="11"/>
      <c r="AC538" s="11"/>
      <c r="AD538" s="11"/>
      <c r="AE538" s="11"/>
      <c r="AF538" s="61"/>
      <c r="AG538" s="61"/>
      <c r="AH538" s="62"/>
      <c r="AI538" s="62"/>
      <c r="AJ538" s="61"/>
      <c r="AK538" s="61"/>
      <c r="AL538" s="61"/>
      <c r="AM538" s="58"/>
      <c r="AN538" s="58"/>
      <c r="AO538" s="58"/>
      <c r="AP538" s="58"/>
      <c r="AQ538" s="58"/>
      <c r="AR538" s="58"/>
      <c r="AS538" s="91"/>
      <c r="AT538" s="93"/>
      <c r="AU538" s="93"/>
      <c r="AV538" s="93"/>
      <c r="AW538" s="93"/>
    </row>
    <row r="539" spans="1:49" x14ac:dyDescent="0.25">
      <c r="A539" s="59"/>
      <c r="B539" s="12"/>
      <c r="C539" s="12"/>
      <c r="D539" s="60"/>
      <c r="E539" s="6"/>
      <c r="F539" s="6"/>
      <c r="G539" s="12"/>
      <c r="H539" s="12"/>
      <c r="I539" s="12" t="str" cm="2">
        <f t="array" ref="I539">IFERROR(INDEX(BrandList!$B$2:$B$200,MATCH(TRUE,ISNUMBER(SEARCH(BrandList!$B$2:$B$200,G539)),0)),"")</f>
        <v/>
      </c>
      <c r="J539" s="12"/>
      <c r="K539" s="12"/>
      <c r="L539" s="60"/>
      <c r="M539" s="60"/>
      <c r="N539" s="60"/>
      <c r="O539" s="60"/>
      <c r="P539" s="7" t="str">
        <f t="shared" si="17"/>
        <v/>
      </c>
      <c r="Q539" s="8">
        <f>IFERROR(VLOOKUP(VALUE(A539),WEEKLY_DATA!$A:$H,2,0),0)</f>
        <v>0</v>
      </c>
      <c r="R539" s="8">
        <f>IFERROR(VLOOKUP(VALUE(A539),WEEKLY_DATA!$A:$H,3,0),0)</f>
        <v>0</v>
      </c>
      <c r="S539" s="8">
        <f>IFERROR(VLOOKUP(VALUE(A539),WEEKLY_DATA!$A:$H,4,0),0)</f>
        <v>0</v>
      </c>
      <c r="T539" s="51">
        <f>IFERROR(VLOOKUP(VALUE(A539),WEEKLY_DATA!$A:$H,5,0),0)</f>
        <v>0</v>
      </c>
      <c r="U539" s="51">
        <f>IFERROR(VLOOKUP(VALUE(A539),WEEKLY_DATA!$A:$H,6,0),0)</f>
        <v>0</v>
      </c>
      <c r="V539" s="51">
        <f>IFERROR(VLOOKUP(VALUE(A539),WEEKLY_DATA!$A:$H,7,0),0)</f>
        <v>0</v>
      </c>
      <c r="W539" s="9" t="str">
        <f>IFERROR(IF(OR(Q539="",Q539=0),"",IF(VLOOKUP(VALUE($A539),WEEKLY_DATA!$A:$H,6,0)=0,"No Sales",Q539/(VLOOKUP(VALUE($A539),WEEKLY_DATA!$A:$H,6,0)/13))),"")</f>
        <v/>
      </c>
      <c r="X539" s="10">
        <f>IFERROR(VLOOKUP(VALUE(A539),WEEKLY_DATA!$A:$H,8,0),0)</f>
        <v>0</v>
      </c>
      <c r="Y539" s="13" t="str">
        <f t="shared" si="16"/>
        <v>—</v>
      </c>
      <c r="Z539" s="11"/>
      <c r="AA539" s="11"/>
      <c r="AB539" s="11"/>
      <c r="AC539" s="11"/>
      <c r="AD539" s="11"/>
      <c r="AE539" s="11"/>
      <c r="AF539" s="61"/>
      <c r="AG539" s="61"/>
      <c r="AH539" s="62"/>
      <c r="AI539" s="62"/>
      <c r="AJ539" s="61"/>
      <c r="AK539" s="61"/>
      <c r="AL539" s="61"/>
      <c r="AM539" s="58"/>
      <c r="AN539" s="58"/>
      <c r="AO539" s="58"/>
      <c r="AP539" s="58"/>
      <c r="AQ539" s="58"/>
      <c r="AR539" s="58"/>
      <c r="AS539" s="91"/>
      <c r="AT539" s="93"/>
      <c r="AU539" s="93"/>
      <c r="AV539" s="93"/>
      <c r="AW539" s="93"/>
    </row>
    <row r="540" spans="1:49" x14ac:dyDescent="0.25">
      <c r="A540" s="59"/>
      <c r="B540" s="12"/>
      <c r="C540" s="12"/>
      <c r="D540" s="60"/>
      <c r="E540" s="6"/>
      <c r="F540" s="6"/>
      <c r="G540" s="12"/>
      <c r="H540" s="12"/>
      <c r="I540" s="12" t="str" cm="2">
        <f t="array" ref="I540">IFERROR(INDEX(BrandList!$B$2:$B$200,MATCH(TRUE,ISNUMBER(SEARCH(BrandList!$B$2:$B$200,G540)),0)),"")</f>
        <v/>
      </c>
      <c r="J540" s="12"/>
      <c r="K540" s="12"/>
      <c r="L540" s="60"/>
      <c r="M540" s="60"/>
      <c r="N540" s="60"/>
      <c r="O540" s="60"/>
      <c r="P540" s="7" t="str">
        <f t="shared" si="17"/>
        <v/>
      </c>
      <c r="Q540" s="8">
        <f>IFERROR(VLOOKUP(VALUE(A540),WEEKLY_DATA!$A:$H,2,0),0)</f>
        <v>0</v>
      </c>
      <c r="R540" s="8">
        <f>IFERROR(VLOOKUP(VALUE(A540),WEEKLY_DATA!$A:$H,3,0),0)</f>
        <v>0</v>
      </c>
      <c r="S540" s="8">
        <f>IFERROR(VLOOKUP(VALUE(A540),WEEKLY_DATA!$A:$H,4,0),0)</f>
        <v>0</v>
      </c>
      <c r="T540" s="51">
        <f>IFERROR(VLOOKUP(VALUE(A540),WEEKLY_DATA!$A:$H,5,0),0)</f>
        <v>0</v>
      </c>
      <c r="U540" s="51">
        <f>IFERROR(VLOOKUP(VALUE(A540),WEEKLY_DATA!$A:$H,6,0),0)</f>
        <v>0</v>
      </c>
      <c r="V540" s="51">
        <f>IFERROR(VLOOKUP(VALUE(A540),WEEKLY_DATA!$A:$H,7,0),0)</f>
        <v>0</v>
      </c>
      <c r="W540" s="9" t="str">
        <f>IFERROR(IF(OR(Q540="",Q540=0),"",IF(VLOOKUP(VALUE($A540),WEEKLY_DATA!$A:$H,6,0)=0,"No Sales",Q540/(VLOOKUP(VALUE($A540),WEEKLY_DATA!$A:$H,6,0)/13))),"")</f>
        <v/>
      </c>
      <c r="X540" s="10">
        <f>IFERROR(VLOOKUP(VALUE(A540),WEEKLY_DATA!$A:$H,8,0),0)</f>
        <v>0</v>
      </c>
      <c r="Y540" s="13" t="str">
        <f t="shared" si="16"/>
        <v>—</v>
      </c>
      <c r="Z540" s="11"/>
      <c r="AA540" s="11"/>
      <c r="AB540" s="11"/>
      <c r="AC540" s="11"/>
      <c r="AD540" s="11"/>
      <c r="AE540" s="11"/>
      <c r="AF540" s="61"/>
      <c r="AG540" s="61"/>
      <c r="AH540" s="62"/>
      <c r="AI540" s="62"/>
      <c r="AJ540" s="61"/>
      <c r="AK540" s="61"/>
      <c r="AL540" s="61"/>
      <c r="AM540" s="58"/>
      <c r="AN540" s="58"/>
      <c r="AO540" s="58"/>
      <c r="AP540" s="58"/>
      <c r="AQ540" s="58"/>
      <c r="AR540" s="58"/>
      <c r="AS540" s="91"/>
      <c r="AT540" s="93"/>
      <c r="AU540" s="93"/>
      <c r="AV540" s="93"/>
      <c r="AW540" s="93"/>
    </row>
    <row r="541" spans="1:49" x14ac:dyDescent="0.25">
      <c r="A541" s="59"/>
      <c r="B541" s="12"/>
      <c r="C541" s="12"/>
      <c r="D541" s="60"/>
      <c r="E541" s="6"/>
      <c r="F541" s="6"/>
      <c r="G541" s="12"/>
      <c r="H541" s="12"/>
      <c r="I541" s="12" t="str" cm="2">
        <f t="array" ref="I541">IFERROR(INDEX(BrandList!$B$2:$B$200,MATCH(TRUE,ISNUMBER(SEARCH(BrandList!$B$2:$B$200,G541)),0)),"")</f>
        <v/>
      </c>
      <c r="J541" s="12"/>
      <c r="K541" s="12"/>
      <c r="L541" s="60"/>
      <c r="M541" s="60"/>
      <c r="N541" s="60"/>
      <c r="O541" s="60"/>
      <c r="P541" s="7" t="str">
        <f t="shared" si="17"/>
        <v/>
      </c>
      <c r="Q541" s="8">
        <f>IFERROR(VLOOKUP(VALUE(A541),WEEKLY_DATA!$A:$H,2,0),0)</f>
        <v>0</v>
      </c>
      <c r="R541" s="8">
        <f>IFERROR(VLOOKUP(VALUE(A541),WEEKLY_DATA!$A:$H,3,0),0)</f>
        <v>0</v>
      </c>
      <c r="S541" s="8">
        <f>IFERROR(VLOOKUP(VALUE(A541),WEEKLY_DATA!$A:$H,4,0),0)</f>
        <v>0</v>
      </c>
      <c r="T541" s="51">
        <f>IFERROR(VLOOKUP(VALUE(A541),WEEKLY_DATA!$A:$H,5,0),0)</f>
        <v>0</v>
      </c>
      <c r="U541" s="51">
        <f>IFERROR(VLOOKUP(VALUE(A541),WEEKLY_DATA!$A:$H,6,0),0)</f>
        <v>0</v>
      </c>
      <c r="V541" s="51">
        <f>IFERROR(VLOOKUP(VALUE(A541),WEEKLY_DATA!$A:$H,7,0),0)</f>
        <v>0</v>
      </c>
      <c r="W541" s="9" t="str">
        <f>IFERROR(IF(OR(Q541="",Q541=0),"",IF(VLOOKUP(VALUE($A541),WEEKLY_DATA!$A:$H,6,0)=0,"No Sales",Q541/(VLOOKUP(VALUE($A541),WEEKLY_DATA!$A:$H,6,0)/13))),"")</f>
        <v/>
      </c>
      <c r="X541" s="10">
        <f>IFERROR(VLOOKUP(VALUE(A541),WEEKLY_DATA!$A:$H,8,0),0)</f>
        <v>0</v>
      </c>
      <c r="Y541" s="13" t="str">
        <f t="shared" si="16"/>
        <v>—</v>
      </c>
      <c r="Z541" s="11"/>
      <c r="AA541" s="11"/>
      <c r="AB541" s="11"/>
      <c r="AC541" s="11"/>
      <c r="AD541" s="11"/>
      <c r="AE541" s="11"/>
      <c r="AF541" s="61"/>
      <c r="AG541" s="61"/>
      <c r="AH541" s="62"/>
      <c r="AI541" s="62"/>
      <c r="AJ541" s="61"/>
      <c r="AK541" s="61"/>
      <c r="AL541" s="61"/>
      <c r="AM541" s="58"/>
      <c r="AN541" s="58"/>
      <c r="AO541" s="58"/>
      <c r="AP541" s="58"/>
      <c r="AQ541" s="58"/>
      <c r="AR541" s="58"/>
      <c r="AS541" s="91"/>
      <c r="AT541" s="93"/>
      <c r="AU541" s="93"/>
      <c r="AV541" s="93"/>
      <c r="AW541" s="93"/>
    </row>
    <row r="542" spans="1:49" x14ac:dyDescent="0.25">
      <c r="A542" s="59"/>
      <c r="B542" s="12"/>
      <c r="C542" s="12"/>
      <c r="D542" s="60"/>
      <c r="E542" s="6"/>
      <c r="F542" s="6"/>
      <c r="G542" s="12"/>
      <c r="H542" s="12"/>
      <c r="I542" s="12" t="str" cm="2">
        <f t="array" ref="I542">IFERROR(INDEX(BrandList!$B$2:$B$200,MATCH(TRUE,ISNUMBER(SEARCH(BrandList!$B$2:$B$200,G542)),0)),"")</f>
        <v/>
      </c>
      <c r="J542" s="12"/>
      <c r="K542" s="12"/>
      <c r="L542" s="60"/>
      <c r="M542" s="60"/>
      <c r="N542" s="60"/>
      <c r="O542" s="60"/>
      <c r="P542" s="7" t="str">
        <f t="shared" si="17"/>
        <v/>
      </c>
      <c r="Q542" s="8">
        <f>IFERROR(VLOOKUP(VALUE(A542),WEEKLY_DATA!$A:$H,2,0),0)</f>
        <v>0</v>
      </c>
      <c r="R542" s="8">
        <f>IFERROR(VLOOKUP(VALUE(A542),WEEKLY_DATA!$A:$H,3,0),0)</f>
        <v>0</v>
      </c>
      <c r="S542" s="8">
        <f>IFERROR(VLOOKUP(VALUE(A542),WEEKLY_DATA!$A:$H,4,0),0)</f>
        <v>0</v>
      </c>
      <c r="T542" s="51">
        <f>IFERROR(VLOOKUP(VALUE(A542),WEEKLY_DATA!$A:$H,5,0),0)</f>
        <v>0</v>
      </c>
      <c r="U542" s="51">
        <f>IFERROR(VLOOKUP(VALUE(A542),WEEKLY_DATA!$A:$H,6,0),0)</f>
        <v>0</v>
      </c>
      <c r="V542" s="51">
        <f>IFERROR(VLOOKUP(VALUE(A542),WEEKLY_DATA!$A:$H,7,0),0)</f>
        <v>0</v>
      </c>
      <c r="W542" s="9" t="str">
        <f>IFERROR(IF(OR(Q542="",Q542=0),"",IF(VLOOKUP(VALUE($A542),WEEKLY_DATA!$A:$H,6,0)=0,"No Sales",Q542/(VLOOKUP(VALUE($A542),WEEKLY_DATA!$A:$H,6,0)/13))),"")</f>
        <v/>
      </c>
      <c r="X542" s="10">
        <f>IFERROR(VLOOKUP(VALUE(A542),WEEKLY_DATA!$A:$H,8,0),0)</f>
        <v>0</v>
      </c>
      <c r="Y542" s="13" t="str">
        <f t="shared" si="16"/>
        <v>—</v>
      </c>
      <c r="Z542" s="11"/>
      <c r="AA542" s="11"/>
      <c r="AB542" s="11"/>
      <c r="AC542" s="11"/>
      <c r="AD542" s="11"/>
      <c r="AE542" s="11"/>
      <c r="AF542" s="61"/>
      <c r="AG542" s="61"/>
      <c r="AH542" s="62"/>
      <c r="AI542" s="62"/>
      <c r="AJ542" s="61"/>
      <c r="AK542" s="61"/>
      <c r="AL542" s="61"/>
      <c r="AM542" s="58"/>
      <c r="AN542" s="58"/>
      <c r="AO542" s="58"/>
      <c r="AP542" s="58"/>
      <c r="AQ542" s="58"/>
      <c r="AR542" s="58"/>
      <c r="AS542" s="91"/>
      <c r="AT542" s="93"/>
      <c r="AU542" s="93"/>
      <c r="AV542" s="93"/>
      <c r="AW542" s="93"/>
    </row>
    <row r="543" spans="1:49" x14ac:dyDescent="0.25">
      <c r="A543" s="59"/>
      <c r="B543" s="12"/>
      <c r="C543" s="12"/>
      <c r="D543" s="60"/>
      <c r="E543" s="6"/>
      <c r="F543" s="6"/>
      <c r="G543" s="12"/>
      <c r="H543" s="12"/>
      <c r="I543" s="12" t="str" cm="2">
        <f t="array" ref="I543">IFERROR(INDEX(BrandList!$B$2:$B$200,MATCH(TRUE,ISNUMBER(SEARCH(BrandList!$B$2:$B$200,G543)),0)),"")</f>
        <v/>
      </c>
      <c r="J543" s="12"/>
      <c r="K543" s="12"/>
      <c r="L543" s="60"/>
      <c r="M543" s="60"/>
      <c r="N543" s="60"/>
      <c r="O543" s="60"/>
      <c r="P543" s="7" t="str">
        <f t="shared" si="17"/>
        <v/>
      </c>
      <c r="Q543" s="8">
        <f>IFERROR(VLOOKUP(VALUE(A543),WEEKLY_DATA!$A:$H,2,0),0)</f>
        <v>0</v>
      </c>
      <c r="R543" s="8">
        <f>IFERROR(VLOOKUP(VALUE(A543),WEEKLY_DATA!$A:$H,3,0),0)</f>
        <v>0</v>
      </c>
      <c r="S543" s="8">
        <f>IFERROR(VLOOKUP(VALUE(A543),WEEKLY_DATA!$A:$H,4,0),0)</f>
        <v>0</v>
      </c>
      <c r="T543" s="51">
        <f>IFERROR(VLOOKUP(VALUE(A543),WEEKLY_DATA!$A:$H,5,0),0)</f>
        <v>0</v>
      </c>
      <c r="U543" s="51">
        <f>IFERROR(VLOOKUP(VALUE(A543),WEEKLY_DATA!$A:$H,6,0),0)</f>
        <v>0</v>
      </c>
      <c r="V543" s="51">
        <f>IFERROR(VLOOKUP(VALUE(A543),WEEKLY_DATA!$A:$H,7,0),0)</f>
        <v>0</v>
      </c>
      <c r="W543" s="9" t="str">
        <f>IFERROR(IF(OR(Q543="",Q543=0),"",IF(VLOOKUP(VALUE($A543),WEEKLY_DATA!$A:$H,6,0)=0,"No Sales",Q543/(VLOOKUP(VALUE($A543),WEEKLY_DATA!$A:$H,6,0)/13))),"")</f>
        <v/>
      </c>
      <c r="X543" s="10">
        <f>IFERROR(VLOOKUP(VALUE(A543),WEEKLY_DATA!$A:$H,8,0),0)</f>
        <v>0</v>
      </c>
      <c r="Y543" s="13" t="str">
        <f t="shared" si="16"/>
        <v>—</v>
      </c>
      <c r="Z543" s="11"/>
      <c r="AA543" s="11"/>
      <c r="AB543" s="11"/>
      <c r="AC543" s="11"/>
      <c r="AD543" s="11"/>
      <c r="AE543" s="11"/>
      <c r="AF543" s="61"/>
      <c r="AG543" s="61"/>
      <c r="AH543" s="62"/>
      <c r="AI543" s="62"/>
      <c r="AJ543" s="61"/>
      <c r="AK543" s="61"/>
      <c r="AL543" s="61"/>
      <c r="AM543" s="58"/>
      <c r="AN543" s="58"/>
      <c r="AO543" s="58"/>
      <c r="AP543" s="58"/>
      <c r="AQ543" s="58"/>
      <c r="AR543" s="58"/>
      <c r="AS543" s="91"/>
      <c r="AT543" s="93"/>
      <c r="AU543" s="93"/>
      <c r="AV543" s="93"/>
      <c r="AW543" s="93"/>
    </row>
    <row r="544" spans="1:49" x14ac:dyDescent="0.25">
      <c r="A544" s="59"/>
      <c r="B544" s="12"/>
      <c r="C544" s="12"/>
      <c r="D544" s="60"/>
      <c r="E544" s="6"/>
      <c r="F544" s="6"/>
      <c r="G544" s="12"/>
      <c r="H544" s="12"/>
      <c r="I544" s="12" t="str" cm="2">
        <f t="array" ref="I544">IFERROR(INDEX(BrandList!$B$2:$B$200,MATCH(TRUE,ISNUMBER(SEARCH(BrandList!$B$2:$B$200,G544)),0)),"")</f>
        <v/>
      </c>
      <c r="J544" s="12"/>
      <c r="K544" s="12"/>
      <c r="L544" s="60"/>
      <c r="M544" s="60"/>
      <c r="N544" s="60"/>
      <c r="O544" s="60"/>
      <c r="P544" s="7" t="str">
        <f t="shared" si="17"/>
        <v/>
      </c>
      <c r="Q544" s="8">
        <f>IFERROR(VLOOKUP(VALUE(A544),WEEKLY_DATA!$A:$H,2,0),0)</f>
        <v>0</v>
      </c>
      <c r="R544" s="8">
        <f>IFERROR(VLOOKUP(VALUE(A544),WEEKLY_DATA!$A:$H,3,0),0)</f>
        <v>0</v>
      </c>
      <c r="S544" s="8">
        <f>IFERROR(VLOOKUP(VALUE(A544),WEEKLY_DATA!$A:$H,4,0),0)</f>
        <v>0</v>
      </c>
      <c r="T544" s="51">
        <f>IFERROR(VLOOKUP(VALUE(A544),WEEKLY_DATA!$A:$H,5,0),0)</f>
        <v>0</v>
      </c>
      <c r="U544" s="51">
        <f>IFERROR(VLOOKUP(VALUE(A544),WEEKLY_DATA!$A:$H,6,0),0)</f>
        <v>0</v>
      </c>
      <c r="V544" s="51">
        <f>IFERROR(VLOOKUP(VALUE(A544),WEEKLY_DATA!$A:$H,7,0),0)</f>
        <v>0</v>
      </c>
      <c r="W544" s="9" t="str">
        <f>IFERROR(IF(OR(Q544="",Q544=0),"",IF(VLOOKUP(VALUE($A544),WEEKLY_DATA!$A:$H,6,0)=0,"No Sales",Q544/(VLOOKUP(VALUE($A544),WEEKLY_DATA!$A:$H,6,0)/13))),"")</f>
        <v/>
      </c>
      <c r="X544" s="10">
        <f>IFERROR(VLOOKUP(VALUE(A544),WEEKLY_DATA!$A:$H,8,0),0)</f>
        <v>0</v>
      </c>
      <c r="Y544" s="13" t="str">
        <f t="shared" si="16"/>
        <v>—</v>
      </c>
      <c r="Z544" s="11"/>
      <c r="AA544" s="11"/>
      <c r="AB544" s="11"/>
      <c r="AC544" s="11"/>
      <c r="AD544" s="11"/>
      <c r="AE544" s="11"/>
      <c r="AF544" s="61"/>
      <c r="AG544" s="61"/>
      <c r="AH544" s="62"/>
      <c r="AI544" s="62"/>
      <c r="AJ544" s="61"/>
      <c r="AK544" s="61"/>
      <c r="AL544" s="61"/>
      <c r="AM544" s="58"/>
      <c r="AN544" s="58"/>
      <c r="AO544" s="58"/>
      <c r="AP544" s="58"/>
      <c r="AQ544" s="58"/>
      <c r="AR544" s="58"/>
      <c r="AS544" s="91"/>
      <c r="AT544" s="93"/>
      <c r="AU544" s="93"/>
      <c r="AV544" s="93"/>
      <c r="AW544" s="93"/>
    </row>
    <row r="545" spans="1:49" x14ac:dyDescent="0.25">
      <c r="A545" s="59"/>
      <c r="B545" s="12"/>
      <c r="C545" s="12"/>
      <c r="D545" s="60"/>
      <c r="E545" s="6"/>
      <c r="F545" s="6"/>
      <c r="G545" s="12"/>
      <c r="H545" s="12"/>
      <c r="I545" s="12" t="str" cm="2">
        <f t="array" ref="I545">IFERROR(INDEX(BrandList!$B$2:$B$200,MATCH(TRUE,ISNUMBER(SEARCH(BrandList!$B$2:$B$200,G545)),0)),"")</f>
        <v/>
      </c>
      <c r="J545" s="12"/>
      <c r="K545" s="12"/>
      <c r="L545" s="60"/>
      <c r="M545" s="60"/>
      <c r="N545" s="60"/>
      <c r="O545" s="60"/>
      <c r="P545" s="7" t="str">
        <f t="shared" si="17"/>
        <v/>
      </c>
      <c r="Q545" s="8">
        <f>IFERROR(VLOOKUP(VALUE(A545),WEEKLY_DATA!$A:$H,2,0),0)</f>
        <v>0</v>
      </c>
      <c r="R545" s="8">
        <f>IFERROR(VLOOKUP(VALUE(A545),WEEKLY_DATA!$A:$H,3,0),0)</f>
        <v>0</v>
      </c>
      <c r="S545" s="8">
        <f>IFERROR(VLOOKUP(VALUE(A545),WEEKLY_DATA!$A:$H,4,0),0)</f>
        <v>0</v>
      </c>
      <c r="T545" s="51">
        <f>IFERROR(VLOOKUP(VALUE(A545),WEEKLY_DATA!$A:$H,5,0),0)</f>
        <v>0</v>
      </c>
      <c r="U545" s="51">
        <f>IFERROR(VLOOKUP(VALUE(A545),WEEKLY_DATA!$A:$H,6,0),0)</f>
        <v>0</v>
      </c>
      <c r="V545" s="51">
        <f>IFERROR(VLOOKUP(VALUE(A545),WEEKLY_DATA!$A:$H,7,0),0)</f>
        <v>0</v>
      </c>
      <c r="W545" s="9" t="str">
        <f>IFERROR(IF(OR(Q545="",Q545=0),"",IF(VLOOKUP(VALUE($A545),WEEKLY_DATA!$A:$H,6,0)=0,"No Sales",Q545/(VLOOKUP(VALUE($A545),WEEKLY_DATA!$A:$H,6,0)/13))),"")</f>
        <v/>
      </c>
      <c r="X545" s="10">
        <f>IFERROR(VLOOKUP(VALUE(A545),WEEKLY_DATA!$A:$H,8,0),0)</f>
        <v>0</v>
      </c>
      <c r="Y545" s="13" t="str">
        <f t="shared" si="16"/>
        <v>—</v>
      </c>
      <c r="Z545" s="11"/>
      <c r="AA545" s="11"/>
      <c r="AB545" s="11"/>
      <c r="AC545" s="11"/>
      <c r="AD545" s="11"/>
      <c r="AE545" s="11"/>
      <c r="AF545" s="61"/>
      <c r="AG545" s="61"/>
      <c r="AH545" s="62"/>
      <c r="AI545" s="62"/>
      <c r="AJ545" s="61"/>
      <c r="AK545" s="61"/>
      <c r="AL545" s="61"/>
      <c r="AM545" s="58"/>
      <c r="AN545" s="58"/>
      <c r="AO545" s="58"/>
      <c r="AP545" s="58"/>
      <c r="AQ545" s="58"/>
      <c r="AR545" s="58"/>
      <c r="AS545" s="91"/>
      <c r="AT545" s="93"/>
      <c r="AU545" s="93"/>
      <c r="AV545" s="93"/>
      <c r="AW545" s="93"/>
    </row>
    <row r="546" spans="1:49" x14ac:dyDescent="0.25">
      <c r="A546" s="59"/>
      <c r="B546" s="12"/>
      <c r="C546" s="12"/>
      <c r="D546" s="60"/>
      <c r="E546" s="6"/>
      <c r="F546" s="6"/>
      <c r="G546" s="12"/>
      <c r="H546" s="12"/>
      <c r="I546" s="12" t="str" cm="2">
        <f t="array" ref="I546">IFERROR(INDEX(BrandList!$B$2:$B$200,MATCH(TRUE,ISNUMBER(SEARCH(BrandList!$B$2:$B$200,G546)),0)),"")</f>
        <v/>
      </c>
      <c r="J546" s="12"/>
      <c r="K546" s="12"/>
      <c r="L546" s="60"/>
      <c r="M546" s="60"/>
      <c r="N546" s="60"/>
      <c r="O546" s="60"/>
      <c r="P546" s="7" t="str">
        <f t="shared" si="17"/>
        <v/>
      </c>
      <c r="Q546" s="8">
        <f>IFERROR(VLOOKUP(VALUE(A546),WEEKLY_DATA!$A:$H,2,0),0)</f>
        <v>0</v>
      </c>
      <c r="R546" s="8">
        <f>IFERROR(VLOOKUP(VALUE(A546),WEEKLY_DATA!$A:$H,3,0),0)</f>
        <v>0</v>
      </c>
      <c r="S546" s="8">
        <f>IFERROR(VLOOKUP(VALUE(A546),WEEKLY_DATA!$A:$H,4,0),0)</f>
        <v>0</v>
      </c>
      <c r="T546" s="51">
        <f>IFERROR(VLOOKUP(VALUE(A546),WEEKLY_DATA!$A:$H,5,0),0)</f>
        <v>0</v>
      </c>
      <c r="U546" s="51">
        <f>IFERROR(VLOOKUP(VALUE(A546),WEEKLY_DATA!$A:$H,6,0),0)</f>
        <v>0</v>
      </c>
      <c r="V546" s="51">
        <f>IFERROR(VLOOKUP(VALUE(A546),WEEKLY_DATA!$A:$H,7,0),0)</f>
        <v>0</v>
      </c>
      <c r="W546" s="9" t="str">
        <f>IFERROR(IF(OR(Q546="",Q546=0),"",IF(VLOOKUP(VALUE($A546),WEEKLY_DATA!$A:$H,6,0)=0,"No Sales",Q546/(VLOOKUP(VALUE($A546),WEEKLY_DATA!$A:$H,6,0)/13))),"")</f>
        <v/>
      </c>
      <c r="X546" s="10">
        <f>IFERROR(VLOOKUP(VALUE(A546),WEEKLY_DATA!$A:$H,8,0),0)</f>
        <v>0</v>
      </c>
      <c r="Y546" s="13" t="str">
        <f t="shared" si="16"/>
        <v>—</v>
      </c>
      <c r="Z546" s="11"/>
      <c r="AA546" s="11"/>
      <c r="AB546" s="11"/>
      <c r="AC546" s="11"/>
      <c r="AD546" s="11"/>
      <c r="AE546" s="11"/>
      <c r="AF546" s="61"/>
      <c r="AG546" s="61"/>
      <c r="AH546" s="62"/>
      <c r="AI546" s="62"/>
      <c r="AJ546" s="61"/>
      <c r="AK546" s="61"/>
      <c r="AL546" s="61"/>
      <c r="AM546" s="58"/>
      <c r="AN546" s="58"/>
      <c r="AO546" s="58"/>
      <c r="AP546" s="58"/>
      <c r="AQ546" s="58"/>
      <c r="AR546" s="58"/>
      <c r="AS546" s="91"/>
      <c r="AT546" s="93"/>
      <c r="AU546" s="93"/>
      <c r="AV546" s="93"/>
      <c r="AW546" s="93"/>
    </row>
    <row r="547" spans="1:49" x14ac:dyDescent="0.25">
      <c r="A547" s="59"/>
      <c r="B547" s="12"/>
      <c r="C547" s="12"/>
      <c r="D547" s="60"/>
      <c r="E547" s="6"/>
      <c r="F547" s="6"/>
      <c r="G547" s="12"/>
      <c r="H547" s="12"/>
      <c r="I547" s="12" t="str" cm="2">
        <f t="array" ref="I547">IFERROR(INDEX(BrandList!$B$2:$B$200,MATCH(TRUE,ISNUMBER(SEARCH(BrandList!$B$2:$B$200,G547)),0)),"")</f>
        <v/>
      </c>
      <c r="J547" s="12"/>
      <c r="K547" s="12"/>
      <c r="L547" s="60"/>
      <c r="M547" s="60"/>
      <c r="N547" s="60"/>
      <c r="O547" s="60"/>
      <c r="P547" s="7" t="str">
        <f t="shared" si="17"/>
        <v/>
      </c>
      <c r="Q547" s="8">
        <f>IFERROR(VLOOKUP(VALUE(A547),WEEKLY_DATA!$A:$H,2,0),0)</f>
        <v>0</v>
      </c>
      <c r="R547" s="8">
        <f>IFERROR(VLOOKUP(VALUE(A547),WEEKLY_DATA!$A:$H,3,0),0)</f>
        <v>0</v>
      </c>
      <c r="S547" s="8">
        <f>IFERROR(VLOOKUP(VALUE(A547),WEEKLY_DATA!$A:$H,4,0),0)</f>
        <v>0</v>
      </c>
      <c r="T547" s="51">
        <f>IFERROR(VLOOKUP(VALUE(A547),WEEKLY_DATA!$A:$H,5,0),0)</f>
        <v>0</v>
      </c>
      <c r="U547" s="51">
        <f>IFERROR(VLOOKUP(VALUE(A547),WEEKLY_DATA!$A:$H,6,0),0)</f>
        <v>0</v>
      </c>
      <c r="V547" s="51">
        <f>IFERROR(VLOOKUP(VALUE(A547),WEEKLY_DATA!$A:$H,7,0),0)</f>
        <v>0</v>
      </c>
      <c r="W547" s="9" t="str">
        <f>IFERROR(IF(OR(Q547="",Q547=0),"",IF(VLOOKUP(VALUE($A547),WEEKLY_DATA!$A:$H,6,0)=0,"No Sales",Q547/(VLOOKUP(VALUE($A547),WEEKLY_DATA!$A:$H,6,0)/13))),"")</f>
        <v/>
      </c>
      <c r="X547" s="10">
        <f>IFERROR(VLOOKUP(VALUE(A547),WEEKLY_DATA!$A:$H,8,0),0)</f>
        <v>0</v>
      </c>
      <c r="Y547" s="13" t="str">
        <f t="shared" si="16"/>
        <v>—</v>
      </c>
      <c r="Z547" s="11"/>
      <c r="AA547" s="11"/>
      <c r="AB547" s="11"/>
      <c r="AC547" s="11"/>
      <c r="AD547" s="11"/>
      <c r="AE547" s="11"/>
      <c r="AF547" s="61"/>
      <c r="AG547" s="61"/>
      <c r="AH547" s="62"/>
      <c r="AI547" s="62"/>
      <c r="AJ547" s="61"/>
      <c r="AK547" s="61"/>
      <c r="AL547" s="61"/>
      <c r="AM547" s="58"/>
      <c r="AN547" s="58"/>
      <c r="AO547" s="58"/>
      <c r="AP547" s="58"/>
      <c r="AQ547" s="58"/>
      <c r="AR547" s="58"/>
      <c r="AS547" s="91"/>
      <c r="AT547" s="93"/>
      <c r="AU547" s="93"/>
      <c r="AV547" s="93"/>
      <c r="AW547" s="93"/>
    </row>
    <row r="548" spans="1:49" x14ac:dyDescent="0.25">
      <c r="A548" s="59"/>
      <c r="B548" s="12"/>
      <c r="C548" s="12"/>
      <c r="D548" s="60"/>
      <c r="E548" s="6"/>
      <c r="F548" s="6"/>
      <c r="G548" s="12"/>
      <c r="H548" s="12"/>
      <c r="I548" s="12" t="str" cm="2">
        <f t="array" ref="I548">IFERROR(INDEX(BrandList!$B$2:$B$200,MATCH(TRUE,ISNUMBER(SEARCH(BrandList!$B$2:$B$200,G548)),0)),"")</f>
        <v/>
      </c>
      <c r="J548" s="12"/>
      <c r="K548" s="12"/>
      <c r="L548" s="60"/>
      <c r="M548" s="60"/>
      <c r="N548" s="60"/>
      <c r="O548" s="60"/>
      <c r="P548" s="7" t="str">
        <f t="shared" si="17"/>
        <v/>
      </c>
      <c r="Q548" s="8">
        <f>IFERROR(VLOOKUP(VALUE(A548),WEEKLY_DATA!$A:$H,2,0),0)</f>
        <v>0</v>
      </c>
      <c r="R548" s="8">
        <f>IFERROR(VLOOKUP(VALUE(A548),WEEKLY_DATA!$A:$H,3,0),0)</f>
        <v>0</v>
      </c>
      <c r="S548" s="8">
        <f>IFERROR(VLOOKUP(VALUE(A548),WEEKLY_DATA!$A:$H,4,0),0)</f>
        <v>0</v>
      </c>
      <c r="T548" s="51">
        <f>IFERROR(VLOOKUP(VALUE(A548),WEEKLY_DATA!$A:$H,5,0),0)</f>
        <v>0</v>
      </c>
      <c r="U548" s="51">
        <f>IFERROR(VLOOKUP(VALUE(A548),WEEKLY_DATA!$A:$H,6,0),0)</f>
        <v>0</v>
      </c>
      <c r="V548" s="51">
        <f>IFERROR(VLOOKUP(VALUE(A548),WEEKLY_DATA!$A:$H,7,0),0)</f>
        <v>0</v>
      </c>
      <c r="W548" s="9" t="str">
        <f>IFERROR(IF(OR(Q548="",Q548=0),"",IF(VLOOKUP(VALUE($A548),WEEKLY_DATA!$A:$H,6,0)=0,"No Sales",Q548/(VLOOKUP(VALUE($A548),WEEKLY_DATA!$A:$H,6,0)/13))),"")</f>
        <v/>
      </c>
      <c r="X548" s="10">
        <f>IFERROR(VLOOKUP(VALUE(A548),WEEKLY_DATA!$A:$H,8,0),0)</f>
        <v>0</v>
      </c>
      <c r="Y548" s="13" t="str">
        <f t="shared" si="16"/>
        <v>—</v>
      </c>
      <c r="Z548" s="11"/>
      <c r="AA548" s="11"/>
      <c r="AB548" s="11"/>
      <c r="AC548" s="11"/>
      <c r="AD548" s="11"/>
      <c r="AE548" s="11"/>
      <c r="AF548" s="61"/>
      <c r="AG548" s="61"/>
      <c r="AH548" s="62"/>
      <c r="AI548" s="62"/>
      <c r="AJ548" s="61"/>
      <c r="AK548" s="61"/>
      <c r="AL548" s="61"/>
      <c r="AM548" s="58"/>
      <c r="AN548" s="58"/>
      <c r="AO548" s="58"/>
      <c r="AP548" s="58"/>
      <c r="AQ548" s="58"/>
      <c r="AR548" s="58"/>
      <c r="AS548" s="91"/>
      <c r="AT548" s="93"/>
      <c r="AU548" s="93"/>
      <c r="AV548" s="93"/>
      <c r="AW548" s="93"/>
    </row>
    <row r="549" spans="1:49" x14ac:dyDescent="0.25">
      <c r="A549" s="59"/>
      <c r="B549" s="12"/>
      <c r="C549" s="12"/>
      <c r="D549" s="60"/>
      <c r="E549" s="6"/>
      <c r="F549" s="6"/>
      <c r="G549" s="12"/>
      <c r="H549" s="12"/>
      <c r="I549" s="12" t="str" cm="2">
        <f t="array" ref="I549">IFERROR(INDEX(BrandList!$B$2:$B$200,MATCH(TRUE,ISNUMBER(SEARCH(BrandList!$B$2:$B$200,G549)),0)),"")</f>
        <v/>
      </c>
      <c r="J549" s="12"/>
      <c r="K549" s="12"/>
      <c r="L549" s="60"/>
      <c r="M549" s="60"/>
      <c r="N549" s="60"/>
      <c r="O549" s="60"/>
      <c r="P549" s="7" t="str">
        <f t="shared" si="17"/>
        <v/>
      </c>
      <c r="Q549" s="8">
        <f>IFERROR(VLOOKUP(VALUE(A549),WEEKLY_DATA!$A:$H,2,0),0)</f>
        <v>0</v>
      </c>
      <c r="R549" s="8">
        <f>IFERROR(VLOOKUP(VALUE(A549),WEEKLY_DATA!$A:$H,3,0),0)</f>
        <v>0</v>
      </c>
      <c r="S549" s="8">
        <f>IFERROR(VLOOKUP(VALUE(A549),WEEKLY_DATA!$A:$H,4,0),0)</f>
        <v>0</v>
      </c>
      <c r="T549" s="51">
        <f>IFERROR(VLOOKUP(VALUE(A549),WEEKLY_DATA!$A:$H,5,0),0)</f>
        <v>0</v>
      </c>
      <c r="U549" s="51">
        <f>IFERROR(VLOOKUP(VALUE(A549),WEEKLY_DATA!$A:$H,6,0),0)</f>
        <v>0</v>
      </c>
      <c r="V549" s="51">
        <f>IFERROR(VLOOKUP(VALUE(A549),WEEKLY_DATA!$A:$H,7,0),0)</f>
        <v>0</v>
      </c>
      <c r="W549" s="9" t="str">
        <f>IFERROR(IF(OR(Q549="",Q549=0),"",IF(VLOOKUP(VALUE($A549),WEEKLY_DATA!$A:$H,6,0)=0,"No Sales",Q549/(VLOOKUP(VALUE($A549),WEEKLY_DATA!$A:$H,6,0)/13))),"")</f>
        <v/>
      </c>
      <c r="X549" s="10">
        <f>IFERROR(VLOOKUP(VALUE(A549),WEEKLY_DATA!$A:$H,8,0),0)</f>
        <v>0</v>
      </c>
      <c r="Y549" s="13" t="str">
        <f t="shared" si="16"/>
        <v>—</v>
      </c>
      <c r="Z549" s="11"/>
      <c r="AA549" s="11"/>
      <c r="AB549" s="11"/>
      <c r="AC549" s="11"/>
      <c r="AD549" s="11"/>
      <c r="AE549" s="11"/>
      <c r="AF549" s="61"/>
      <c r="AG549" s="61"/>
      <c r="AH549" s="62"/>
      <c r="AI549" s="62"/>
      <c r="AJ549" s="61"/>
      <c r="AK549" s="61"/>
      <c r="AL549" s="61"/>
      <c r="AM549" s="58"/>
      <c r="AN549" s="58"/>
      <c r="AO549" s="58"/>
      <c r="AP549" s="58"/>
      <c r="AQ549" s="58"/>
      <c r="AR549" s="58"/>
      <c r="AS549" s="91"/>
      <c r="AT549" s="93"/>
      <c r="AU549" s="93"/>
      <c r="AV549" s="93"/>
      <c r="AW549" s="93"/>
    </row>
    <row r="550" spans="1:49" x14ac:dyDescent="0.25">
      <c r="A550" s="59"/>
      <c r="B550" s="12"/>
      <c r="C550" s="12"/>
      <c r="D550" s="60"/>
      <c r="E550" s="6"/>
      <c r="F550" s="6"/>
      <c r="G550" s="12"/>
      <c r="H550" s="12"/>
      <c r="I550" s="12" t="str" cm="2">
        <f t="array" ref="I550">IFERROR(INDEX(BrandList!$B$2:$B$200,MATCH(TRUE,ISNUMBER(SEARCH(BrandList!$B$2:$B$200,G550)),0)),"")</f>
        <v/>
      </c>
      <c r="J550" s="12"/>
      <c r="K550" s="12"/>
      <c r="L550" s="60"/>
      <c r="M550" s="60"/>
      <c r="N550" s="60"/>
      <c r="O550" s="60"/>
      <c r="P550" s="7" t="str">
        <f t="shared" si="17"/>
        <v/>
      </c>
      <c r="Q550" s="8">
        <f>IFERROR(VLOOKUP(VALUE(A550),WEEKLY_DATA!$A:$H,2,0),0)</f>
        <v>0</v>
      </c>
      <c r="R550" s="8">
        <f>IFERROR(VLOOKUP(VALUE(A550),WEEKLY_DATA!$A:$H,3,0),0)</f>
        <v>0</v>
      </c>
      <c r="S550" s="8">
        <f>IFERROR(VLOOKUP(VALUE(A550),WEEKLY_DATA!$A:$H,4,0),0)</f>
        <v>0</v>
      </c>
      <c r="T550" s="51">
        <f>IFERROR(VLOOKUP(VALUE(A550),WEEKLY_DATA!$A:$H,5,0),0)</f>
        <v>0</v>
      </c>
      <c r="U550" s="51">
        <f>IFERROR(VLOOKUP(VALUE(A550),WEEKLY_DATA!$A:$H,6,0),0)</f>
        <v>0</v>
      </c>
      <c r="V550" s="51">
        <f>IFERROR(VLOOKUP(VALUE(A550),WEEKLY_DATA!$A:$H,7,0),0)</f>
        <v>0</v>
      </c>
      <c r="W550" s="9" t="str">
        <f>IFERROR(IF(OR(Q550="",Q550=0),"",IF(VLOOKUP(VALUE($A550),WEEKLY_DATA!$A:$H,6,0)=0,"No Sales",Q550/(VLOOKUP(VALUE($A550),WEEKLY_DATA!$A:$H,6,0)/13))),"")</f>
        <v/>
      </c>
      <c r="X550" s="10">
        <f>IFERROR(VLOOKUP(VALUE(A550),WEEKLY_DATA!$A:$H,8,0),0)</f>
        <v>0</v>
      </c>
      <c r="Y550" s="13" t="str">
        <f t="shared" si="16"/>
        <v>—</v>
      </c>
      <c r="Z550" s="11"/>
      <c r="AA550" s="11"/>
      <c r="AB550" s="11"/>
      <c r="AC550" s="11"/>
      <c r="AD550" s="11"/>
      <c r="AE550" s="11"/>
      <c r="AF550" s="61"/>
      <c r="AG550" s="61"/>
      <c r="AH550" s="62"/>
      <c r="AI550" s="62"/>
      <c r="AJ550" s="61"/>
      <c r="AK550" s="61"/>
      <c r="AL550" s="61"/>
      <c r="AM550" s="58"/>
      <c r="AN550" s="58"/>
      <c r="AO550" s="58"/>
      <c r="AP550" s="58"/>
      <c r="AQ550" s="58"/>
      <c r="AR550" s="58"/>
      <c r="AS550" s="91"/>
      <c r="AT550" s="93"/>
      <c r="AU550" s="93"/>
      <c r="AV550" s="93"/>
      <c r="AW550" s="93"/>
    </row>
    <row r="551" spans="1:49" x14ac:dyDescent="0.25">
      <c r="A551" s="59"/>
      <c r="B551" s="12"/>
      <c r="C551" s="12"/>
      <c r="D551" s="60"/>
      <c r="E551" s="6"/>
      <c r="F551" s="6"/>
      <c r="G551" s="12"/>
      <c r="H551" s="12"/>
      <c r="I551" s="12" t="str" cm="2">
        <f t="array" ref="I551">IFERROR(INDEX(BrandList!$B$2:$B$200,MATCH(TRUE,ISNUMBER(SEARCH(BrandList!$B$2:$B$200,G551)),0)),"")</f>
        <v/>
      </c>
      <c r="J551" s="12"/>
      <c r="K551" s="12"/>
      <c r="L551" s="60"/>
      <c r="M551" s="60"/>
      <c r="N551" s="60"/>
      <c r="O551" s="60"/>
      <c r="P551" s="7" t="str">
        <f t="shared" si="17"/>
        <v/>
      </c>
      <c r="Q551" s="8">
        <f>IFERROR(VLOOKUP(VALUE(A551),WEEKLY_DATA!$A:$H,2,0),0)</f>
        <v>0</v>
      </c>
      <c r="R551" s="8">
        <f>IFERROR(VLOOKUP(VALUE(A551),WEEKLY_DATA!$A:$H,3,0),0)</f>
        <v>0</v>
      </c>
      <c r="S551" s="8">
        <f>IFERROR(VLOOKUP(VALUE(A551),WEEKLY_DATA!$A:$H,4,0),0)</f>
        <v>0</v>
      </c>
      <c r="T551" s="51">
        <f>IFERROR(VLOOKUP(VALUE(A551),WEEKLY_DATA!$A:$H,5,0),0)</f>
        <v>0</v>
      </c>
      <c r="U551" s="51">
        <f>IFERROR(VLOOKUP(VALUE(A551),WEEKLY_DATA!$A:$H,6,0),0)</f>
        <v>0</v>
      </c>
      <c r="V551" s="51">
        <f>IFERROR(VLOOKUP(VALUE(A551),WEEKLY_DATA!$A:$H,7,0),0)</f>
        <v>0</v>
      </c>
      <c r="W551" s="9" t="str">
        <f>IFERROR(IF(OR(Q551="",Q551=0),"",IF(VLOOKUP(VALUE($A551),WEEKLY_DATA!$A:$H,6,0)=0,"No Sales",Q551/(VLOOKUP(VALUE($A551),WEEKLY_DATA!$A:$H,6,0)/13))),"")</f>
        <v/>
      </c>
      <c r="X551" s="10">
        <f>IFERROR(VLOOKUP(VALUE(A551),WEEKLY_DATA!$A:$H,8,0),0)</f>
        <v>0</v>
      </c>
      <c r="Y551" s="13" t="str">
        <f t="shared" si="16"/>
        <v>—</v>
      </c>
      <c r="Z551" s="11"/>
      <c r="AA551" s="11"/>
      <c r="AB551" s="11"/>
      <c r="AC551" s="11"/>
      <c r="AD551" s="11"/>
      <c r="AE551" s="11"/>
      <c r="AF551" s="61"/>
      <c r="AG551" s="61"/>
      <c r="AH551" s="62"/>
      <c r="AI551" s="62"/>
      <c r="AJ551" s="61"/>
      <c r="AK551" s="61"/>
      <c r="AL551" s="61"/>
      <c r="AM551" s="58"/>
      <c r="AN551" s="58"/>
      <c r="AO551" s="58"/>
      <c r="AP551" s="58"/>
      <c r="AQ551" s="58"/>
      <c r="AR551" s="58"/>
      <c r="AS551" s="91"/>
      <c r="AT551" s="93"/>
      <c r="AU551" s="93"/>
      <c r="AV551" s="93"/>
      <c r="AW551" s="93"/>
    </row>
    <row r="552" spans="1:49" x14ac:dyDescent="0.25">
      <c r="A552" s="59"/>
      <c r="B552" s="12"/>
      <c r="C552" s="12"/>
      <c r="D552" s="60"/>
      <c r="E552" s="6"/>
      <c r="F552" s="6"/>
      <c r="G552" s="12"/>
      <c r="H552" s="12"/>
      <c r="I552" s="12" t="str" cm="2">
        <f t="array" ref="I552">IFERROR(INDEX(BrandList!$B$2:$B$200,MATCH(TRUE,ISNUMBER(SEARCH(BrandList!$B$2:$B$200,G552)),0)),"")</f>
        <v/>
      </c>
      <c r="J552" s="12"/>
      <c r="K552" s="12"/>
      <c r="L552" s="60"/>
      <c r="M552" s="60"/>
      <c r="N552" s="60"/>
      <c r="O552" s="60"/>
      <c r="P552" s="7" t="str">
        <f t="shared" si="17"/>
        <v/>
      </c>
      <c r="Q552" s="8">
        <f>IFERROR(VLOOKUP(VALUE(A552),WEEKLY_DATA!$A:$H,2,0),0)</f>
        <v>0</v>
      </c>
      <c r="R552" s="8">
        <f>IFERROR(VLOOKUP(VALUE(A552),WEEKLY_DATA!$A:$H,3,0),0)</f>
        <v>0</v>
      </c>
      <c r="S552" s="8">
        <f>IFERROR(VLOOKUP(VALUE(A552),WEEKLY_DATA!$A:$H,4,0),0)</f>
        <v>0</v>
      </c>
      <c r="T552" s="51">
        <f>IFERROR(VLOOKUP(VALUE(A552),WEEKLY_DATA!$A:$H,5,0),0)</f>
        <v>0</v>
      </c>
      <c r="U552" s="51">
        <f>IFERROR(VLOOKUP(VALUE(A552),WEEKLY_DATA!$A:$H,6,0),0)</f>
        <v>0</v>
      </c>
      <c r="V552" s="51">
        <f>IFERROR(VLOOKUP(VALUE(A552),WEEKLY_DATA!$A:$H,7,0),0)</f>
        <v>0</v>
      </c>
      <c r="W552" s="9" t="str">
        <f>IFERROR(IF(OR(Q552="",Q552=0),"",IF(VLOOKUP(VALUE($A552),WEEKLY_DATA!$A:$H,6,0)=0,"No Sales",Q552/(VLOOKUP(VALUE($A552),WEEKLY_DATA!$A:$H,6,0)/13))),"")</f>
        <v/>
      </c>
      <c r="X552" s="10">
        <f>IFERROR(VLOOKUP(VALUE(A552),WEEKLY_DATA!$A:$H,8,0),0)</f>
        <v>0</v>
      </c>
      <c r="Y552" s="13" t="str">
        <f t="shared" si="16"/>
        <v>—</v>
      </c>
      <c r="Z552" s="11"/>
      <c r="AA552" s="11"/>
      <c r="AB552" s="11"/>
      <c r="AC552" s="11"/>
      <c r="AD552" s="11"/>
      <c r="AE552" s="11"/>
      <c r="AF552" s="61"/>
      <c r="AG552" s="61"/>
      <c r="AH552" s="62"/>
      <c r="AI552" s="62"/>
      <c r="AJ552" s="61"/>
      <c r="AK552" s="61"/>
      <c r="AL552" s="61"/>
      <c r="AM552" s="58"/>
      <c r="AN552" s="58"/>
      <c r="AO552" s="58"/>
      <c r="AP552" s="58"/>
      <c r="AQ552" s="58"/>
      <c r="AR552" s="58"/>
      <c r="AS552" s="91"/>
      <c r="AT552" s="93"/>
      <c r="AU552" s="93"/>
      <c r="AV552" s="93"/>
      <c r="AW552" s="93"/>
    </row>
    <row r="553" spans="1:49" x14ac:dyDescent="0.25">
      <c r="A553" s="59"/>
      <c r="B553" s="12"/>
      <c r="C553" s="12"/>
      <c r="D553" s="60"/>
      <c r="E553" s="6"/>
      <c r="F553" s="6"/>
      <c r="G553" s="12"/>
      <c r="H553" s="12"/>
      <c r="I553" s="12" t="str" cm="2">
        <f t="array" ref="I553">IFERROR(INDEX(BrandList!$B$2:$B$200,MATCH(TRUE,ISNUMBER(SEARCH(BrandList!$B$2:$B$200,G553)),0)),"")</f>
        <v/>
      </c>
      <c r="J553" s="12"/>
      <c r="K553" s="12"/>
      <c r="L553" s="60"/>
      <c r="M553" s="60"/>
      <c r="N553" s="60"/>
      <c r="O553" s="60"/>
      <c r="P553" s="7" t="str">
        <f t="shared" si="17"/>
        <v/>
      </c>
      <c r="Q553" s="8">
        <f>IFERROR(VLOOKUP(VALUE(A553),WEEKLY_DATA!$A:$H,2,0),0)</f>
        <v>0</v>
      </c>
      <c r="R553" s="8">
        <f>IFERROR(VLOOKUP(VALUE(A553),WEEKLY_DATA!$A:$H,3,0),0)</f>
        <v>0</v>
      </c>
      <c r="S553" s="8">
        <f>IFERROR(VLOOKUP(VALUE(A553),WEEKLY_DATA!$A:$H,4,0),0)</f>
        <v>0</v>
      </c>
      <c r="T553" s="51">
        <f>IFERROR(VLOOKUP(VALUE(A553),WEEKLY_DATA!$A:$H,5,0),0)</f>
        <v>0</v>
      </c>
      <c r="U553" s="51">
        <f>IFERROR(VLOOKUP(VALUE(A553),WEEKLY_DATA!$A:$H,6,0),0)</f>
        <v>0</v>
      </c>
      <c r="V553" s="51">
        <f>IFERROR(VLOOKUP(VALUE(A553),WEEKLY_DATA!$A:$H,7,0),0)</f>
        <v>0</v>
      </c>
      <c r="W553" s="9" t="str">
        <f>IFERROR(IF(OR(Q553="",Q553=0),"",IF(VLOOKUP(VALUE($A553),WEEKLY_DATA!$A:$H,6,0)=0,"No Sales",Q553/(VLOOKUP(VALUE($A553),WEEKLY_DATA!$A:$H,6,0)/13))),"")</f>
        <v/>
      </c>
      <c r="X553" s="10">
        <f>IFERROR(VLOOKUP(VALUE(A553),WEEKLY_DATA!$A:$H,8,0),0)</f>
        <v>0</v>
      </c>
      <c r="Y553" s="13" t="str">
        <f t="shared" si="16"/>
        <v>—</v>
      </c>
      <c r="Z553" s="11"/>
      <c r="AA553" s="11"/>
      <c r="AB553" s="11"/>
      <c r="AC553" s="11"/>
      <c r="AD553" s="11"/>
      <c r="AE553" s="11"/>
      <c r="AF553" s="61"/>
      <c r="AG553" s="61"/>
      <c r="AH553" s="62"/>
      <c r="AI553" s="62"/>
      <c r="AJ553" s="61"/>
      <c r="AK553" s="61"/>
      <c r="AL553" s="61"/>
      <c r="AM553" s="58"/>
      <c r="AN553" s="58"/>
      <c r="AO553" s="58"/>
      <c r="AP553" s="58"/>
      <c r="AQ553" s="58"/>
      <c r="AR553" s="58"/>
      <c r="AS553" s="91"/>
      <c r="AT553" s="93"/>
      <c r="AU553" s="93"/>
      <c r="AV553" s="93"/>
      <c r="AW553" s="93"/>
    </row>
    <row r="554" spans="1:49" x14ac:dyDescent="0.25">
      <c r="A554" s="59"/>
      <c r="B554" s="12"/>
      <c r="C554" s="12"/>
      <c r="D554" s="60"/>
      <c r="E554" s="6"/>
      <c r="F554" s="6"/>
      <c r="G554" s="12"/>
      <c r="H554" s="12"/>
      <c r="I554" s="12" t="str" cm="2">
        <f t="array" ref="I554">IFERROR(INDEX(BrandList!$B$2:$B$200,MATCH(TRUE,ISNUMBER(SEARCH(BrandList!$B$2:$B$200,G554)),0)),"")</f>
        <v/>
      </c>
      <c r="J554" s="12"/>
      <c r="K554" s="12"/>
      <c r="L554" s="60"/>
      <c r="M554" s="60"/>
      <c r="N554" s="60"/>
      <c r="O554" s="60"/>
      <c r="P554" s="7" t="str">
        <f t="shared" si="17"/>
        <v/>
      </c>
      <c r="Q554" s="8">
        <f>IFERROR(VLOOKUP(VALUE(A554),WEEKLY_DATA!$A:$H,2,0),0)</f>
        <v>0</v>
      </c>
      <c r="R554" s="8">
        <f>IFERROR(VLOOKUP(VALUE(A554),WEEKLY_DATA!$A:$H,3,0),0)</f>
        <v>0</v>
      </c>
      <c r="S554" s="8">
        <f>IFERROR(VLOOKUP(VALUE(A554),WEEKLY_DATA!$A:$H,4,0),0)</f>
        <v>0</v>
      </c>
      <c r="T554" s="51">
        <f>IFERROR(VLOOKUP(VALUE(A554),WEEKLY_DATA!$A:$H,5,0),0)</f>
        <v>0</v>
      </c>
      <c r="U554" s="51">
        <f>IFERROR(VLOOKUP(VALUE(A554),WEEKLY_DATA!$A:$H,6,0),0)</f>
        <v>0</v>
      </c>
      <c r="V554" s="51">
        <f>IFERROR(VLOOKUP(VALUE(A554),WEEKLY_DATA!$A:$H,7,0),0)</f>
        <v>0</v>
      </c>
      <c r="W554" s="9" t="str">
        <f>IFERROR(IF(OR(Q554="",Q554=0),"",IF(VLOOKUP(VALUE($A554),WEEKLY_DATA!$A:$H,6,0)=0,"No Sales",Q554/(VLOOKUP(VALUE($A554),WEEKLY_DATA!$A:$H,6,0)/13))),"")</f>
        <v/>
      </c>
      <c r="X554" s="10">
        <f>IFERROR(VLOOKUP(VALUE(A554),WEEKLY_DATA!$A:$H,8,0),0)</f>
        <v>0</v>
      </c>
      <c r="Y554" s="13" t="str">
        <f t="shared" si="16"/>
        <v>—</v>
      </c>
      <c r="Z554" s="11"/>
      <c r="AA554" s="11"/>
      <c r="AB554" s="11"/>
      <c r="AC554" s="11"/>
      <c r="AD554" s="11"/>
      <c r="AE554" s="11"/>
      <c r="AF554" s="61"/>
      <c r="AG554" s="61"/>
      <c r="AH554" s="62"/>
      <c r="AI554" s="62"/>
      <c r="AJ554" s="61"/>
      <c r="AK554" s="61"/>
      <c r="AL554" s="61"/>
      <c r="AM554" s="58"/>
      <c r="AN554" s="58"/>
      <c r="AO554" s="58"/>
      <c r="AP554" s="58"/>
      <c r="AQ554" s="58"/>
      <c r="AR554" s="58"/>
      <c r="AS554" s="91"/>
      <c r="AT554" s="93"/>
      <c r="AU554" s="93"/>
      <c r="AV554" s="93"/>
      <c r="AW554" s="93"/>
    </row>
    <row r="555" spans="1:49" x14ac:dyDescent="0.25">
      <c r="A555" s="59"/>
      <c r="B555" s="12"/>
      <c r="C555" s="12"/>
      <c r="D555" s="60"/>
      <c r="E555" s="6"/>
      <c r="F555" s="6"/>
      <c r="G555" s="12"/>
      <c r="H555" s="12"/>
      <c r="I555" s="12" t="str" cm="2">
        <f t="array" ref="I555">IFERROR(INDEX(BrandList!$B$2:$B$200,MATCH(TRUE,ISNUMBER(SEARCH(BrandList!$B$2:$B$200,G555)),0)),"")</f>
        <v/>
      </c>
      <c r="J555" s="12"/>
      <c r="K555" s="12"/>
      <c r="L555" s="60"/>
      <c r="M555" s="60"/>
      <c r="N555" s="60"/>
      <c r="O555" s="60"/>
      <c r="P555" s="7" t="str">
        <f t="shared" si="17"/>
        <v/>
      </c>
      <c r="Q555" s="8">
        <f>IFERROR(VLOOKUP(VALUE(A555),WEEKLY_DATA!$A:$H,2,0),0)</f>
        <v>0</v>
      </c>
      <c r="R555" s="8">
        <f>IFERROR(VLOOKUP(VALUE(A555),WEEKLY_DATA!$A:$H,3,0),0)</f>
        <v>0</v>
      </c>
      <c r="S555" s="8">
        <f>IFERROR(VLOOKUP(VALUE(A555),WEEKLY_DATA!$A:$H,4,0),0)</f>
        <v>0</v>
      </c>
      <c r="T555" s="51">
        <f>IFERROR(VLOOKUP(VALUE(A555),WEEKLY_DATA!$A:$H,5,0),0)</f>
        <v>0</v>
      </c>
      <c r="U555" s="51">
        <f>IFERROR(VLOOKUP(VALUE(A555),WEEKLY_DATA!$A:$H,6,0),0)</f>
        <v>0</v>
      </c>
      <c r="V555" s="51">
        <f>IFERROR(VLOOKUP(VALUE(A555),WEEKLY_DATA!$A:$H,7,0),0)</f>
        <v>0</v>
      </c>
      <c r="W555" s="9" t="str">
        <f>IFERROR(IF(OR(Q555="",Q555=0),"",IF(VLOOKUP(VALUE($A555),WEEKLY_DATA!$A:$H,6,0)=0,"No Sales",Q555/(VLOOKUP(VALUE($A555),WEEKLY_DATA!$A:$H,6,0)/13))),"")</f>
        <v/>
      </c>
      <c r="X555" s="10">
        <f>IFERROR(VLOOKUP(VALUE(A555),WEEKLY_DATA!$A:$H,8,0),0)</f>
        <v>0</v>
      </c>
      <c r="Y555" s="13" t="str">
        <f t="shared" si="16"/>
        <v>—</v>
      </c>
      <c r="Z555" s="11"/>
      <c r="AA555" s="11"/>
      <c r="AB555" s="11"/>
      <c r="AC555" s="11"/>
      <c r="AD555" s="11"/>
      <c r="AE555" s="11"/>
      <c r="AF555" s="61"/>
      <c r="AG555" s="61"/>
      <c r="AH555" s="62"/>
      <c r="AI555" s="62"/>
      <c r="AJ555" s="61"/>
      <c r="AK555" s="61"/>
      <c r="AL555" s="61"/>
      <c r="AM555" s="58"/>
      <c r="AN555" s="58"/>
      <c r="AO555" s="58"/>
      <c r="AP555" s="58"/>
      <c r="AQ555" s="58"/>
      <c r="AR555" s="58"/>
      <c r="AS555" s="91"/>
      <c r="AT555" s="93"/>
      <c r="AU555" s="93"/>
      <c r="AV555" s="93"/>
      <c r="AW555" s="93"/>
    </row>
    <row r="556" spans="1:49" x14ac:dyDescent="0.25">
      <c r="A556" s="59"/>
      <c r="B556" s="12"/>
      <c r="C556" s="12"/>
      <c r="D556" s="60"/>
      <c r="E556" s="6"/>
      <c r="F556" s="6"/>
      <c r="G556" s="12"/>
      <c r="H556" s="12"/>
      <c r="I556" s="12" t="str" cm="2">
        <f t="array" ref="I556">IFERROR(INDEX(BrandList!$B$2:$B$200,MATCH(TRUE,ISNUMBER(SEARCH(BrandList!$B$2:$B$200,G556)),0)),"")</f>
        <v/>
      </c>
      <c r="J556" s="12"/>
      <c r="K556" s="12"/>
      <c r="L556" s="60"/>
      <c r="M556" s="60"/>
      <c r="N556" s="60"/>
      <c r="O556" s="60"/>
      <c r="P556" s="7" t="str">
        <f t="shared" si="17"/>
        <v/>
      </c>
      <c r="Q556" s="8">
        <f>IFERROR(VLOOKUP(VALUE(A556),WEEKLY_DATA!$A:$H,2,0),0)</f>
        <v>0</v>
      </c>
      <c r="R556" s="8">
        <f>IFERROR(VLOOKUP(VALUE(A556),WEEKLY_DATA!$A:$H,3,0),0)</f>
        <v>0</v>
      </c>
      <c r="S556" s="8">
        <f>IFERROR(VLOOKUP(VALUE(A556),WEEKLY_DATA!$A:$H,4,0),0)</f>
        <v>0</v>
      </c>
      <c r="T556" s="51">
        <f>IFERROR(VLOOKUP(VALUE(A556),WEEKLY_DATA!$A:$H,5,0),0)</f>
        <v>0</v>
      </c>
      <c r="U556" s="51">
        <f>IFERROR(VLOOKUP(VALUE(A556),WEEKLY_DATA!$A:$H,6,0),0)</f>
        <v>0</v>
      </c>
      <c r="V556" s="51">
        <f>IFERROR(VLOOKUP(VALUE(A556),WEEKLY_DATA!$A:$H,7,0),0)</f>
        <v>0</v>
      </c>
      <c r="W556" s="9" t="str">
        <f>IFERROR(IF(OR(Q556="",Q556=0),"",IF(VLOOKUP(VALUE($A556),WEEKLY_DATA!$A:$H,6,0)=0,"No Sales",Q556/(VLOOKUP(VALUE($A556),WEEKLY_DATA!$A:$H,6,0)/13))),"")</f>
        <v/>
      </c>
      <c r="X556" s="10">
        <f>IFERROR(VLOOKUP(VALUE(A556),WEEKLY_DATA!$A:$H,8,0),0)</f>
        <v>0</v>
      </c>
      <c r="Y556" s="13" t="str">
        <f t="shared" si="16"/>
        <v>—</v>
      </c>
      <c r="Z556" s="11"/>
      <c r="AA556" s="11"/>
      <c r="AB556" s="11"/>
      <c r="AC556" s="11"/>
      <c r="AD556" s="11"/>
      <c r="AE556" s="11"/>
      <c r="AF556" s="61"/>
      <c r="AG556" s="61"/>
      <c r="AH556" s="62"/>
      <c r="AI556" s="62"/>
      <c r="AJ556" s="61"/>
      <c r="AK556" s="61"/>
      <c r="AL556" s="61"/>
      <c r="AM556" s="58"/>
      <c r="AN556" s="58"/>
      <c r="AO556" s="58"/>
      <c r="AP556" s="58"/>
      <c r="AQ556" s="58"/>
      <c r="AR556" s="58"/>
      <c r="AS556" s="91"/>
      <c r="AT556" s="93"/>
      <c r="AU556" s="93"/>
      <c r="AV556" s="93"/>
      <c r="AW556" s="93"/>
    </row>
    <row r="557" spans="1:49" x14ac:dyDescent="0.25">
      <c r="A557" s="59"/>
      <c r="B557" s="12"/>
      <c r="C557" s="12"/>
      <c r="D557" s="60"/>
      <c r="E557" s="6"/>
      <c r="F557" s="6"/>
      <c r="G557" s="12"/>
      <c r="H557" s="12"/>
      <c r="I557" s="12" t="str" cm="2">
        <f t="array" ref="I557">IFERROR(INDEX(BrandList!$B$2:$B$200,MATCH(TRUE,ISNUMBER(SEARCH(BrandList!$B$2:$B$200,G557)),0)),"")</f>
        <v/>
      </c>
      <c r="J557" s="12"/>
      <c r="K557" s="12"/>
      <c r="L557" s="60"/>
      <c r="M557" s="60"/>
      <c r="N557" s="60"/>
      <c r="O557" s="60"/>
      <c r="P557" s="7" t="str">
        <f t="shared" si="17"/>
        <v/>
      </c>
      <c r="Q557" s="8">
        <f>IFERROR(VLOOKUP(VALUE(A557),WEEKLY_DATA!$A:$H,2,0),0)</f>
        <v>0</v>
      </c>
      <c r="R557" s="8">
        <f>IFERROR(VLOOKUP(VALUE(A557),WEEKLY_DATA!$A:$H,3,0),0)</f>
        <v>0</v>
      </c>
      <c r="S557" s="8">
        <f>IFERROR(VLOOKUP(VALUE(A557),WEEKLY_DATA!$A:$H,4,0),0)</f>
        <v>0</v>
      </c>
      <c r="T557" s="51">
        <f>IFERROR(VLOOKUP(VALUE(A557),WEEKLY_DATA!$A:$H,5,0),0)</f>
        <v>0</v>
      </c>
      <c r="U557" s="51">
        <f>IFERROR(VLOOKUP(VALUE(A557),WEEKLY_DATA!$A:$H,6,0),0)</f>
        <v>0</v>
      </c>
      <c r="V557" s="51">
        <f>IFERROR(VLOOKUP(VALUE(A557),WEEKLY_DATA!$A:$H,7,0),0)</f>
        <v>0</v>
      </c>
      <c r="W557" s="9" t="str">
        <f>IFERROR(IF(OR(Q557="",Q557=0),"",IF(VLOOKUP(VALUE($A557),WEEKLY_DATA!$A:$H,6,0)=0,"No Sales",Q557/(VLOOKUP(VALUE($A557),WEEKLY_DATA!$A:$H,6,0)/13))),"")</f>
        <v/>
      </c>
      <c r="X557" s="10">
        <f>IFERROR(VLOOKUP(VALUE(A557),WEEKLY_DATA!$A:$H,8,0),0)</f>
        <v>0</v>
      </c>
      <c r="Y557" s="13" t="str">
        <f t="shared" si="16"/>
        <v>—</v>
      </c>
      <c r="Z557" s="11"/>
      <c r="AA557" s="11"/>
      <c r="AB557" s="11"/>
      <c r="AC557" s="11"/>
      <c r="AD557" s="11"/>
      <c r="AE557" s="11"/>
      <c r="AF557" s="61"/>
      <c r="AG557" s="61"/>
      <c r="AH557" s="62"/>
      <c r="AI557" s="62"/>
      <c r="AJ557" s="61"/>
      <c r="AK557" s="61"/>
      <c r="AL557" s="61"/>
      <c r="AM557" s="58"/>
      <c r="AN557" s="58"/>
      <c r="AO557" s="58"/>
      <c r="AP557" s="58"/>
      <c r="AQ557" s="58"/>
      <c r="AR557" s="58"/>
      <c r="AS557" s="91"/>
      <c r="AT557" s="93"/>
      <c r="AU557" s="93"/>
      <c r="AV557" s="93"/>
      <c r="AW557" s="93"/>
    </row>
    <row r="558" spans="1:49" x14ac:dyDescent="0.25">
      <c r="A558" s="59"/>
      <c r="B558" s="12"/>
      <c r="C558" s="12"/>
      <c r="D558" s="60"/>
      <c r="E558" s="6"/>
      <c r="F558" s="6"/>
      <c r="G558" s="12"/>
      <c r="H558" s="12"/>
      <c r="I558" s="12" t="str" cm="2">
        <f t="array" ref="I558">IFERROR(INDEX(BrandList!$B$2:$B$200,MATCH(TRUE,ISNUMBER(SEARCH(BrandList!$B$2:$B$200,G558)),0)),"")</f>
        <v/>
      </c>
      <c r="J558" s="12"/>
      <c r="K558" s="12"/>
      <c r="L558" s="60"/>
      <c r="M558" s="60"/>
      <c r="N558" s="60"/>
      <c r="O558" s="60"/>
      <c r="P558" s="7" t="str">
        <f t="shared" si="17"/>
        <v/>
      </c>
      <c r="Q558" s="8">
        <f>IFERROR(VLOOKUP(VALUE(A558),WEEKLY_DATA!$A:$H,2,0),0)</f>
        <v>0</v>
      </c>
      <c r="R558" s="8">
        <f>IFERROR(VLOOKUP(VALUE(A558),WEEKLY_DATA!$A:$H,3,0),0)</f>
        <v>0</v>
      </c>
      <c r="S558" s="8">
        <f>IFERROR(VLOOKUP(VALUE(A558),WEEKLY_DATA!$A:$H,4,0),0)</f>
        <v>0</v>
      </c>
      <c r="T558" s="51">
        <f>IFERROR(VLOOKUP(VALUE(A558),WEEKLY_DATA!$A:$H,5,0),0)</f>
        <v>0</v>
      </c>
      <c r="U558" s="51">
        <f>IFERROR(VLOOKUP(VALUE(A558),WEEKLY_DATA!$A:$H,6,0),0)</f>
        <v>0</v>
      </c>
      <c r="V558" s="51">
        <f>IFERROR(VLOOKUP(VALUE(A558),WEEKLY_DATA!$A:$H,7,0),0)</f>
        <v>0</v>
      </c>
      <c r="W558" s="9" t="str">
        <f>IFERROR(IF(OR(Q558="",Q558=0),"",IF(VLOOKUP(VALUE($A558),WEEKLY_DATA!$A:$H,6,0)=0,"No Sales",Q558/(VLOOKUP(VALUE($A558),WEEKLY_DATA!$A:$H,6,0)/13))),"")</f>
        <v/>
      </c>
      <c r="X558" s="10">
        <f>IFERROR(VLOOKUP(VALUE(A558),WEEKLY_DATA!$A:$H,8,0),0)</f>
        <v>0</v>
      </c>
      <c r="Y558" s="13" t="str">
        <f t="shared" si="16"/>
        <v>—</v>
      </c>
      <c r="Z558" s="11"/>
      <c r="AA558" s="11"/>
      <c r="AB558" s="11"/>
      <c r="AC558" s="11"/>
      <c r="AD558" s="11"/>
      <c r="AE558" s="11"/>
      <c r="AF558" s="61"/>
      <c r="AG558" s="61"/>
      <c r="AH558" s="62"/>
      <c r="AI558" s="62"/>
      <c r="AJ558" s="61"/>
      <c r="AK558" s="61"/>
      <c r="AL558" s="61"/>
      <c r="AM558" s="58"/>
      <c r="AN558" s="58"/>
      <c r="AO558" s="58"/>
      <c r="AP558" s="58"/>
      <c r="AQ558" s="58"/>
      <c r="AR558" s="58"/>
      <c r="AS558" s="91"/>
      <c r="AT558" s="93"/>
      <c r="AU558" s="93"/>
      <c r="AV558" s="93"/>
      <c r="AW558" s="93"/>
    </row>
    <row r="559" spans="1:49" x14ac:dyDescent="0.25">
      <c r="A559" s="59"/>
      <c r="B559" s="12"/>
      <c r="C559" s="12"/>
      <c r="D559" s="60"/>
      <c r="E559" s="6"/>
      <c r="F559" s="6"/>
      <c r="G559" s="12"/>
      <c r="H559" s="12"/>
      <c r="I559" s="12" t="str" cm="2">
        <f t="array" ref="I559">IFERROR(INDEX(BrandList!$B$2:$B$200,MATCH(TRUE,ISNUMBER(SEARCH(BrandList!$B$2:$B$200,G559)),0)),"")</f>
        <v/>
      </c>
      <c r="J559" s="12"/>
      <c r="K559" s="12"/>
      <c r="L559" s="60"/>
      <c r="M559" s="60"/>
      <c r="N559" s="60"/>
      <c r="O559" s="60"/>
      <c r="P559" s="7" t="str">
        <f t="shared" si="17"/>
        <v/>
      </c>
      <c r="Q559" s="8">
        <f>IFERROR(VLOOKUP(VALUE(A559),WEEKLY_DATA!$A:$H,2,0),0)</f>
        <v>0</v>
      </c>
      <c r="R559" s="8">
        <f>IFERROR(VLOOKUP(VALUE(A559),WEEKLY_DATA!$A:$H,3,0),0)</f>
        <v>0</v>
      </c>
      <c r="S559" s="8">
        <f>IFERROR(VLOOKUP(VALUE(A559),WEEKLY_DATA!$A:$H,4,0),0)</f>
        <v>0</v>
      </c>
      <c r="T559" s="51">
        <f>IFERROR(VLOOKUP(VALUE(A559),WEEKLY_DATA!$A:$H,5,0),0)</f>
        <v>0</v>
      </c>
      <c r="U559" s="51">
        <f>IFERROR(VLOOKUP(VALUE(A559),WEEKLY_DATA!$A:$H,6,0),0)</f>
        <v>0</v>
      </c>
      <c r="V559" s="51">
        <f>IFERROR(VLOOKUP(VALUE(A559),WEEKLY_DATA!$A:$H,7,0),0)</f>
        <v>0</v>
      </c>
      <c r="W559" s="9" t="str">
        <f>IFERROR(IF(OR(Q559="",Q559=0),"",IF(VLOOKUP(VALUE($A559),WEEKLY_DATA!$A:$H,6,0)=0,"No Sales",Q559/(VLOOKUP(VALUE($A559),WEEKLY_DATA!$A:$H,6,0)/13))),"")</f>
        <v/>
      </c>
      <c r="X559" s="10">
        <f>IFERROR(VLOOKUP(VALUE(A559),WEEKLY_DATA!$A:$H,8,0),0)</f>
        <v>0</v>
      </c>
      <c r="Y559" s="13" t="str">
        <f t="shared" si="16"/>
        <v>—</v>
      </c>
      <c r="Z559" s="11"/>
      <c r="AA559" s="11"/>
      <c r="AB559" s="11"/>
      <c r="AC559" s="11"/>
      <c r="AD559" s="11"/>
      <c r="AE559" s="11"/>
      <c r="AF559" s="61"/>
      <c r="AG559" s="61"/>
      <c r="AH559" s="62"/>
      <c r="AI559" s="62"/>
      <c r="AJ559" s="61"/>
      <c r="AK559" s="61"/>
      <c r="AL559" s="61"/>
      <c r="AM559" s="58"/>
      <c r="AN559" s="58"/>
      <c r="AO559" s="58"/>
      <c r="AP559" s="58"/>
      <c r="AQ559" s="58"/>
      <c r="AR559" s="58"/>
      <c r="AS559" s="91"/>
      <c r="AT559" s="93"/>
      <c r="AU559" s="93"/>
      <c r="AV559" s="93"/>
      <c r="AW559" s="93"/>
    </row>
    <row r="560" spans="1:49" x14ac:dyDescent="0.25">
      <c r="A560" s="59"/>
      <c r="B560" s="12"/>
      <c r="C560" s="12"/>
      <c r="D560" s="60"/>
      <c r="E560" s="6"/>
      <c r="F560" s="6"/>
      <c r="G560" s="12"/>
      <c r="H560" s="12"/>
      <c r="I560" s="12" t="str" cm="2">
        <f t="array" ref="I560">IFERROR(INDEX(BrandList!$B$2:$B$200,MATCH(TRUE,ISNUMBER(SEARCH(BrandList!$B$2:$B$200,G560)),0)),"")</f>
        <v/>
      </c>
      <c r="J560" s="12"/>
      <c r="K560" s="12"/>
      <c r="L560" s="60"/>
      <c r="M560" s="60"/>
      <c r="N560" s="60"/>
      <c r="O560" s="60"/>
      <c r="P560" s="7" t="str">
        <f t="shared" si="17"/>
        <v/>
      </c>
      <c r="Q560" s="8">
        <f>IFERROR(VLOOKUP(VALUE(A560),WEEKLY_DATA!$A:$H,2,0),0)</f>
        <v>0</v>
      </c>
      <c r="R560" s="8">
        <f>IFERROR(VLOOKUP(VALUE(A560),WEEKLY_DATA!$A:$H,3,0),0)</f>
        <v>0</v>
      </c>
      <c r="S560" s="8">
        <f>IFERROR(VLOOKUP(VALUE(A560),WEEKLY_DATA!$A:$H,4,0),0)</f>
        <v>0</v>
      </c>
      <c r="T560" s="51">
        <f>IFERROR(VLOOKUP(VALUE(A560),WEEKLY_DATA!$A:$H,5,0),0)</f>
        <v>0</v>
      </c>
      <c r="U560" s="51">
        <f>IFERROR(VLOOKUP(VALUE(A560),WEEKLY_DATA!$A:$H,6,0),0)</f>
        <v>0</v>
      </c>
      <c r="V560" s="51">
        <f>IFERROR(VLOOKUP(VALUE(A560),WEEKLY_DATA!$A:$H,7,0),0)</f>
        <v>0</v>
      </c>
      <c r="W560" s="9" t="str">
        <f>IFERROR(IF(OR(Q560="",Q560=0),"",IF(VLOOKUP(VALUE($A560),WEEKLY_DATA!$A:$H,6,0)=0,"No Sales",Q560/(VLOOKUP(VALUE($A560),WEEKLY_DATA!$A:$H,6,0)/13))),"")</f>
        <v/>
      </c>
      <c r="X560" s="10">
        <f>IFERROR(VLOOKUP(VALUE(A560),WEEKLY_DATA!$A:$H,8,0),0)</f>
        <v>0</v>
      </c>
      <c r="Y560" s="13" t="str">
        <f t="shared" si="16"/>
        <v>—</v>
      </c>
      <c r="Z560" s="11"/>
      <c r="AA560" s="11"/>
      <c r="AB560" s="11"/>
      <c r="AC560" s="11"/>
      <c r="AD560" s="11"/>
      <c r="AE560" s="11"/>
      <c r="AF560" s="61"/>
      <c r="AG560" s="61"/>
      <c r="AH560" s="62"/>
      <c r="AI560" s="62"/>
      <c r="AJ560" s="61"/>
      <c r="AK560" s="61"/>
      <c r="AL560" s="61"/>
      <c r="AM560" s="58"/>
      <c r="AN560" s="58"/>
      <c r="AO560" s="58"/>
      <c r="AP560" s="58"/>
      <c r="AQ560" s="58"/>
      <c r="AR560" s="58"/>
      <c r="AS560" s="91"/>
      <c r="AT560" s="93"/>
      <c r="AU560" s="93"/>
      <c r="AV560" s="93"/>
      <c r="AW560" s="93"/>
    </row>
    <row r="561" spans="1:49" x14ac:dyDescent="0.25">
      <c r="A561" s="59"/>
      <c r="B561" s="12"/>
      <c r="C561" s="12"/>
      <c r="D561" s="60"/>
      <c r="E561" s="6"/>
      <c r="F561" s="6"/>
      <c r="G561" s="12"/>
      <c r="H561" s="12"/>
      <c r="I561" s="12" t="str" cm="2">
        <f t="array" ref="I561">IFERROR(INDEX(BrandList!$B$2:$B$200,MATCH(TRUE,ISNUMBER(SEARCH(BrandList!$B$2:$B$200,G561)),0)),"")</f>
        <v/>
      </c>
      <c r="J561" s="12"/>
      <c r="K561" s="12"/>
      <c r="L561" s="60"/>
      <c r="M561" s="60"/>
      <c r="N561" s="60"/>
      <c r="O561" s="60"/>
      <c r="P561" s="7" t="str">
        <f t="shared" si="17"/>
        <v/>
      </c>
      <c r="Q561" s="8">
        <f>IFERROR(VLOOKUP(VALUE(A561),WEEKLY_DATA!$A:$H,2,0),0)</f>
        <v>0</v>
      </c>
      <c r="R561" s="8">
        <f>IFERROR(VLOOKUP(VALUE(A561),WEEKLY_DATA!$A:$H,3,0),0)</f>
        <v>0</v>
      </c>
      <c r="S561" s="8">
        <f>IFERROR(VLOOKUP(VALUE(A561),WEEKLY_DATA!$A:$H,4,0),0)</f>
        <v>0</v>
      </c>
      <c r="T561" s="51">
        <f>IFERROR(VLOOKUP(VALUE(A561),WEEKLY_DATA!$A:$H,5,0),0)</f>
        <v>0</v>
      </c>
      <c r="U561" s="51">
        <f>IFERROR(VLOOKUP(VALUE(A561),WEEKLY_DATA!$A:$H,6,0),0)</f>
        <v>0</v>
      </c>
      <c r="V561" s="51">
        <f>IFERROR(VLOOKUP(VALUE(A561),WEEKLY_DATA!$A:$H,7,0),0)</f>
        <v>0</v>
      </c>
      <c r="W561" s="9" t="str">
        <f>IFERROR(IF(OR(Q561="",Q561=0),"",IF(VLOOKUP(VALUE($A561),WEEKLY_DATA!$A:$H,6,0)=0,"No Sales",Q561/(VLOOKUP(VALUE($A561),WEEKLY_DATA!$A:$H,6,0)/13))),"")</f>
        <v/>
      </c>
      <c r="X561" s="10">
        <f>IFERROR(VLOOKUP(VALUE(A561),WEEKLY_DATA!$A:$H,8,0),0)</f>
        <v>0</v>
      </c>
      <c r="Y561" s="13" t="str">
        <f t="shared" si="16"/>
        <v>—</v>
      </c>
      <c r="Z561" s="11"/>
      <c r="AA561" s="11"/>
      <c r="AB561" s="11"/>
      <c r="AC561" s="11"/>
      <c r="AD561" s="11"/>
      <c r="AE561" s="11"/>
      <c r="AF561" s="61"/>
      <c r="AG561" s="61"/>
      <c r="AH561" s="62"/>
      <c r="AI561" s="62"/>
      <c r="AJ561" s="61"/>
      <c r="AK561" s="61"/>
      <c r="AL561" s="61"/>
      <c r="AM561" s="58"/>
      <c r="AN561" s="58"/>
      <c r="AO561" s="58"/>
      <c r="AP561" s="58"/>
      <c r="AQ561" s="58"/>
      <c r="AR561" s="58"/>
      <c r="AS561" s="91"/>
      <c r="AT561" s="93"/>
      <c r="AU561" s="93"/>
      <c r="AV561" s="93"/>
      <c r="AW561" s="93"/>
    </row>
    <row r="562" spans="1:49" x14ac:dyDescent="0.25">
      <c r="A562" s="59"/>
      <c r="B562" s="12"/>
      <c r="C562" s="12"/>
      <c r="D562" s="60"/>
      <c r="E562" s="6"/>
      <c r="F562" s="6"/>
      <c r="G562" s="12"/>
      <c r="H562" s="12"/>
      <c r="I562" s="12" t="str" cm="2">
        <f t="array" ref="I562">IFERROR(INDEX(BrandList!$B$2:$B$200,MATCH(TRUE,ISNUMBER(SEARCH(BrandList!$B$2:$B$200,G562)),0)),"")</f>
        <v/>
      </c>
      <c r="J562" s="12"/>
      <c r="K562" s="12"/>
      <c r="L562" s="60"/>
      <c r="M562" s="60"/>
      <c r="N562" s="60"/>
      <c r="O562" s="60"/>
      <c r="P562" s="7" t="str">
        <f t="shared" si="17"/>
        <v/>
      </c>
      <c r="Q562" s="8">
        <f>IFERROR(VLOOKUP(VALUE(A562),WEEKLY_DATA!$A:$H,2,0),0)</f>
        <v>0</v>
      </c>
      <c r="R562" s="8">
        <f>IFERROR(VLOOKUP(VALUE(A562),WEEKLY_DATA!$A:$H,3,0),0)</f>
        <v>0</v>
      </c>
      <c r="S562" s="8">
        <f>IFERROR(VLOOKUP(VALUE(A562),WEEKLY_DATA!$A:$H,4,0),0)</f>
        <v>0</v>
      </c>
      <c r="T562" s="51">
        <f>IFERROR(VLOOKUP(VALUE(A562),WEEKLY_DATA!$A:$H,5,0),0)</f>
        <v>0</v>
      </c>
      <c r="U562" s="51">
        <f>IFERROR(VLOOKUP(VALUE(A562),WEEKLY_DATA!$A:$H,6,0),0)</f>
        <v>0</v>
      </c>
      <c r="V562" s="51">
        <f>IFERROR(VLOOKUP(VALUE(A562),WEEKLY_DATA!$A:$H,7,0),0)</f>
        <v>0</v>
      </c>
      <c r="W562" s="9" t="str">
        <f>IFERROR(IF(OR(Q562="",Q562=0),"",IF(VLOOKUP(VALUE($A562),WEEKLY_DATA!$A:$H,6,0)=0,"No Sales",Q562/(VLOOKUP(VALUE($A562),WEEKLY_DATA!$A:$H,6,0)/13))),"")</f>
        <v/>
      </c>
      <c r="X562" s="10">
        <f>IFERROR(VLOOKUP(VALUE(A562),WEEKLY_DATA!$A:$H,8,0),0)</f>
        <v>0</v>
      </c>
      <c r="Y562" s="13" t="str">
        <f t="shared" si="16"/>
        <v>—</v>
      </c>
      <c r="Z562" s="11"/>
      <c r="AA562" s="11"/>
      <c r="AB562" s="11"/>
      <c r="AC562" s="11"/>
      <c r="AD562" s="11"/>
      <c r="AE562" s="11"/>
      <c r="AF562" s="61"/>
      <c r="AG562" s="61"/>
      <c r="AH562" s="62"/>
      <c r="AI562" s="62"/>
      <c r="AJ562" s="61"/>
      <c r="AK562" s="61"/>
      <c r="AL562" s="61"/>
      <c r="AM562" s="58"/>
      <c r="AN562" s="58"/>
      <c r="AO562" s="58"/>
      <c r="AP562" s="58"/>
      <c r="AQ562" s="58"/>
      <c r="AR562" s="58"/>
      <c r="AS562" s="91"/>
      <c r="AT562" s="93"/>
      <c r="AU562" s="93"/>
      <c r="AV562" s="93"/>
      <c r="AW562" s="93"/>
    </row>
    <row r="563" spans="1:49" x14ac:dyDescent="0.25">
      <c r="A563" s="59"/>
      <c r="B563" s="12"/>
      <c r="C563" s="12"/>
      <c r="D563" s="60"/>
      <c r="E563" s="6"/>
      <c r="F563" s="6"/>
      <c r="G563" s="12"/>
      <c r="H563" s="12"/>
      <c r="I563" s="12" t="str" cm="2">
        <f t="array" ref="I563">IFERROR(INDEX(BrandList!$B$2:$B$200,MATCH(TRUE,ISNUMBER(SEARCH(BrandList!$B$2:$B$200,G563)),0)),"")</f>
        <v/>
      </c>
      <c r="J563" s="12"/>
      <c r="K563" s="12"/>
      <c r="L563" s="60"/>
      <c r="M563" s="60"/>
      <c r="N563" s="60"/>
      <c r="O563" s="60"/>
      <c r="P563" s="7" t="str">
        <f t="shared" si="17"/>
        <v/>
      </c>
      <c r="Q563" s="8">
        <f>IFERROR(VLOOKUP(VALUE(A563),WEEKLY_DATA!$A:$H,2,0),0)</f>
        <v>0</v>
      </c>
      <c r="R563" s="8">
        <f>IFERROR(VLOOKUP(VALUE(A563),WEEKLY_DATA!$A:$H,3,0),0)</f>
        <v>0</v>
      </c>
      <c r="S563" s="8">
        <f>IFERROR(VLOOKUP(VALUE(A563),WEEKLY_DATA!$A:$H,4,0),0)</f>
        <v>0</v>
      </c>
      <c r="T563" s="51">
        <f>IFERROR(VLOOKUP(VALUE(A563),WEEKLY_DATA!$A:$H,5,0),0)</f>
        <v>0</v>
      </c>
      <c r="U563" s="51">
        <f>IFERROR(VLOOKUP(VALUE(A563),WEEKLY_DATA!$A:$H,6,0),0)</f>
        <v>0</v>
      </c>
      <c r="V563" s="51">
        <f>IFERROR(VLOOKUP(VALUE(A563),WEEKLY_DATA!$A:$H,7,0),0)</f>
        <v>0</v>
      </c>
      <c r="W563" s="9" t="str">
        <f>IFERROR(IF(OR(Q563="",Q563=0),"",IF(VLOOKUP(VALUE($A563),WEEKLY_DATA!$A:$H,6,0)=0,"No Sales",Q563/(VLOOKUP(VALUE($A563),WEEKLY_DATA!$A:$H,6,0)/13))),"")</f>
        <v/>
      </c>
      <c r="X563" s="10">
        <f>IFERROR(VLOOKUP(VALUE(A563),WEEKLY_DATA!$A:$H,8,0),0)</f>
        <v>0</v>
      </c>
      <c r="Y563" s="13" t="str">
        <f t="shared" si="16"/>
        <v>—</v>
      </c>
      <c r="Z563" s="11"/>
      <c r="AA563" s="11"/>
      <c r="AB563" s="11"/>
      <c r="AC563" s="11"/>
      <c r="AD563" s="11"/>
      <c r="AE563" s="11"/>
      <c r="AF563" s="61"/>
      <c r="AG563" s="61"/>
      <c r="AH563" s="62"/>
      <c r="AI563" s="62"/>
      <c r="AJ563" s="61"/>
      <c r="AK563" s="61"/>
      <c r="AL563" s="61"/>
      <c r="AM563" s="58"/>
      <c r="AN563" s="58"/>
      <c r="AO563" s="58"/>
      <c r="AP563" s="58"/>
      <c r="AQ563" s="58"/>
      <c r="AR563" s="58"/>
      <c r="AS563" s="91"/>
      <c r="AT563" s="93"/>
      <c r="AU563" s="93"/>
      <c r="AV563" s="93"/>
      <c r="AW563" s="93"/>
    </row>
    <row r="564" spans="1:49" x14ac:dyDescent="0.25">
      <c r="A564" s="59"/>
      <c r="B564" s="12"/>
      <c r="C564" s="12"/>
      <c r="D564" s="60"/>
      <c r="E564" s="6"/>
      <c r="F564" s="6"/>
      <c r="G564" s="12"/>
      <c r="H564" s="12"/>
      <c r="I564" s="12" t="str" cm="2">
        <f t="array" ref="I564">IFERROR(INDEX(BrandList!$B$2:$B$200,MATCH(TRUE,ISNUMBER(SEARCH(BrandList!$B$2:$B$200,G564)),0)),"")</f>
        <v/>
      </c>
      <c r="J564" s="12"/>
      <c r="K564" s="12"/>
      <c r="L564" s="60"/>
      <c r="M564" s="60"/>
      <c r="N564" s="60"/>
      <c r="O564" s="60"/>
      <c r="P564" s="7" t="str">
        <f t="shared" si="17"/>
        <v/>
      </c>
      <c r="Q564" s="8">
        <f>IFERROR(VLOOKUP(VALUE(A564),WEEKLY_DATA!$A:$H,2,0),0)</f>
        <v>0</v>
      </c>
      <c r="R564" s="8">
        <f>IFERROR(VLOOKUP(VALUE(A564),WEEKLY_DATA!$A:$H,3,0),0)</f>
        <v>0</v>
      </c>
      <c r="S564" s="8">
        <f>IFERROR(VLOOKUP(VALUE(A564),WEEKLY_DATA!$A:$H,4,0),0)</f>
        <v>0</v>
      </c>
      <c r="T564" s="51">
        <f>IFERROR(VLOOKUP(VALUE(A564),WEEKLY_DATA!$A:$H,5,0),0)</f>
        <v>0</v>
      </c>
      <c r="U564" s="51">
        <f>IFERROR(VLOOKUP(VALUE(A564),WEEKLY_DATA!$A:$H,6,0),0)</f>
        <v>0</v>
      </c>
      <c r="V564" s="51">
        <f>IFERROR(VLOOKUP(VALUE(A564),WEEKLY_DATA!$A:$H,7,0),0)</f>
        <v>0</v>
      </c>
      <c r="W564" s="9" t="str">
        <f>IFERROR(IF(OR(Q564="",Q564=0),"",IF(VLOOKUP(VALUE($A564),WEEKLY_DATA!$A:$H,6,0)=0,"No Sales",Q564/(VLOOKUP(VALUE($A564),WEEKLY_DATA!$A:$H,6,0)/13))),"")</f>
        <v/>
      </c>
      <c r="X564" s="10">
        <f>IFERROR(VLOOKUP(VALUE(A564),WEEKLY_DATA!$A:$H,8,0),0)</f>
        <v>0</v>
      </c>
      <c r="Y564" s="13" t="str">
        <f t="shared" si="16"/>
        <v>—</v>
      </c>
      <c r="Z564" s="11"/>
      <c r="AA564" s="11"/>
      <c r="AB564" s="11"/>
      <c r="AC564" s="11"/>
      <c r="AD564" s="11"/>
      <c r="AE564" s="11"/>
      <c r="AF564" s="61"/>
      <c r="AG564" s="61"/>
      <c r="AH564" s="62"/>
      <c r="AI564" s="62"/>
      <c r="AJ564" s="61"/>
      <c r="AK564" s="61"/>
      <c r="AL564" s="61"/>
      <c r="AM564" s="58"/>
      <c r="AN564" s="58"/>
      <c r="AO564" s="58"/>
      <c r="AP564" s="58"/>
      <c r="AQ564" s="58"/>
      <c r="AR564" s="58"/>
      <c r="AS564" s="91"/>
      <c r="AT564" s="93"/>
      <c r="AU564" s="93"/>
      <c r="AV564" s="93"/>
      <c r="AW564" s="93"/>
    </row>
    <row r="565" spans="1:49" x14ac:dyDescent="0.25">
      <c r="A565" s="59"/>
      <c r="B565" s="12"/>
      <c r="C565" s="12"/>
      <c r="D565" s="60"/>
      <c r="E565" s="6"/>
      <c r="F565" s="6"/>
      <c r="G565" s="12"/>
      <c r="H565" s="12"/>
      <c r="I565" s="12" t="str" cm="2">
        <f t="array" ref="I565">IFERROR(INDEX(BrandList!$B$2:$B$200,MATCH(TRUE,ISNUMBER(SEARCH(BrandList!$B$2:$B$200,G565)),0)),"")</f>
        <v/>
      </c>
      <c r="J565" s="12"/>
      <c r="K565" s="12"/>
      <c r="L565" s="60"/>
      <c r="M565" s="60"/>
      <c r="N565" s="60"/>
      <c r="O565" s="60"/>
      <c r="P565" s="7" t="str">
        <f t="shared" si="17"/>
        <v/>
      </c>
      <c r="Q565" s="8">
        <f>IFERROR(VLOOKUP(VALUE(A565),WEEKLY_DATA!$A:$H,2,0),0)</f>
        <v>0</v>
      </c>
      <c r="R565" s="8">
        <f>IFERROR(VLOOKUP(VALUE(A565),WEEKLY_DATA!$A:$H,3,0),0)</f>
        <v>0</v>
      </c>
      <c r="S565" s="8">
        <f>IFERROR(VLOOKUP(VALUE(A565),WEEKLY_DATA!$A:$H,4,0),0)</f>
        <v>0</v>
      </c>
      <c r="T565" s="51">
        <f>IFERROR(VLOOKUP(VALUE(A565),WEEKLY_DATA!$A:$H,5,0),0)</f>
        <v>0</v>
      </c>
      <c r="U565" s="51">
        <f>IFERROR(VLOOKUP(VALUE(A565),WEEKLY_DATA!$A:$H,6,0),0)</f>
        <v>0</v>
      </c>
      <c r="V565" s="51">
        <f>IFERROR(VLOOKUP(VALUE(A565),WEEKLY_DATA!$A:$H,7,0),0)</f>
        <v>0</v>
      </c>
      <c r="W565" s="9" t="str">
        <f>IFERROR(IF(OR(Q565="",Q565=0),"",IF(VLOOKUP(VALUE($A565),WEEKLY_DATA!$A:$H,6,0)=0,"No Sales",Q565/(VLOOKUP(VALUE($A565),WEEKLY_DATA!$A:$H,6,0)/13))),"")</f>
        <v/>
      </c>
      <c r="X565" s="10">
        <f>IFERROR(VLOOKUP(VALUE(A565),WEEKLY_DATA!$A:$H,8,0),0)</f>
        <v>0</v>
      </c>
      <c r="Y565" s="13" t="str">
        <f t="shared" si="16"/>
        <v>—</v>
      </c>
      <c r="Z565" s="11"/>
      <c r="AA565" s="11"/>
      <c r="AB565" s="11"/>
      <c r="AC565" s="11"/>
      <c r="AD565" s="11"/>
      <c r="AE565" s="11"/>
      <c r="AF565" s="61"/>
      <c r="AG565" s="61"/>
      <c r="AH565" s="62"/>
      <c r="AI565" s="62"/>
      <c r="AJ565" s="61"/>
      <c r="AK565" s="61"/>
      <c r="AL565" s="61"/>
      <c r="AM565" s="58"/>
      <c r="AN565" s="58"/>
      <c r="AO565" s="58"/>
      <c r="AP565" s="58"/>
      <c r="AQ565" s="58"/>
      <c r="AR565" s="58"/>
      <c r="AS565" s="91"/>
      <c r="AT565" s="93"/>
      <c r="AU565" s="93"/>
      <c r="AV565" s="93"/>
      <c r="AW565" s="93"/>
    </row>
    <row r="566" spans="1:49" x14ac:dyDescent="0.25">
      <c r="A566" s="59"/>
      <c r="B566" s="12"/>
      <c r="C566" s="12"/>
      <c r="D566" s="60"/>
      <c r="E566" s="6"/>
      <c r="F566" s="6"/>
      <c r="G566" s="12"/>
      <c r="H566" s="12"/>
      <c r="I566" s="12" t="str" cm="2">
        <f t="array" ref="I566">IFERROR(INDEX(BrandList!$B$2:$B$200,MATCH(TRUE,ISNUMBER(SEARCH(BrandList!$B$2:$B$200,G566)),0)),"")</f>
        <v/>
      </c>
      <c r="J566" s="12"/>
      <c r="K566" s="12"/>
      <c r="L566" s="60"/>
      <c r="M566" s="60"/>
      <c r="N566" s="60"/>
      <c r="O566" s="60"/>
      <c r="P566" s="7" t="str">
        <f t="shared" si="17"/>
        <v/>
      </c>
      <c r="Q566" s="8">
        <f>IFERROR(VLOOKUP(VALUE(A566),WEEKLY_DATA!$A:$H,2,0),0)</f>
        <v>0</v>
      </c>
      <c r="R566" s="8">
        <f>IFERROR(VLOOKUP(VALUE(A566),WEEKLY_DATA!$A:$H,3,0),0)</f>
        <v>0</v>
      </c>
      <c r="S566" s="8">
        <f>IFERROR(VLOOKUP(VALUE(A566),WEEKLY_DATA!$A:$H,4,0),0)</f>
        <v>0</v>
      </c>
      <c r="T566" s="51">
        <f>IFERROR(VLOOKUP(VALUE(A566),WEEKLY_DATA!$A:$H,5,0),0)</f>
        <v>0</v>
      </c>
      <c r="U566" s="51">
        <f>IFERROR(VLOOKUP(VALUE(A566),WEEKLY_DATA!$A:$H,6,0),0)</f>
        <v>0</v>
      </c>
      <c r="V566" s="51">
        <f>IFERROR(VLOOKUP(VALUE(A566),WEEKLY_DATA!$A:$H,7,0),0)</f>
        <v>0</v>
      </c>
      <c r="W566" s="9" t="str">
        <f>IFERROR(IF(OR(Q566="",Q566=0),"",IF(VLOOKUP(VALUE($A566),WEEKLY_DATA!$A:$H,6,0)=0,"No Sales",Q566/(VLOOKUP(VALUE($A566),WEEKLY_DATA!$A:$H,6,0)/13))),"")</f>
        <v/>
      </c>
      <c r="X566" s="10">
        <f>IFERROR(VLOOKUP(VALUE(A566),WEEKLY_DATA!$A:$H,8,0),0)</f>
        <v>0</v>
      </c>
      <c r="Y566" s="13" t="str">
        <f t="shared" si="16"/>
        <v>—</v>
      </c>
      <c r="Z566" s="11"/>
      <c r="AA566" s="11"/>
      <c r="AB566" s="11"/>
      <c r="AC566" s="11"/>
      <c r="AD566" s="11"/>
      <c r="AE566" s="11"/>
      <c r="AF566" s="61"/>
      <c r="AG566" s="61"/>
      <c r="AH566" s="62"/>
      <c r="AI566" s="62"/>
      <c r="AJ566" s="61"/>
      <c r="AK566" s="61"/>
      <c r="AL566" s="61"/>
      <c r="AM566" s="58"/>
      <c r="AN566" s="58"/>
      <c r="AO566" s="58"/>
      <c r="AP566" s="58"/>
      <c r="AQ566" s="58"/>
      <c r="AR566" s="58"/>
      <c r="AS566" s="91"/>
      <c r="AT566" s="93"/>
      <c r="AU566" s="93"/>
      <c r="AV566" s="93"/>
      <c r="AW566" s="93"/>
    </row>
    <row r="567" spans="1:49" x14ac:dyDescent="0.25">
      <c r="A567" s="59"/>
      <c r="B567" s="12"/>
      <c r="C567" s="12"/>
      <c r="D567" s="60"/>
      <c r="E567" s="6"/>
      <c r="F567" s="6"/>
      <c r="G567" s="12"/>
      <c r="H567" s="12"/>
      <c r="I567" s="12" t="str" cm="2">
        <f t="array" ref="I567">IFERROR(INDEX(BrandList!$B$2:$B$200,MATCH(TRUE,ISNUMBER(SEARCH(BrandList!$B$2:$B$200,G567)),0)),"")</f>
        <v/>
      </c>
      <c r="J567" s="12"/>
      <c r="K567" s="12"/>
      <c r="L567" s="60"/>
      <c r="M567" s="60"/>
      <c r="N567" s="60"/>
      <c r="O567" s="60"/>
      <c r="P567" s="7" t="str">
        <f t="shared" si="17"/>
        <v/>
      </c>
      <c r="Q567" s="8">
        <f>IFERROR(VLOOKUP(VALUE(A567),WEEKLY_DATA!$A:$H,2,0),0)</f>
        <v>0</v>
      </c>
      <c r="R567" s="8">
        <f>IFERROR(VLOOKUP(VALUE(A567),WEEKLY_DATA!$A:$H,3,0),0)</f>
        <v>0</v>
      </c>
      <c r="S567" s="8">
        <f>IFERROR(VLOOKUP(VALUE(A567),WEEKLY_DATA!$A:$H,4,0),0)</f>
        <v>0</v>
      </c>
      <c r="T567" s="51">
        <f>IFERROR(VLOOKUP(VALUE(A567),WEEKLY_DATA!$A:$H,5,0),0)</f>
        <v>0</v>
      </c>
      <c r="U567" s="51">
        <f>IFERROR(VLOOKUP(VALUE(A567),WEEKLY_DATA!$A:$H,6,0),0)</f>
        <v>0</v>
      </c>
      <c r="V567" s="51">
        <f>IFERROR(VLOOKUP(VALUE(A567),WEEKLY_DATA!$A:$H,7,0),0)</f>
        <v>0</v>
      </c>
      <c r="W567" s="9" t="str">
        <f>IFERROR(IF(OR(Q567="",Q567=0),"",IF(VLOOKUP(VALUE($A567),WEEKLY_DATA!$A:$H,6,0)=0,"No Sales",Q567/(VLOOKUP(VALUE($A567),WEEKLY_DATA!$A:$H,6,0)/13))),"")</f>
        <v/>
      </c>
      <c r="X567" s="10">
        <f>IFERROR(VLOOKUP(VALUE(A567),WEEKLY_DATA!$A:$H,8,0),0)</f>
        <v>0</v>
      </c>
      <c r="Y567" s="13" t="str">
        <f t="shared" si="16"/>
        <v>—</v>
      </c>
      <c r="Z567" s="11"/>
      <c r="AA567" s="11"/>
      <c r="AB567" s="11"/>
      <c r="AC567" s="11"/>
      <c r="AD567" s="11"/>
      <c r="AE567" s="11"/>
      <c r="AF567" s="61"/>
      <c r="AG567" s="61"/>
      <c r="AH567" s="62"/>
      <c r="AI567" s="62"/>
      <c r="AJ567" s="61"/>
      <c r="AK567" s="61"/>
      <c r="AL567" s="61"/>
      <c r="AM567" s="58"/>
      <c r="AN567" s="58"/>
      <c r="AO567" s="58"/>
      <c r="AP567" s="58"/>
      <c r="AQ567" s="58"/>
      <c r="AR567" s="58"/>
      <c r="AS567" s="91"/>
      <c r="AT567" s="93"/>
      <c r="AU567" s="93"/>
      <c r="AV567" s="93"/>
      <c r="AW567" s="93"/>
    </row>
    <row r="568" spans="1:49" x14ac:dyDescent="0.25">
      <c r="A568" s="59"/>
      <c r="B568" s="12"/>
      <c r="C568" s="12"/>
      <c r="D568" s="60"/>
      <c r="E568" s="6"/>
      <c r="F568" s="6"/>
      <c r="G568" s="12"/>
      <c r="H568" s="12"/>
      <c r="I568" s="12" t="str" cm="2">
        <f t="array" ref="I568">IFERROR(INDEX(BrandList!$B$2:$B$200,MATCH(TRUE,ISNUMBER(SEARCH(BrandList!$B$2:$B$200,G568)),0)),"")</f>
        <v/>
      </c>
      <c r="J568" s="12"/>
      <c r="K568" s="12"/>
      <c r="L568" s="60"/>
      <c r="M568" s="60"/>
      <c r="N568" s="60"/>
      <c r="O568" s="60"/>
      <c r="P568" s="7" t="str">
        <f t="shared" si="17"/>
        <v/>
      </c>
      <c r="Q568" s="8">
        <f>IFERROR(VLOOKUP(VALUE(A568),WEEKLY_DATA!$A:$H,2,0),0)</f>
        <v>0</v>
      </c>
      <c r="R568" s="8">
        <f>IFERROR(VLOOKUP(VALUE(A568),WEEKLY_DATA!$A:$H,3,0),0)</f>
        <v>0</v>
      </c>
      <c r="S568" s="8">
        <f>IFERROR(VLOOKUP(VALUE(A568),WEEKLY_DATA!$A:$H,4,0),0)</f>
        <v>0</v>
      </c>
      <c r="T568" s="51">
        <f>IFERROR(VLOOKUP(VALUE(A568),WEEKLY_DATA!$A:$H,5,0),0)</f>
        <v>0</v>
      </c>
      <c r="U568" s="51">
        <f>IFERROR(VLOOKUP(VALUE(A568),WEEKLY_DATA!$A:$H,6,0),0)</f>
        <v>0</v>
      </c>
      <c r="V568" s="51">
        <f>IFERROR(VLOOKUP(VALUE(A568),WEEKLY_DATA!$A:$H,7,0),0)</f>
        <v>0</v>
      </c>
      <c r="W568" s="9" t="str">
        <f>IFERROR(IF(OR(Q568="",Q568=0),"",IF(VLOOKUP(VALUE($A568),WEEKLY_DATA!$A:$H,6,0)=0,"No Sales",Q568/(VLOOKUP(VALUE($A568),WEEKLY_DATA!$A:$H,6,0)/13))),"")</f>
        <v/>
      </c>
      <c r="X568" s="10">
        <f>IFERROR(VLOOKUP(VALUE(A568),WEEKLY_DATA!$A:$H,8,0),0)</f>
        <v>0</v>
      </c>
      <c r="Y568" s="13" t="str">
        <f t="shared" si="16"/>
        <v>—</v>
      </c>
      <c r="Z568" s="11"/>
      <c r="AA568" s="11"/>
      <c r="AB568" s="11"/>
      <c r="AC568" s="11"/>
      <c r="AD568" s="11"/>
      <c r="AE568" s="11"/>
      <c r="AF568" s="61"/>
      <c r="AG568" s="61"/>
      <c r="AH568" s="62"/>
      <c r="AI568" s="62"/>
      <c r="AJ568" s="61"/>
      <c r="AK568" s="61"/>
      <c r="AL568" s="61"/>
      <c r="AM568" s="58"/>
      <c r="AN568" s="58"/>
      <c r="AO568" s="58"/>
      <c r="AP568" s="58"/>
      <c r="AQ568" s="58"/>
      <c r="AR568" s="58"/>
      <c r="AS568" s="91"/>
      <c r="AT568" s="93"/>
      <c r="AU568" s="93"/>
      <c r="AV568" s="93"/>
      <c r="AW568" s="93"/>
    </row>
    <row r="569" spans="1:49" x14ac:dyDescent="0.25">
      <c r="A569" s="59"/>
      <c r="B569" s="12"/>
      <c r="C569" s="12"/>
      <c r="D569" s="60"/>
      <c r="E569" s="6"/>
      <c r="F569" s="6"/>
      <c r="G569" s="12"/>
      <c r="H569" s="12"/>
      <c r="I569" s="12" t="str" cm="2">
        <f t="array" ref="I569">IFERROR(INDEX(BrandList!$B$2:$B$200,MATCH(TRUE,ISNUMBER(SEARCH(BrandList!$B$2:$B$200,G569)),0)),"")</f>
        <v/>
      </c>
      <c r="J569" s="12"/>
      <c r="K569" s="12"/>
      <c r="L569" s="60"/>
      <c r="M569" s="60"/>
      <c r="N569" s="60"/>
      <c r="O569" s="60"/>
      <c r="P569" s="7" t="str">
        <f t="shared" si="17"/>
        <v/>
      </c>
      <c r="Q569" s="8">
        <f>IFERROR(VLOOKUP(VALUE(A569),WEEKLY_DATA!$A:$H,2,0),0)</f>
        <v>0</v>
      </c>
      <c r="R569" s="8">
        <f>IFERROR(VLOOKUP(VALUE(A569),WEEKLY_DATA!$A:$H,3,0),0)</f>
        <v>0</v>
      </c>
      <c r="S569" s="8">
        <f>IFERROR(VLOOKUP(VALUE(A569),WEEKLY_DATA!$A:$H,4,0),0)</f>
        <v>0</v>
      </c>
      <c r="T569" s="51">
        <f>IFERROR(VLOOKUP(VALUE(A569),WEEKLY_DATA!$A:$H,5,0),0)</f>
        <v>0</v>
      </c>
      <c r="U569" s="51">
        <f>IFERROR(VLOOKUP(VALUE(A569),WEEKLY_DATA!$A:$H,6,0),0)</f>
        <v>0</v>
      </c>
      <c r="V569" s="51">
        <f>IFERROR(VLOOKUP(VALUE(A569),WEEKLY_DATA!$A:$H,7,0),0)</f>
        <v>0</v>
      </c>
      <c r="W569" s="9" t="str">
        <f>IFERROR(IF(OR(Q569="",Q569=0),"",IF(VLOOKUP(VALUE($A569),WEEKLY_DATA!$A:$H,6,0)=0,"No Sales",Q569/(VLOOKUP(VALUE($A569),WEEKLY_DATA!$A:$H,6,0)/13))),"")</f>
        <v/>
      </c>
      <c r="X569" s="10">
        <f>IFERROR(VLOOKUP(VALUE(A569),WEEKLY_DATA!$A:$H,8,0),0)</f>
        <v>0</v>
      </c>
      <c r="Y569" s="13" t="str">
        <f t="shared" si="16"/>
        <v>—</v>
      </c>
      <c r="Z569" s="11"/>
      <c r="AA569" s="11"/>
      <c r="AB569" s="11"/>
      <c r="AC569" s="11"/>
      <c r="AD569" s="11"/>
      <c r="AE569" s="11"/>
      <c r="AF569" s="61"/>
      <c r="AG569" s="61"/>
      <c r="AH569" s="62"/>
      <c r="AI569" s="62"/>
      <c r="AJ569" s="61"/>
      <c r="AK569" s="61"/>
      <c r="AL569" s="61"/>
      <c r="AM569" s="58"/>
      <c r="AN569" s="58"/>
      <c r="AO569" s="58"/>
      <c r="AP569" s="58"/>
      <c r="AQ569" s="58"/>
      <c r="AR569" s="58"/>
      <c r="AS569" s="91"/>
      <c r="AT569" s="93"/>
      <c r="AU569" s="93"/>
      <c r="AV569" s="93"/>
      <c r="AW569" s="93"/>
    </row>
    <row r="570" spans="1:49" x14ac:dyDescent="0.25">
      <c r="A570" s="59"/>
      <c r="B570" s="12"/>
      <c r="C570" s="12"/>
      <c r="D570" s="60"/>
      <c r="E570" s="6"/>
      <c r="F570" s="6"/>
      <c r="G570" s="12"/>
      <c r="H570" s="12"/>
      <c r="I570" s="12" t="str" cm="2">
        <f t="array" ref="I570">IFERROR(INDEX(BrandList!$B$2:$B$200,MATCH(TRUE,ISNUMBER(SEARCH(BrandList!$B$2:$B$200,G570)),0)),"")</f>
        <v/>
      </c>
      <c r="J570" s="12"/>
      <c r="K570" s="12"/>
      <c r="L570" s="60"/>
      <c r="M570" s="60"/>
      <c r="N570" s="60"/>
      <c r="O570" s="60"/>
      <c r="P570" s="7" t="str">
        <f t="shared" si="17"/>
        <v/>
      </c>
      <c r="Q570" s="8">
        <f>IFERROR(VLOOKUP(VALUE(A570),WEEKLY_DATA!$A:$H,2,0),0)</f>
        <v>0</v>
      </c>
      <c r="R570" s="8">
        <f>IFERROR(VLOOKUP(VALUE(A570),WEEKLY_DATA!$A:$H,3,0),0)</f>
        <v>0</v>
      </c>
      <c r="S570" s="8">
        <f>IFERROR(VLOOKUP(VALUE(A570),WEEKLY_DATA!$A:$H,4,0),0)</f>
        <v>0</v>
      </c>
      <c r="T570" s="51">
        <f>IFERROR(VLOOKUP(VALUE(A570),WEEKLY_DATA!$A:$H,5,0),0)</f>
        <v>0</v>
      </c>
      <c r="U570" s="51">
        <f>IFERROR(VLOOKUP(VALUE(A570),WEEKLY_DATA!$A:$H,6,0),0)</f>
        <v>0</v>
      </c>
      <c r="V570" s="51">
        <f>IFERROR(VLOOKUP(VALUE(A570),WEEKLY_DATA!$A:$H,7,0),0)</f>
        <v>0</v>
      </c>
      <c r="W570" s="9" t="str">
        <f>IFERROR(IF(OR(Q570="",Q570=0),"",IF(VLOOKUP(VALUE($A570),WEEKLY_DATA!$A:$H,6,0)=0,"No Sales",Q570/(VLOOKUP(VALUE($A570),WEEKLY_DATA!$A:$H,6,0)/13))),"")</f>
        <v/>
      </c>
      <c r="X570" s="10">
        <f>IFERROR(VLOOKUP(VALUE(A570),WEEKLY_DATA!$A:$H,8,0),0)</f>
        <v>0</v>
      </c>
      <c r="Y570" s="13" t="str">
        <f t="shared" si="16"/>
        <v>—</v>
      </c>
      <c r="Z570" s="11"/>
      <c r="AA570" s="11"/>
      <c r="AB570" s="11"/>
      <c r="AC570" s="11"/>
      <c r="AD570" s="11"/>
      <c r="AE570" s="11"/>
      <c r="AF570" s="61"/>
      <c r="AG570" s="61"/>
      <c r="AH570" s="62"/>
      <c r="AI570" s="62"/>
      <c r="AJ570" s="61"/>
      <c r="AK570" s="61"/>
      <c r="AL570" s="61"/>
      <c r="AM570" s="58"/>
      <c r="AN570" s="58"/>
      <c r="AO570" s="58"/>
      <c r="AP570" s="58"/>
      <c r="AQ570" s="58"/>
      <c r="AR570" s="58"/>
      <c r="AS570" s="91"/>
      <c r="AT570" s="93"/>
      <c r="AU570" s="93"/>
      <c r="AV570" s="93"/>
      <c r="AW570" s="93"/>
    </row>
    <row r="571" spans="1:49" x14ac:dyDescent="0.25">
      <c r="A571" s="59"/>
      <c r="B571" s="12"/>
      <c r="C571" s="12"/>
      <c r="D571" s="60"/>
      <c r="E571" s="6"/>
      <c r="F571" s="6"/>
      <c r="G571" s="12"/>
      <c r="H571" s="12"/>
      <c r="I571" s="12" t="str" cm="2">
        <f t="array" ref="I571">IFERROR(INDEX(BrandList!$B$2:$B$200,MATCH(TRUE,ISNUMBER(SEARCH(BrandList!$B$2:$B$200,G571)),0)),"")</f>
        <v/>
      </c>
      <c r="J571" s="12"/>
      <c r="K571" s="12"/>
      <c r="L571" s="60"/>
      <c r="M571" s="60"/>
      <c r="N571" s="60"/>
      <c r="O571" s="60"/>
      <c r="P571" s="7" t="str">
        <f t="shared" si="17"/>
        <v/>
      </c>
      <c r="Q571" s="8">
        <f>IFERROR(VLOOKUP(VALUE(A571),WEEKLY_DATA!$A:$H,2,0),0)</f>
        <v>0</v>
      </c>
      <c r="R571" s="8">
        <f>IFERROR(VLOOKUP(VALUE(A571),WEEKLY_DATA!$A:$H,3,0),0)</f>
        <v>0</v>
      </c>
      <c r="S571" s="8">
        <f>IFERROR(VLOOKUP(VALUE(A571),WEEKLY_DATA!$A:$H,4,0),0)</f>
        <v>0</v>
      </c>
      <c r="T571" s="51">
        <f>IFERROR(VLOOKUP(VALUE(A571),WEEKLY_DATA!$A:$H,5,0),0)</f>
        <v>0</v>
      </c>
      <c r="U571" s="51">
        <f>IFERROR(VLOOKUP(VALUE(A571),WEEKLY_DATA!$A:$H,6,0),0)</f>
        <v>0</v>
      </c>
      <c r="V571" s="51">
        <f>IFERROR(VLOOKUP(VALUE(A571),WEEKLY_DATA!$A:$H,7,0),0)</f>
        <v>0</v>
      </c>
      <c r="W571" s="9" t="str">
        <f>IFERROR(IF(OR(Q571="",Q571=0),"",IF(VLOOKUP(VALUE($A571),WEEKLY_DATA!$A:$H,6,0)=0,"No Sales",Q571/(VLOOKUP(VALUE($A571),WEEKLY_DATA!$A:$H,6,0)/13))),"")</f>
        <v/>
      </c>
      <c r="X571" s="10">
        <f>IFERROR(VLOOKUP(VALUE(A571),WEEKLY_DATA!$A:$H,8,0),0)</f>
        <v>0</v>
      </c>
      <c r="Y571" s="13" t="str">
        <f t="shared" si="16"/>
        <v>—</v>
      </c>
      <c r="Z571" s="11"/>
      <c r="AA571" s="11"/>
      <c r="AB571" s="11"/>
      <c r="AC571" s="11"/>
      <c r="AD571" s="11"/>
      <c r="AE571" s="11"/>
      <c r="AF571" s="61"/>
      <c r="AG571" s="61"/>
      <c r="AH571" s="62"/>
      <c r="AI571" s="62"/>
      <c r="AJ571" s="61"/>
      <c r="AK571" s="61"/>
      <c r="AL571" s="61"/>
      <c r="AM571" s="58"/>
      <c r="AN571" s="58"/>
      <c r="AO571" s="58"/>
      <c r="AP571" s="58"/>
      <c r="AQ571" s="58"/>
      <c r="AR571" s="58"/>
      <c r="AS571" s="91"/>
      <c r="AT571" s="93"/>
      <c r="AU571" s="93"/>
      <c r="AV571" s="93"/>
      <c r="AW571" s="93"/>
    </row>
    <row r="572" spans="1:49" x14ac:dyDescent="0.25">
      <c r="A572" s="59"/>
      <c r="B572" s="12"/>
      <c r="C572" s="12"/>
      <c r="D572" s="60"/>
      <c r="E572" s="6"/>
      <c r="F572" s="6"/>
      <c r="G572" s="12"/>
      <c r="H572" s="12"/>
      <c r="I572" s="12" t="str" cm="2">
        <f t="array" ref="I572">IFERROR(INDEX(BrandList!$B$2:$B$200,MATCH(TRUE,ISNUMBER(SEARCH(BrandList!$B$2:$B$200,G572)),0)),"")</f>
        <v/>
      </c>
      <c r="J572" s="12"/>
      <c r="K572" s="12"/>
      <c r="L572" s="60"/>
      <c r="M572" s="60"/>
      <c r="N572" s="60"/>
      <c r="O572" s="60"/>
      <c r="P572" s="7" t="str">
        <f t="shared" si="17"/>
        <v/>
      </c>
      <c r="Q572" s="8">
        <f>IFERROR(VLOOKUP(VALUE(A572),WEEKLY_DATA!$A:$H,2,0),0)</f>
        <v>0</v>
      </c>
      <c r="R572" s="8">
        <f>IFERROR(VLOOKUP(VALUE(A572),WEEKLY_DATA!$A:$H,3,0),0)</f>
        <v>0</v>
      </c>
      <c r="S572" s="8">
        <f>IFERROR(VLOOKUP(VALUE(A572),WEEKLY_DATA!$A:$H,4,0),0)</f>
        <v>0</v>
      </c>
      <c r="T572" s="51">
        <f>IFERROR(VLOOKUP(VALUE(A572),WEEKLY_DATA!$A:$H,5,0),0)</f>
        <v>0</v>
      </c>
      <c r="U572" s="51">
        <f>IFERROR(VLOOKUP(VALUE(A572),WEEKLY_DATA!$A:$H,6,0),0)</f>
        <v>0</v>
      </c>
      <c r="V572" s="51">
        <f>IFERROR(VLOOKUP(VALUE(A572),WEEKLY_DATA!$A:$H,7,0),0)</f>
        <v>0</v>
      </c>
      <c r="W572" s="9" t="str">
        <f>IFERROR(IF(OR(Q572="",Q572=0),"",IF(VLOOKUP(VALUE($A572),WEEKLY_DATA!$A:$H,6,0)=0,"No Sales",Q572/(VLOOKUP(VALUE($A572),WEEKLY_DATA!$A:$H,6,0)/13))),"")</f>
        <v/>
      </c>
      <c r="X572" s="10">
        <f>IFERROR(VLOOKUP(VALUE(A572),WEEKLY_DATA!$A:$H,8,0),0)</f>
        <v>0</v>
      </c>
      <c r="Y572" s="13" t="str">
        <f t="shared" si="16"/>
        <v>—</v>
      </c>
      <c r="Z572" s="11"/>
      <c r="AA572" s="11"/>
      <c r="AB572" s="11"/>
      <c r="AC572" s="11"/>
      <c r="AD572" s="11"/>
      <c r="AE572" s="11"/>
      <c r="AF572" s="61"/>
      <c r="AG572" s="61"/>
      <c r="AH572" s="62"/>
      <c r="AI572" s="62"/>
      <c r="AJ572" s="61"/>
      <c r="AK572" s="61"/>
      <c r="AL572" s="61"/>
      <c r="AM572" s="58"/>
      <c r="AN572" s="58"/>
      <c r="AO572" s="58"/>
      <c r="AP572" s="58"/>
      <c r="AQ572" s="58"/>
      <c r="AR572" s="58"/>
      <c r="AS572" s="91"/>
      <c r="AT572" s="93"/>
      <c r="AU572" s="93"/>
      <c r="AV572" s="93"/>
      <c r="AW572" s="93"/>
    </row>
    <row r="573" spans="1:49" x14ac:dyDescent="0.25">
      <c r="A573" s="59"/>
      <c r="B573" s="12"/>
      <c r="C573" s="12"/>
      <c r="D573" s="60"/>
      <c r="E573" s="6"/>
      <c r="F573" s="6"/>
      <c r="G573" s="12"/>
      <c r="H573" s="12"/>
      <c r="I573" s="12" t="str" cm="2">
        <f t="array" ref="I573">IFERROR(INDEX(BrandList!$B$2:$B$200,MATCH(TRUE,ISNUMBER(SEARCH(BrandList!$B$2:$B$200,G573)),0)),"")</f>
        <v/>
      </c>
      <c r="J573" s="12"/>
      <c r="K573" s="12"/>
      <c r="L573" s="60"/>
      <c r="M573" s="60"/>
      <c r="N573" s="60"/>
      <c r="O573" s="60"/>
      <c r="P573" s="7" t="str">
        <f t="shared" si="17"/>
        <v/>
      </c>
      <c r="Q573" s="8">
        <f>IFERROR(VLOOKUP(VALUE(A573),WEEKLY_DATA!$A:$H,2,0),0)</f>
        <v>0</v>
      </c>
      <c r="R573" s="8">
        <f>IFERROR(VLOOKUP(VALUE(A573),WEEKLY_DATA!$A:$H,3,0),0)</f>
        <v>0</v>
      </c>
      <c r="S573" s="8">
        <f>IFERROR(VLOOKUP(VALUE(A573),WEEKLY_DATA!$A:$H,4,0),0)</f>
        <v>0</v>
      </c>
      <c r="T573" s="51">
        <f>IFERROR(VLOOKUP(VALUE(A573),WEEKLY_DATA!$A:$H,5,0),0)</f>
        <v>0</v>
      </c>
      <c r="U573" s="51">
        <f>IFERROR(VLOOKUP(VALUE(A573),WEEKLY_DATA!$A:$H,6,0),0)</f>
        <v>0</v>
      </c>
      <c r="V573" s="51">
        <f>IFERROR(VLOOKUP(VALUE(A573),WEEKLY_DATA!$A:$H,7,0),0)</f>
        <v>0</v>
      </c>
      <c r="W573" s="9" t="str">
        <f>IFERROR(IF(OR(Q573="",Q573=0),"",IF(VLOOKUP(VALUE($A573),WEEKLY_DATA!$A:$H,6,0)=0,"No Sales",Q573/(VLOOKUP(VALUE($A573),WEEKLY_DATA!$A:$H,6,0)/13))),"")</f>
        <v/>
      </c>
      <c r="X573" s="10">
        <f>IFERROR(VLOOKUP(VALUE(A573),WEEKLY_DATA!$A:$H,8,0),0)</f>
        <v>0</v>
      </c>
      <c r="Y573" s="13" t="str">
        <f t="shared" si="16"/>
        <v>—</v>
      </c>
      <c r="Z573" s="11"/>
      <c r="AA573" s="11"/>
      <c r="AB573" s="11"/>
      <c r="AC573" s="11"/>
      <c r="AD573" s="11"/>
      <c r="AE573" s="11"/>
      <c r="AF573" s="61"/>
      <c r="AG573" s="61"/>
      <c r="AH573" s="62"/>
      <c r="AI573" s="62"/>
      <c r="AJ573" s="61"/>
      <c r="AK573" s="61"/>
      <c r="AL573" s="61"/>
      <c r="AM573" s="58"/>
      <c r="AN573" s="58"/>
      <c r="AO573" s="58"/>
      <c r="AP573" s="58"/>
      <c r="AQ573" s="58"/>
      <c r="AR573" s="58"/>
      <c r="AS573" s="91"/>
      <c r="AT573" s="93"/>
      <c r="AU573" s="93"/>
      <c r="AV573" s="93"/>
      <c r="AW573" s="93"/>
    </row>
    <row r="574" spans="1:49" x14ac:dyDescent="0.25">
      <c r="A574" s="59"/>
      <c r="B574" s="12"/>
      <c r="C574" s="12"/>
      <c r="D574" s="60"/>
      <c r="E574" s="6"/>
      <c r="F574" s="6"/>
      <c r="G574" s="12"/>
      <c r="H574" s="12"/>
      <c r="I574" s="12" t="str" cm="2">
        <f t="array" ref="I574">IFERROR(INDEX(BrandList!$B$2:$B$200,MATCH(TRUE,ISNUMBER(SEARCH(BrandList!$B$2:$B$200,G574)),0)),"")</f>
        <v/>
      </c>
      <c r="J574" s="12"/>
      <c r="K574" s="12"/>
      <c r="L574" s="60"/>
      <c r="M574" s="60"/>
      <c r="N574" s="60"/>
      <c r="O574" s="60"/>
      <c r="P574" s="7" t="str">
        <f t="shared" si="17"/>
        <v/>
      </c>
      <c r="Q574" s="8">
        <f>IFERROR(VLOOKUP(VALUE(A574),WEEKLY_DATA!$A:$H,2,0),0)</f>
        <v>0</v>
      </c>
      <c r="R574" s="8">
        <f>IFERROR(VLOOKUP(VALUE(A574),WEEKLY_DATA!$A:$H,3,0),0)</f>
        <v>0</v>
      </c>
      <c r="S574" s="8">
        <f>IFERROR(VLOOKUP(VALUE(A574),WEEKLY_DATA!$A:$H,4,0),0)</f>
        <v>0</v>
      </c>
      <c r="T574" s="51">
        <f>IFERROR(VLOOKUP(VALUE(A574),WEEKLY_DATA!$A:$H,5,0),0)</f>
        <v>0</v>
      </c>
      <c r="U574" s="51">
        <f>IFERROR(VLOOKUP(VALUE(A574),WEEKLY_DATA!$A:$H,6,0),0)</f>
        <v>0</v>
      </c>
      <c r="V574" s="51">
        <f>IFERROR(VLOOKUP(VALUE(A574),WEEKLY_DATA!$A:$H,7,0),0)</f>
        <v>0</v>
      </c>
      <c r="W574" s="9" t="str">
        <f>IFERROR(IF(OR(Q574="",Q574=0),"",IF(VLOOKUP(VALUE($A574),WEEKLY_DATA!$A:$H,6,0)=0,"No Sales",Q574/(VLOOKUP(VALUE($A574),WEEKLY_DATA!$A:$H,6,0)/13))),"")</f>
        <v/>
      </c>
      <c r="X574" s="10">
        <f>IFERROR(VLOOKUP(VALUE(A574),WEEKLY_DATA!$A:$H,8,0),0)</f>
        <v>0</v>
      </c>
      <c r="Y574" s="13" t="str">
        <f t="shared" si="16"/>
        <v>—</v>
      </c>
      <c r="Z574" s="11"/>
      <c r="AA574" s="11"/>
      <c r="AB574" s="11"/>
      <c r="AC574" s="11"/>
      <c r="AD574" s="11"/>
      <c r="AE574" s="11"/>
      <c r="AF574" s="61"/>
      <c r="AG574" s="61"/>
      <c r="AH574" s="62"/>
      <c r="AI574" s="62"/>
      <c r="AJ574" s="61"/>
      <c r="AK574" s="61"/>
      <c r="AL574" s="61"/>
      <c r="AM574" s="58"/>
      <c r="AN574" s="58"/>
      <c r="AO574" s="58"/>
      <c r="AP574" s="58"/>
      <c r="AQ574" s="58"/>
      <c r="AR574" s="58"/>
      <c r="AS574" s="91"/>
      <c r="AT574" s="93"/>
      <c r="AU574" s="93"/>
      <c r="AV574" s="93"/>
      <c r="AW574" s="93"/>
    </row>
    <row r="575" spans="1:49" x14ac:dyDescent="0.25">
      <c r="A575" s="59"/>
      <c r="B575" s="12"/>
      <c r="C575" s="12"/>
      <c r="D575" s="60"/>
      <c r="E575" s="6"/>
      <c r="F575" s="6"/>
      <c r="G575" s="12"/>
      <c r="H575" s="12"/>
      <c r="I575" s="12" t="str" cm="2">
        <f t="array" ref="I575">IFERROR(INDEX(BrandList!$B$2:$B$200,MATCH(TRUE,ISNUMBER(SEARCH(BrandList!$B$2:$B$200,G575)),0)),"")</f>
        <v/>
      </c>
      <c r="J575" s="12"/>
      <c r="K575" s="12"/>
      <c r="L575" s="60"/>
      <c r="M575" s="60"/>
      <c r="N575" s="60"/>
      <c r="O575" s="60"/>
      <c r="P575" s="7" t="str">
        <f t="shared" si="17"/>
        <v/>
      </c>
      <c r="Q575" s="8">
        <f>IFERROR(VLOOKUP(VALUE(A575),WEEKLY_DATA!$A:$H,2,0),0)</f>
        <v>0</v>
      </c>
      <c r="R575" s="8">
        <f>IFERROR(VLOOKUP(VALUE(A575),WEEKLY_DATA!$A:$H,3,0),0)</f>
        <v>0</v>
      </c>
      <c r="S575" s="8">
        <f>IFERROR(VLOOKUP(VALUE(A575),WEEKLY_DATA!$A:$H,4,0),0)</f>
        <v>0</v>
      </c>
      <c r="T575" s="51">
        <f>IFERROR(VLOOKUP(VALUE(A575),WEEKLY_DATA!$A:$H,5,0),0)</f>
        <v>0</v>
      </c>
      <c r="U575" s="51">
        <f>IFERROR(VLOOKUP(VALUE(A575),WEEKLY_DATA!$A:$H,6,0),0)</f>
        <v>0</v>
      </c>
      <c r="V575" s="51">
        <f>IFERROR(VLOOKUP(VALUE(A575),WEEKLY_DATA!$A:$H,7,0),0)</f>
        <v>0</v>
      </c>
      <c r="W575" s="9" t="str">
        <f>IFERROR(IF(OR(Q575="",Q575=0),"",IF(VLOOKUP(VALUE($A575),WEEKLY_DATA!$A:$H,6,0)=0,"No Sales",Q575/(VLOOKUP(VALUE($A575),WEEKLY_DATA!$A:$H,6,0)/13))),"")</f>
        <v/>
      </c>
      <c r="X575" s="10">
        <f>IFERROR(VLOOKUP(VALUE(A575),WEEKLY_DATA!$A:$H,8,0),0)</f>
        <v>0</v>
      </c>
      <c r="Y575" s="13" t="str">
        <f t="shared" si="16"/>
        <v>—</v>
      </c>
      <c r="Z575" s="11"/>
      <c r="AA575" s="11"/>
      <c r="AB575" s="11"/>
      <c r="AC575" s="11"/>
      <c r="AD575" s="11"/>
      <c r="AE575" s="11"/>
      <c r="AF575" s="61"/>
      <c r="AG575" s="61"/>
      <c r="AH575" s="62"/>
      <c r="AI575" s="62"/>
      <c r="AJ575" s="61"/>
      <c r="AK575" s="61"/>
      <c r="AL575" s="61"/>
      <c r="AM575" s="58"/>
      <c r="AN575" s="58"/>
      <c r="AO575" s="58"/>
      <c r="AP575" s="58"/>
      <c r="AQ575" s="58"/>
      <c r="AR575" s="58"/>
      <c r="AS575" s="91"/>
      <c r="AT575" s="93"/>
      <c r="AU575" s="93"/>
      <c r="AV575" s="93"/>
      <c r="AW575" s="93"/>
    </row>
    <row r="576" spans="1:49" x14ac:dyDescent="0.25">
      <c r="A576" s="59"/>
      <c r="B576" s="12"/>
      <c r="C576" s="12"/>
      <c r="D576" s="60"/>
      <c r="E576" s="6"/>
      <c r="F576" s="6"/>
      <c r="G576" s="12"/>
      <c r="H576" s="12"/>
      <c r="I576" s="12" t="str" cm="2">
        <f t="array" ref="I576">IFERROR(INDEX(BrandList!$B$2:$B$200,MATCH(TRUE,ISNUMBER(SEARCH(BrandList!$B$2:$B$200,G576)),0)),"")</f>
        <v/>
      </c>
      <c r="J576" s="12"/>
      <c r="K576" s="12"/>
      <c r="L576" s="60"/>
      <c r="M576" s="60"/>
      <c r="N576" s="60"/>
      <c r="O576" s="60"/>
      <c r="P576" s="7" t="str">
        <f t="shared" si="17"/>
        <v/>
      </c>
      <c r="Q576" s="8">
        <f>IFERROR(VLOOKUP(VALUE(A576),WEEKLY_DATA!$A:$H,2,0),0)</f>
        <v>0</v>
      </c>
      <c r="R576" s="8">
        <f>IFERROR(VLOOKUP(VALUE(A576),WEEKLY_DATA!$A:$H,3,0),0)</f>
        <v>0</v>
      </c>
      <c r="S576" s="8">
        <f>IFERROR(VLOOKUP(VALUE(A576),WEEKLY_DATA!$A:$H,4,0),0)</f>
        <v>0</v>
      </c>
      <c r="T576" s="51">
        <f>IFERROR(VLOOKUP(VALUE(A576),WEEKLY_DATA!$A:$H,5,0),0)</f>
        <v>0</v>
      </c>
      <c r="U576" s="51">
        <f>IFERROR(VLOOKUP(VALUE(A576),WEEKLY_DATA!$A:$H,6,0),0)</f>
        <v>0</v>
      </c>
      <c r="V576" s="51">
        <f>IFERROR(VLOOKUP(VALUE(A576),WEEKLY_DATA!$A:$H,7,0),0)</f>
        <v>0</v>
      </c>
      <c r="W576" s="9" t="str">
        <f>IFERROR(IF(OR(Q576="",Q576=0),"",IF(VLOOKUP(VALUE($A576),WEEKLY_DATA!$A:$H,6,0)=0,"No Sales",Q576/(VLOOKUP(VALUE($A576),WEEKLY_DATA!$A:$H,6,0)/13))),"")</f>
        <v/>
      </c>
      <c r="X576" s="10">
        <f>IFERROR(VLOOKUP(VALUE(A576),WEEKLY_DATA!$A:$H,8,0),0)</f>
        <v>0</v>
      </c>
      <c r="Y576" s="13" t="str">
        <f t="shared" si="16"/>
        <v>—</v>
      </c>
      <c r="Z576" s="11"/>
      <c r="AA576" s="11"/>
      <c r="AB576" s="11"/>
      <c r="AC576" s="11"/>
      <c r="AD576" s="11"/>
      <c r="AE576" s="11"/>
      <c r="AF576" s="61"/>
      <c r="AG576" s="61"/>
      <c r="AH576" s="62"/>
      <c r="AI576" s="62"/>
      <c r="AJ576" s="61"/>
      <c r="AK576" s="61"/>
      <c r="AL576" s="61"/>
      <c r="AM576" s="58"/>
      <c r="AN576" s="58"/>
      <c r="AO576" s="58"/>
      <c r="AP576" s="58"/>
      <c r="AQ576" s="58"/>
      <c r="AR576" s="58"/>
      <c r="AS576" s="91"/>
      <c r="AT576" s="93"/>
      <c r="AU576" s="93"/>
      <c r="AV576" s="93"/>
      <c r="AW576" s="93"/>
    </row>
    <row r="577" spans="1:49" x14ac:dyDescent="0.25">
      <c r="A577" s="59"/>
      <c r="B577" s="12"/>
      <c r="C577" s="12"/>
      <c r="D577" s="60"/>
      <c r="E577" s="6"/>
      <c r="F577" s="6"/>
      <c r="G577" s="12"/>
      <c r="H577" s="12"/>
      <c r="I577" s="12" t="str" cm="2">
        <f t="array" ref="I577">IFERROR(INDEX(BrandList!$B$2:$B$200,MATCH(TRUE,ISNUMBER(SEARCH(BrandList!$B$2:$B$200,G577)),0)),"")</f>
        <v/>
      </c>
      <c r="J577" s="12"/>
      <c r="K577" s="12"/>
      <c r="L577" s="60"/>
      <c r="M577" s="60"/>
      <c r="N577" s="60"/>
      <c r="O577" s="60"/>
      <c r="P577" s="7" t="str">
        <f t="shared" si="17"/>
        <v/>
      </c>
      <c r="Q577" s="8">
        <f>IFERROR(VLOOKUP(VALUE(A577),WEEKLY_DATA!$A:$H,2,0),0)</f>
        <v>0</v>
      </c>
      <c r="R577" s="8">
        <f>IFERROR(VLOOKUP(VALUE(A577),WEEKLY_DATA!$A:$H,3,0),0)</f>
        <v>0</v>
      </c>
      <c r="S577" s="8">
        <f>IFERROR(VLOOKUP(VALUE(A577),WEEKLY_DATA!$A:$H,4,0),0)</f>
        <v>0</v>
      </c>
      <c r="T577" s="51">
        <f>IFERROR(VLOOKUP(VALUE(A577),WEEKLY_DATA!$A:$H,5,0),0)</f>
        <v>0</v>
      </c>
      <c r="U577" s="51">
        <f>IFERROR(VLOOKUP(VALUE(A577),WEEKLY_DATA!$A:$H,6,0),0)</f>
        <v>0</v>
      </c>
      <c r="V577" s="51">
        <f>IFERROR(VLOOKUP(VALUE(A577),WEEKLY_DATA!$A:$H,7,0),0)</f>
        <v>0</v>
      </c>
      <c r="W577" s="9" t="str">
        <f>IFERROR(IF(OR(Q577="",Q577=0),"",IF(VLOOKUP(VALUE($A577),WEEKLY_DATA!$A:$H,6,0)=0,"No Sales",Q577/(VLOOKUP(VALUE($A577),WEEKLY_DATA!$A:$H,6,0)/13))),"")</f>
        <v/>
      </c>
      <c r="X577" s="10">
        <f>IFERROR(VLOOKUP(VALUE(A577),WEEKLY_DATA!$A:$H,8,0),0)</f>
        <v>0</v>
      </c>
      <c r="Y577" s="13" t="str">
        <f t="shared" si="16"/>
        <v>—</v>
      </c>
      <c r="Z577" s="11"/>
      <c r="AA577" s="11"/>
      <c r="AB577" s="11"/>
      <c r="AC577" s="11"/>
      <c r="AD577" s="11"/>
      <c r="AE577" s="11"/>
      <c r="AF577" s="61"/>
      <c r="AG577" s="61"/>
      <c r="AH577" s="62"/>
      <c r="AI577" s="62"/>
      <c r="AJ577" s="61"/>
      <c r="AK577" s="61"/>
      <c r="AL577" s="61"/>
      <c r="AM577" s="58"/>
      <c r="AN577" s="58"/>
      <c r="AO577" s="58"/>
      <c r="AP577" s="58"/>
      <c r="AQ577" s="58"/>
      <c r="AR577" s="58"/>
      <c r="AS577" s="91"/>
      <c r="AT577" s="93"/>
      <c r="AU577" s="93"/>
      <c r="AV577" s="93"/>
      <c r="AW577" s="93"/>
    </row>
    <row r="578" spans="1:49" x14ac:dyDescent="0.25">
      <c r="A578" s="59"/>
      <c r="B578" s="12"/>
      <c r="C578" s="12"/>
      <c r="D578" s="60"/>
      <c r="E578" s="6"/>
      <c r="F578" s="6"/>
      <c r="G578" s="12"/>
      <c r="H578" s="12"/>
      <c r="I578" s="12" t="str" cm="2">
        <f t="array" ref="I578">IFERROR(INDEX(BrandList!$B$2:$B$200,MATCH(TRUE,ISNUMBER(SEARCH(BrandList!$B$2:$B$200,G578)),0)),"")</f>
        <v/>
      </c>
      <c r="J578" s="12"/>
      <c r="K578" s="12"/>
      <c r="L578" s="60"/>
      <c r="M578" s="60"/>
      <c r="N578" s="60"/>
      <c r="O578" s="60"/>
      <c r="P578" s="7" t="str">
        <f t="shared" si="17"/>
        <v/>
      </c>
      <c r="Q578" s="8">
        <f>IFERROR(VLOOKUP(VALUE(A578),WEEKLY_DATA!$A:$H,2,0),0)</f>
        <v>0</v>
      </c>
      <c r="R578" s="8">
        <f>IFERROR(VLOOKUP(VALUE(A578),WEEKLY_DATA!$A:$H,3,0),0)</f>
        <v>0</v>
      </c>
      <c r="S578" s="8">
        <f>IFERROR(VLOOKUP(VALUE(A578),WEEKLY_DATA!$A:$H,4,0),0)</f>
        <v>0</v>
      </c>
      <c r="T578" s="51">
        <f>IFERROR(VLOOKUP(VALUE(A578),WEEKLY_DATA!$A:$H,5,0),0)</f>
        <v>0</v>
      </c>
      <c r="U578" s="51">
        <f>IFERROR(VLOOKUP(VALUE(A578),WEEKLY_DATA!$A:$H,6,0),0)</f>
        <v>0</v>
      </c>
      <c r="V578" s="51">
        <f>IFERROR(VLOOKUP(VALUE(A578),WEEKLY_DATA!$A:$H,7,0),0)</f>
        <v>0</v>
      </c>
      <c r="W578" s="9" t="str">
        <f>IFERROR(IF(OR(Q578="",Q578=0),"",IF(VLOOKUP(VALUE($A578),WEEKLY_DATA!$A:$H,6,0)=0,"No Sales",Q578/(VLOOKUP(VALUE($A578),WEEKLY_DATA!$A:$H,6,0)/13))),"")</f>
        <v/>
      </c>
      <c r="X578" s="10">
        <f>IFERROR(VLOOKUP(VALUE(A578),WEEKLY_DATA!$A:$H,8,0),0)</f>
        <v>0</v>
      </c>
      <c r="Y578" s="13" t="str">
        <f t="shared" si="16"/>
        <v>—</v>
      </c>
      <c r="Z578" s="11"/>
      <c r="AA578" s="11"/>
      <c r="AB578" s="11"/>
      <c r="AC578" s="11"/>
      <c r="AD578" s="11"/>
      <c r="AE578" s="11"/>
      <c r="AF578" s="61"/>
      <c r="AG578" s="61"/>
      <c r="AH578" s="62"/>
      <c r="AI578" s="62"/>
      <c r="AJ578" s="61"/>
      <c r="AK578" s="61"/>
      <c r="AL578" s="61"/>
      <c r="AM578" s="58"/>
      <c r="AN578" s="58"/>
      <c r="AO578" s="58"/>
      <c r="AP578" s="58"/>
      <c r="AQ578" s="58"/>
      <c r="AR578" s="58"/>
      <c r="AS578" s="91"/>
      <c r="AT578" s="93"/>
      <c r="AU578" s="93"/>
      <c r="AV578" s="93"/>
      <c r="AW578" s="93"/>
    </row>
    <row r="579" spans="1:49" x14ac:dyDescent="0.25">
      <c r="A579" s="59"/>
      <c r="B579" s="12"/>
      <c r="C579" s="12"/>
      <c r="D579" s="60"/>
      <c r="E579" s="6"/>
      <c r="F579" s="6"/>
      <c r="G579" s="12"/>
      <c r="H579" s="12"/>
      <c r="I579" s="12" t="str" cm="2">
        <f t="array" ref="I579">IFERROR(INDEX(BrandList!$B$2:$B$200,MATCH(TRUE,ISNUMBER(SEARCH(BrandList!$B$2:$B$200,G579)),0)),"")</f>
        <v/>
      </c>
      <c r="J579" s="12"/>
      <c r="K579" s="12"/>
      <c r="L579" s="60"/>
      <c r="M579" s="60"/>
      <c r="N579" s="60"/>
      <c r="O579" s="60"/>
      <c r="P579" s="7" t="str">
        <f t="shared" si="17"/>
        <v/>
      </c>
      <c r="Q579" s="8">
        <f>IFERROR(VLOOKUP(VALUE(A579),WEEKLY_DATA!$A:$H,2,0),0)</f>
        <v>0</v>
      </c>
      <c r="R579" s="8">
        <f>IFERROR(VLOOKUP(VALUE(A579),WEEKLY_DATA!$A:$H,3,0),0)</f>
        <v>0</v>
      </c>
      <c r="S579" s="8">
        <f>IFERROR(VLOOKUP(VALUE(A579),WEEKLY_DATA!$A:$H,4,0),0)</f>
        <v>0</v>
      </c>
      <c r="T579" s="51">
        <f>IFERROR(VLOOKUP(VALUE(A579),WEEKLY_DATA!$A:$H,5,0),0)</f>
        <v>0</v>
      </c>
      <c r="U579" s="51">
        <f>IFERROR(VLOOKUP(VALUE(A579),WEEKLY_DATA!$A:$H,6,0),0)</f>
        <v>0</v>
      </c>
      <c r="V579" s="51">
        <f>IFERROR(VLOOKUP(VALUE(A579),WEEKLY_DATA!$A:$H,7,0),0)</f>
        <v>0</v>
      </c>
      <c r="W579" s="9" t="str">
        <f>IFERROR(IF(OR(Q579="",Q579=0),"",IF(VLOOKUP(VALUE($A579),WEEKLY_DATA!$A:$H,6,0)=0,"No Sales",Q579/(VLOOKUP(VALUE($A579),WEEKLY_DATA!$A:$H,6,0)/13))),"")</f>
        <v/>
      </c>
      <c r="X579" s="10">
        <f>IFERROR(VLOOKUP(VALUE(A579),WEEKLY_DATA!$A:$H,8,0),0)</f>
        <v>0</v>
      </c>
      <c r="Y579" s="13" t="str">
        <f t="shared" si="16"/>
        <v>—</v>
      </c>
      <c r="Z579" s="11"/>
      <c r="AA579" s="11"/>
      <c r="AB579" s="11"/>
      <c r="AC579" s="11"/>
      <c r="AD579" s="11"/>
      <c r="AE579" s="11"/>
      <c r="AF579" s="61"/>
      <c r="AG579" s="61"/>
      <c r="AH579" s="62"/>
      <c r="AI579" s="62"/>
      <c r="AJ579" s="61"/>
      <c r="AK579" s="61"/>
      <c r="AL579" s="61"/>
      <c r="AM579" s="58"/>
      <c r="AN579" s="58"/>
      <c r="AO579" s="58"/>
      <c r="AP579" s="58"/>
      <c r="AQ579" s="58"/>
      <c r="AR579" s="58"/>
      <c r="AS579" s="91"/>
      <c r="AT579" s="93"/>
      <c r="AU579" s="93"/>
      <c r="AV579" s="93"/>
      <c r="AW579" s="93"/>
    </row>
    <row r="580" spans="1:49" x14ac:dyDescent="0.25">
      <c r="A580" s="59"/>
      <c r="B580" s="12"/>
      <c r="C580" s="12"/>
      <c r="D580" s="60"/>
      <c r="E580" s="6"/>
      <c r="F580" s="6"/>
      <c r="G580" s="12"/>
      <c r="H580" s="12"/>
      <c r="I580" s="12" t="str" cm="2">
        <f t="array" ref="I580">IFERROR(INDEX(BrandList!$B$2:$B$200,MATCH(TRUE,ISNUMBER(SEARCH(BrandList!$B$2:$B$200,G580)),0)),"")</f>
        <v/>
      </c>
      <c r="J580" s="12"/>
      <c r="K580" s="12"/>
      <c r="L580" s="60"/>
      <c r="M580" s="60"/>
      <c r="N580" s="60"/>
      <c r="O580" s="60"/>
      <c r="P580" s="7" t="str">
        <f t="shared" si="17"/>
        <v/>
      </c>
      <c r="Q580" s="8">
        <f>IFERROR(VLOOKUP(VALUE(A580),WEEKLY_DATA!$A:$H,2,0),0)</f>
        <v>0</v>
      </c>
      <c r="R580" s="8">
        <f>IFERROR(VLOOKUP(VALUE(A580),WEEKLY_DATA!$A:$H,3,0),0)</f>
        <v>0</v>
      </c>
      <c r="S580" s="8">
        <f>IFERROR(VLOOKUP(VALUE(A580),WEEKLY_DATA!$A:$H,4,0),0)</f>
        <v>0</v>
      </c>
      <c r="T580" s="51">
        <f>IFERROR(VLOOKUP(VALUE(A580),WEEKLY_DATA!$A:$H,5,0),0)</f>
        <v>0</v>
      </c>
      <c r="U580" s="51">
        <f>IFERROR(VLOOKUP(VALUE(A580),WEEKLY_DATA!$A:$H,6,0),0)</f>
        <v>0</v>
      </c>
      <c r="V580" s="51">
        <f>IFERROR(VLOOKUP(VALUE(A580),WEEKLY_DATA!$A:$H,7,0),0)</f>
        <v>0</v>
      </c>
      <c r="W580" s="9" t="str">
        <f>IFERROR(IF(OR(Q580="",Q580=0),"",IF(VLOOKUP(VALUE($A580),WEEKLY_DATA!$A:$H,6,0)=0,"No Sales",Q580/(VLOOKUP(VALUE($A580),WEEKLY_DATA!$A:$H,6,0)/13))),"")</f>
        <v/>
      </c>
      <c r="X580" s="10">
        <f>IFERROR(VLOOKUP(VALUE(A580),WEEKLY_DATA!$A:$H,8,0),0)</f>
        <v>0</v>
      </c>
      <c r="Y580" s="13" t="str">
        <f t="shared" si="16"/>
        <v>—</v>
      </c>
      <c r="Z580" s="11"/>
      <c r="AA580" s="11"/>
      <c r="AB580" s="11"/>
      <c r="AC580" s="11"/>
      <c r="AD580" s="11"/>
      <c r="AE580" s="11"/>
      <c r="AF580" s="61"/>
      <c r="AG580" s="61"/>
      <c r="AH580" s="62"/>
      <c r="AI580" s="62"/>
      <c r="AJ580" s="61"/>
      <c r="AK580" s="61"/>
      <c r="AL580" s="61"/>
      <c r="AM580" s="58"/>
      <c r="AN580" s="58"/>
      <c r="AO580" s="58"/>
      <c r="AP580" s="58"/>
      <c r="AQ580" s="58"/>
      <c r="AR580" s="58"/>
      <c r="AS580" s="91"/>
      <c r="AT580" s="93"/>
      <c r="AU580" s="93"/>
      <c r="AV580" s="93"/>
      <c r="AW580" s="93"/>
    </row>
    <row r="581" spans="1:49" x14ac:dyDescent="0.25">
      <c r="A581" s="59"/>
      <c r="B581" s="12"/>
      <c r="C581" s="12"/>
      <c r="D581" s="60"/>
      <c r="E581" s="6"/>
      <c r="F581" s="6"/>
      <c r="G581" s="12"/>
      <c r="H581" s="12"/>
      <c r="I581" s="12" t="str" cm="2">
        <f t="array" ref="I581">IFERROR(INDEX(BrandList!$B$2:$B$200,MATCH(TRUE,ISNUMBER(SEARCH(BrandList!$B$2:$B$200,G581)),0)),"")</f>
        <v/>
      </c>
      <c r="J581" s="12"/>
      <c r="K581" s="12"/>
      <c r="L581" s="60"/>
      <c r="M581" s="60"/>
      <c r="N581" s="60"/>
      <c r="O581" s="60"/>
      <c r="P581" s="7" t="str">
        <f t="shared" si="17"/>
        <v/>
      </c>
      <c r="Q581" s="8">
        <f>IFERROR(VLOOKUP(VALUE(A581),WEEKLY_DATA!$A:$H,2,0),0)</f>
        <v>0</v>
      </c>
      <c r="R581" s="8">
        <f>IFERROR(VLOOKUP(VALUE(A581),WEEKLY_DATA!$A:$H,3,0),0)</f>
        <v>0</v>
      </c>
      <c r="S581" s="8">
        <f>IFERROR(VLOOKUP(VALUE(A581),WEEKLY_DATA!$A:$H,4,0),0)</f>
        <v>0</v>
      </c>
      <c r="T581" s="51">
        <f>IFERROR(VLOOKUP(VALUE(A581),WEEKLY_DATA!$A:$H,5,0),0)</f>
        <v>0</v>
      </c>
      <c r="U581" s="51">
        <f>IFERROR(VLOOKUP(VALUE(A581),WEEKLY_DATA!$A:$H,6,0),0)</f>
        <v>0</v>
      </c>
      <c r="V581" s="51">
        <f>IFERROR(VLOOKUP(VALUE(A581),WEEKLY_DATA!$A:$H,7,0),0)</f>
        <v>0</v>
      </c>
      <c r="W581" s="9" t="str">
        <f>IFERROR(IF(OR(Q581="",Q581=0),"",IF(VLOOKUP(VALUE($A581),WEEKLY_DATA!$A:$H,6,0)=0,"No Sales",Q581/(VLOOKUP(VALUE($A581),WEEKLY_DATA!$A:$H,6,0)/13))),"")</f>
        <v/>
      </c>
      <c r="X581" s="10">
        <f>IFERROR(VLOOKUP(VALUE(A581),WEEKLY_DATA!$A:$H,8,0),0)</f>
        <v>0</v>
      </c>
      <c r="Y581" s="13" t="str">
        <f t="shared" si="16"/>
        <v>—</v>
      </c>
      <c r="Z581" s="11"/>
      <c r="AA581" s="11"/>
      <c r="AB581" s="11"/>
      <c r="AC581" s="11"/>
      <c r="AD581" s="11"/>
      <c r="AE581" s="11"/>
      <c r="AF581" s="61"/>
      <c r="AG581" s="61"/>
      <c r="AH581" s="62"/>
      <c r="AI581" s="62"/>
      <c r="AJ581" s="61"/>
      <c r="AK581" s="61"/>
      <c r="AL581" s="61"/>
      <c r="AM581" s="58"/>
      <c r="AN581" s="58"/>
      <c r="AO581" s="58"/>
      <c r="AP581" s="58"/>
      <c r="AQ581" s="58"/>
      <c r="AR581" s="58"/>
      <c r="AS581" s="91"/>
      <c r="AT581" s="93"/>
      <c r="AU581" s="93"/>
      <c r="AV581" s="93"/>
      <c r="AW581" s="93"/>
    </row>
    <row r="582" spans="1:49" x14ac:dyDescent="0.25">
      <c r="A582" s="59"/>
      <c r="B582" s="12"/>
      <c r="C582" s="12"/>
      <c r="D582" s="60"/>
      <c r="E582" s="6"/>
      <c r="F582" s="6"/>
      <c r="G582" s="12"/>
      <c r="H582" s="12"/>
      <c r="I582" s="12" t="str" cm="2">
        <f t="array" ref="I582">IFERROR(INDEX(BrandList!$B$2:$B$200,MATCH(TRUE,ISNUMBER(SEARCH(BrandList!$B$2:$B$200,G582)),0)),"")</f>
        <v/>
      </c>
      <c r="J582" s="12"/>
      <c r="K582" s="12"/>
      <c r="L582" s="60"/>
      <c r="M582" s="60"/>
      <c r="N582" s="60"/>
      <c r="O582" s="60"/>
      <c r="P582" s="7" t="str">
        <f t="shared" si="17"/>
        <v/>
      </c>
      <c r="Q582" s="8">
        <f>IFERROR(VLOOKUP(VALUE(A582),WEEKLY_DATA!$A:$H,2,0),0)</f>
        <v>0</v>
      </c>
      <c r="R582" s="8">
        <f>IFERROR(VLOOKUP(VALUE(A582),WEEKLY_DATA!$A:$H,3,0),0)</f>
        <v>0</v>
      </c>
      <c r="S582" s="8">
        <f>IFERROR(VLOOKUP(VALUE(A582),WEEKLY_DATA!$A:$H,4,0),0)</f>
        <v>0</v>
      </c>
      <c r="T582" s="51">
        <f>IFERROR(VLOOKUP(VALUE(A582),WEEKLY_DATA!$A:$H,5,0),0)</f>
        <v>0</v>
      </c>
      <c r="U582" s="51">
        <f>IFERROR(VLOOKUP(VALUE(A582),WEEKLY_DATA!$A:$H,6,0),0)</f>
        <v>0</v>
      </c>
      <c r="V582" s="51">
        <f>IFERROR(VLOOKUP(VALUE(A582),WEEKLY_DATA!$A:$H,7,0),0)</f>
        <v>0</v>
      </c>
      <c r="W582" s="9" t="str">
        <f>IFERROR(IF(OR(Q582="",Q582=0),"",IF(VLOOKUP(VALUE($A582),WEEKLY_DATA!$A:$H,6,0)=0,"No Sales",Q582/(VLOOKUP(VALUE($A582),WEEKLY_DATA!$A:$H,6,0)/13))),"")</f>
        <v/>
      </c>
      <c r="X582" s="10">
        <f>IFERROR(VLOOKUP(VALUE(A582),WEEKLY_DATA!$A:$H,8,0),0)</f>
        <v>0</v>
      </c>
      <c r="Y582" s="13" t="str">
        <f t="shared" ref="Y582:Y635" si="18">IFERROR(
IF(J582="Discontinued","🔴 EOL",
IF(J582="Drop Ship","📦 Drop Ship",
IF(J582="New","🆕 New",
IF(W582="","—",
IF(W582&lt;2,"🔴 Critical",
IF(W582&lt;4,"🟡 Low",
IF(W582&gt;26,"🔵 Overstock","🟢 Healthy")
)))))),"")</f>
        <v>—</v>
      </c>
      <c r="Z582" s="11"/>
      <c r="AA582" s="11"/>
      <c r="AB582" s="11"/>
      <c r="AC582" s="11"/>
      <c r="AD582" s="11"/>
      <c r="AE582" s="11"/>
      <c r="AF582" s="61"/>
      <c r="AG582" s="61"/>
      <c r="AH582" s="62"/>
      <c r="AI582" s="62"/>
      <c r="AJ582" s="61"/>
      <c r="AK582" s="61"/>
      <c r="AL582" s="61"/>
      <c r="AM582" s="58"/>
      <c r="AN582" s="58"/>
      <c r="AO582" s="58"/>
      <c r="AP582" s="58"/>
      <c r="AQ582" s="58"/>
      <c r="AR582" s="58"/>
      <c r="AS582" s="91"/>
      <c r="AT582" s="93"/>
      <c r="AU582" s="93"/>
      <c r="AV582" s="93"/>
      <c r="AW582" s="93"/>
    </row>
    <row r="583" spans="1:49" x14ac:dyDescent="0.25">
      <c r="A583" s="59"/>
      <c r="B583" s="12"/>
      <c r="C583" s="12"/>
      <c r="D583" s="60"/>
      <c r="E583" s="6"/>
      <c r="F583" s="6"/>
      <c r="G583" s="12"/>
      <c r="H583" s="12"/>
      <c r="I583" s="12" t="str" cm="2">
        <f t="array" ref="I583">IFERROR(INDEX(BrandList!$B$2:$B$200,MATCH(TRUE,ISNUMBER(SEARCH(BrandList!$B$2:$B$200,G583)),0)),"")</f>
        <v/>
      </c>
      <c r="J583" s="12"/>
      <c r="K583" s="12"/>
      <c r="L583" s="60"/>
      <c r="M583" s="60"/>
      <c r="N583" s="60"/>
      <c r="O583" s="60"/>
      <c r="P583" s="7" t="str">
        <f t="shared" ref="P583:P635" si="19">IFERROR(IF(OR(E583="",F583="",F583=0),"",(F583-E583)/F583),"")</f>
        <v/>
      </c>
      <c r="Q583" s="8">
        <f>IFERROR(VLOOKUP(VALUE(A583),WEEKLY_DATA!$A:$H,2,0),0)</f>
        <v>0</v>
      </c>
      <c r="R583" s="8">
        <f>IFERROR(VLOOKUP(VALUE(A583),WEEKLY_DATA!$A:$H,3,0),0)</f>
        <v>0</v>
      </c>
      <c r="S583" s="8">
        <f>IFERROR(VLOOKUP(VALUE(A583),WEEKLY_DATA!$A:$H,4,0),0)</f>
        <v>0</v>
      </c>
      <c r="T583" s="51">
        <f>IFERROR(VLOOKUP(VALUE(A583),WEEKLY_DATA!$A:$H,5,0),0)</f>
        <v>0</v>
      </c>
      <c r="U583" s="51">
        <f>IFERROR(VLOOKUP(VALUE(A583),WEEKLY_DATA!$A:$H,6,0),0)</f>
        <v>0</v>
      </c>
      <c r="V583" s="51">
        <f>IFERROR(VLOOKUP(VALUE(A583),WEEKLY_DATA!$A:$H,7,0),0)</f>
        <v>0</v>
      </c>
      <c r="W583" s="9" t="str">
        <f>IFERROR(IF(OR(Q583="",Q583=0),"",IF(VLOOKUP(VALUE($A583),WEEKLY_DATA!$A:$H,6,0)=0,"No Sales",Q583/(VLOOKUP(VALUE($A583),WEEKLY_DATA!$A:$H,6,0)/13))),"")</f>
        <v/>
      </c>
      <c r="X583" s="10">
        <f>IFERROR(VLOOKUP(VALUE(A583),WEEKLY_DATA!$A:$H,8,0),0)</f>
        <v>0</v>
      </c>
      <c r="Y583" s="13" t="str">
        <f t="shared" si="18"/>
        <v>—</v>
      </c>
      <c r="Z583" s="11"/>
      <c r="AA583" s="11"/>
      <c r="AB583" s="11"/>
      <c r="AC583" s="11"/>
      <c r="AD583" s="11"/>
      <c r="AE583" s="11"/>
      <c r="AF583" s="61"/>
      <c r="AG583" s="61"/>
      <c r="AH583" s="62"/>
      <c r="AI583" s="62"/>
      <c r="AJ583" s="61"/>
      <c r="AK583" s="61"/>
      <c r="AL583" s="61"/>
      <c r="AM583" s="58"/>
      <c r="AN583" s="58"/>
      <c r="AO583" s="58"/>
      <c r="AP583" s="58"/>
      <c r="AQ583" s="58"/>
      <c r="AR583" s="58"/>
      <c r="AS583" s="91"/>
      <c r="AT583" s="93"/>
      <c r="AU583" s="93"/>
      <c r="AV583" s="93"/>
      <c r="AW583" s="93"/>
    </row>
    <row r="584" spans="1:49" x14ac:dyDescent="0.25">
      <c r="A584" s="59"/>
      <c r="B584" s="12"/>
      <c r="C584" s="12"/>
      <c r="D584" s="60"/>
      <c r="E584" s="6"/>
      <c r="F584" s="6"/>
      <c r="G584" s="12"/>
      <c r="H584" s="12"/>
      <c r="I584" s="12" t="str" cm="2">
        <f t="array" ref="I584">IFERROR(INDEX(BrandList!$B$2:$B$200,MATCH(TRUE,ISNUMBER(SEARCH(BrandList!$B$2:$B$200,G584)),0)),"")</f>
        <v/>
      </c>
      <c r="J584" s="12"/>
      <c r="K584" s="12"/>
      <c r="L584" s="60"/>
      <c r="M584" s="60"/>
      <c r="N584" s="60"/>
      <c r="O584" s="60"/>
      <c r="P584" s="7" t="str">
        <f t="shared" si="19"/>
        <v/>
      </c>
      <c r="Q584" s="8">
        <f>IFERROR(VLOOKUP(VALUE(A584),WEEKLY_DATA!$A:$H,2,0),0)</f>
        <v>0</v>
      </c>
      <c r="R584" s="8">
        <f>IFERROR(VLOOKUP(VALUE(A584),WEEKLY_DATA!$A:$H,3,0),0)</f>
        <v>0</v>
      </c>
      <c r="S584" s="8">
        <f>IFERROR(VLOOKUP(VALUE(A584),WEEKLY_DATA!$A:$H,4,0),0)</f>
        <v>0</v>
      </c>
      <c r="T584" s="51">
        <f>IFERROR(VLOOKUP(VALUE(A584),WEEKLY_DATA!$A:$H,5,0),0)</f>
        <v>0</v>
      </c>
      <c r="U584" s="51">
        <f>IFERROR(VLOOKUP(VALUE(A584),WEEKLY_DATA!$A:$H,6,0),0)</f>
        <v>0</v>
      </c>
      <c r="V584" s="51">
        <f>IFERROR(VLOOKUP(VALUE(A584),WEEKLY_DATA!$A:$H,7,0),0)</f>
        <v>0</v>
      </c>
      <c r="W584" s="9" t="str">
        <f>IFERROR(IF(OR(Q584="",Q584=0),"",IF(VLOOKUP(VALUE($A584),WEEKLY_DATA!$A:$H,6,0)=0,"No Sales",Q584/(VLOOKUP(VALUE($A584),WEEKLY_DATA!$A:$H,6,0)/13))),"")</f>
        <v/>
      </c>
      <c r="X584" s="10">
        <f>IFERROR(VLOOKUP(VALUE(A584),WEEKLY_DATA!$A:$H,8,0),0)</f>
        <v>0</v>
      </c>
      <c r="Y584" s="13" t="str">
        <f t="shared" si="18"/>
        <v>—</v>
      </c>
      <c r="Z584" s="11"/>
      <c r="AA584" s="11"/>
      <c r="AB584" s="11"/>
      <c r="AC584" s="11"/>
      <c r="AD584" s="11"/>
      <c r="AE584" s="11"/>
      <c r="AF584" s="61"/>
      <c r="AG584" s="61"/>
      <c r="AH584" s="62"/>
      <c r="AI584" s="62"/>
      <c r="AJ584" s="61"/>
      <c r="AK584" s="61"/>
      <c r="AL584" s="61"/>
      <c r="AM584" s="58"/>
      <c r="AN584" s="58"/>
      <c r="AO584" s="58"/>
      <c r="AP584" s="58"/>
      <c r="AQ584" s="58"/>
      <c r="AR584" s="58"/>
      <c r="AS584" s="91"/>
      <c r="AT584" s="93"/>
      <c r="AU584" s="93"/>
      <c r="AV584" s="93"/>
      <c r="AW584" s="93"/>
    </row>
    <row r="585" spans="1:49" x14ac:dyDescent="0.25">
      <c r="A585" s="59"/>
      <c r="B585" s="12"/>
      <c r="C585" s="12"/>
      <c r="D585" s="60"/>
      <c r="E585" s="6"/>
      <c r="F585" s="6"/>
      <c r="G585" s="12"/>
      <c r="H585" s="12"/>
      <c r="I585" s="12" t="str" cm="2">
        <f t="array" ref="I585">IFERROR(INDEX(BrandList!$B$2:$B$200,MATCH(TRUE,ISNUMBER(SEARCH(BrandList!$B$2:$B$200,G585)),0)),"")</f>
        <v/>
      </c>
      <c r="J585" s="12"/>
      <c r="K585" s="12"/>
      <c r="L585" s="60"/>
      <c r="M585" s="60"/>
      <c r="N585" s="60"/>
      <c r="O585" s="60"/>
      <c r="P585" s="7" t="str">
        <f t="shared" si="19"/>
        <v/>
      </c>
      <c r="Q585" s="8">
        <f>IFERROR(VLOOKUP(VALUE(A585),WEEKLY_DATA!$A:$H,2,0),0)</f>
        <v>0</v>
      </c>
      <c r="R585" s="8">
        <f>IFERROR(VLOOKUP(VALUE(A585),WEEKLY_DATA!$A:$H,3,0),0)</f>
        <v>0</v>
      </c>
      <c r="S585" s="8">
        <f>IFERROR(VLOOKUP(VALUE(A585),WEEKLY_DATA!$A:$H,4,0),0)</f>
        <v>0</v>
      </c>
      <c r="T585" s="51">
        <f>IFERROR(VLOOKUP(VALUE(A585),WEEKLY_DATA!$A:$H,5,0),0)</f>
        <v>0</v>
      </c>
      <c r="U585" s="51">
        <f>IFERROR(VLOOKUP(VALUE(A585),WEEKLY_DATA!$A:$H,6,0),0)</f>
        <v>0</v>
      </c>
      <c r="V585" s="51">
        <f>IFERROR(VLOOKUP(VALUE(A585),WEEKLY_DATA!$A:$H,7,0),0)</f>
        <v>0</v>
      </c>
      <c r="W585" s="9" t="str">
        <f>IFERROR(IF(OR(Q585="",Q585=0),"",IF(VLOOKUP(VALUE($A585),WEEKLY_DATA!$A:$H,6,0)=0,"No Sales",Q585/(VLOOKUP(VALUE($A585),WEEKLY_DATA!$A:$H,6,0)/13))),"")</f>
        <v/>
      </c>
      <c r="X585" s="10">
        <f>IFERROR(VLOOKUP(VALUE(A585),WEEKLY_DATA!$A:$H,8,0),0)</f>
        <v>0</v>
      </c>
      <c r="Y585" s="13" t="str">
        <f t="shared" si="18"/>
        <v>—</v>
      </c>
      <c r="Z585" s="11"/>
      <c r="AA585" s="11"/>
      <c r="AB585" s="11"/>
      <c r="AC585" s="11"/>
      <c r="AD585" s="11"/>
      <c r="AE585" s="11"/>
      <c r="AF585" s="61"/>
      <c r="AG585" s="61"/>
      <c r="AH585" s="62"/>
      <c r="AI585" s="62"/>
      <c r="AJ585" s="61"/>
      <c r="AK585" s="61"/>
      <c r="AL585" s="61"/>
      <c r="AM585" s="58"/>
      <c r="AN585" s="58"/>
      <c r="AO585" s="58"/>
      <c r="AP585" s="58"/>
      <c r="AQ585" s="58"/>
      <c r="AR585" s="58"/>
      <c r="AS585" s="91"/>
      <c r="AT585" s="93"/>
      <c r="AU585" s="93"/>
      <c r="AV585" s="93"/>
      <c r="AW585" s="93"/>
    </row>
    <row r="586" spans="1:49" x14ac:dyDescent="0.25">
      <c r="A586" s="59"/>
      <c r="B586" s="12"/>
      <c r="C586" s="12"/>
      <c r="D586" s="60"/>
      <c r="E586" s="6"/>
      <c r="F586" s="6"/>
      <c r="G586" s="12"/>
      <c r="H586" s="12"/>
      <c r="I586" s="12" t="str" cm="2">
        <f t="array" ref="I586">IFERROR(INDEX(BrandList!$B$2:$B$200,MATCH(TRUE,ISNUMBER(SEARCH(BrandList!$B$2:$B$200,G586)),0)),"")</f>
        <v/>
      </c>
      <c r="J586" s="12"/>
      <c r="K586" s="12"/>
      <c r="L586" s="60"/>
      <c r="M586" s="60"/>
      <c r="N586" s="60"/>
      <c r="O586" s="60"/>
      <c r="P586" s="7" t="str">
        <f t="shared" si="19"/>
        <v/>
      </c>
      <c r="Q586" s="8">
        <f>IFERROR(VLOOKUP(VALUE(A586),WEEKLY_DATA!$A:$H,2,0),0)</f>
        <v>0</v>
      </c>
      <c r="R586" s="8">
        <f>IFERROR(VLOOKUP(VALUE(A586),WEEKLY_DATA!$A:$H,3,0),0)</f>
        <v>0</v>
      </c>
      <c r="S586" s="8">
        <f>IFERROR(VLOOKUP(VALUE(A586),WEEKLY_DATA!$A:$H,4,0),0)</f>
        <v>0</v>
      </c>
      <c r="T586" s="51">
        <f>IFERROR(VLOOKUP(VALUE(A586),WEEKLY_DATA!$A:$H,5,0),0)</f>
        <v>0</v>
      </c>
      <c r="U586" s="51">
        <f>IFERROR(VLOOKUP(VALUE(A586),WEEKLY_DATA!$A:$H,6,0),0)</f>
        <v>0</v>
      </c>
      <c r="V586" s="51">
        <f>IFERROR(VLOOKUP(VALUE(A586),WEEKLY_DATA!$A:$H,7,0),0)</f>
        <v>0</v>
      </c>
      <c r="W586" s="9" t="str">
        <f>IFERROR(IF(OR(Q586="",Q586=0),"",IF(VLOOKUP(VALUE($A586),WEEKLY_DATA!$A:$H,6,0)=0,"No Sales",Q586/(VLOOKUP(VALUE($A586),WEEKLY_DATA!$A:$H,6,0)/13))),"")</f>
        <v/>
      </c>
      <c r="X586" s="10">
        <f>IFERROR(VLOOKUP(VALUE(A586),WEEKLY_DATA!$A:$H,8,0),0)</f>
        <v>0</v>
      </c>
      <c r="Y586" s="13" t="str">
        <f t="shared" si="18"/>
        <v>—</v>
      </c>
      <c r="Z586" s="11"/>
      <c r="AA586" s="11"/>
      <c r="AB586" s="11"/>
      <c r="AC586" s="11"/>
      <c r="AD586" s="11"/>
      <c r="AE586" s="11"/>
      <c r="AF586" s="61"/>
      <c r="AG586" s="61"/>
      <c r="AH586" s="62"/>
      <c r="AI586" s="62"/>
      <c r="AJ586" s="61"/>
      <c r="AK586" s="61"/>
      <c r="AL586" s="61"/>
      <c r="AM586" s="58"/>
      <c r="AN586" s="58"/>
      <c r="AO586" s="58"/>
      <c r="AP586" s="58"/>
      <c r="AQ586" s="58"/>
      <c r="AR586" s="58"/>
      <c r="AS586" s="91"/>
      <c r="AT586" s="93"/>
      <c r="AU586" s="93"/>
      <c r="AV586" s="93"/>
      <c r="AW586" s="93"/>
    </row>
    <row r="587" spans="1:49" x14ac:dyDescent="0.25">
      <c r="A587" s="59"/>
      <c r="B587" s="12"/>
      <c r="C587" s="12"/>
      <c r="D587" s="60"/>
      <c r="E587" s="6"/>
      <c r="F587" s="6"/>
      <c r="G587" s="12"/>
      <c r="H587" s="12"/>
      <c r="I587" s="12" t="str" cm="2">
        <f t="array" ref="I587">IFERROR(INDEX(BrandList!$B$2:$B$200,MATCH(TRUE,ISNUMBER(SEARCH(BrandList!$B$2:$B$200,G587)),0)),"")</f>
        <v/>
      </c>
      <c r="J587" s="12"/>
      <c r="K587" s="12"/>
      <c r="L587" s="60"/>
      <c r="M587" s="60"/>
      <c r="N587" s="60"/>
      <c r="O587" s="60"/>
      <c r="P587" s="7" t="str">
        <f t="shared" si="19"/>
        <v/>
      </c>
      <c r="Q587" s="8">
        <f>IFERROR(VLOOKUP(VALUE(A587),WEEKLY_DATA!$A:$H,2,0),0)</f>
        <v>0</v>
      </c>
      <c r="R587" s="8">
        <f>IFERROR(VLOOKUP(VALUE(A587),WEEKLY_DATA!$A:$H,3,0),0)</f>
        <v>0</v>
      </c>
      <c r="S587" s="8">
        <f>IFERROR(VLOOKUP(VALUE(A587),WEEKLY_DATA!$A:$H,4,0),0)</f>
        <v>0</v>
      </c>
      <c r="T587" s="51">
        <f>IFERROR(VLOOKUP(VALUE(A587),WEEKLY_DATA!$A:$H,5,0),0)</f>
        <v>0</v>
      </c>
      <c r="U587" s="51">
        <f>IFERROR(VLOOKUP(VALUE(A587),WEEKLY_DATA!$A:$H,6,0),0)</f>
        <v>0</v>
      </c>
      <c r="V587" s="51">
        <f>IFERROR(VLOOKUP(VALUE(A587),WEEKLY_DATA!$A:$H,7,0),0)</f>
        <v>0</v>
      </c>
      <c r="W587" s="9" t="str">
        <f>IFERROR(IF(OR(Q587="",Q587=0),"",IF(VLOOKUP(VALUE($A587),WEEKLY_DATA!$A:$H,6,0)=0,"No Sales",Q587/(VLOOKUP(VALUE($A587),WEEKLY_DATA!$A:$H,6,0)/13))),"")</f>
        <v/>
      </c>
      <c r="X587" s="10">
        <f>IFERROR(VLOOKUP(VALUE(A587),WEEKLY_DATA!$A:$H,8,0),0)</f>
        <v>0</v>
      </c>
      <c r="Y587" s="13" t="str">
        <f t="shared" si="18"/>
        <v>—</v>
      </c>
      <c r="Z587" s="11"/>
      <c r="AA587" s="11"/>
      <c r="AB587" s="11"/>
      <c r="AC587" s="11"/>
      <c r="AD587" s="11"/>
      <c r="AE587" s="11"/>
      <c r="AF587" s="61"/>
      <c r="AG587" s="61"/>
      <c r="AH587" s="62"/>
      <c r="AI587" s="62"/>
      <c r="AJ587" s="61"/>
      <c r="AK587" s="61"/>
      <c r="AL587" s="61"/>
      <c r="AM587" s="58"/>
      <c r="AN587" s="58"/>
      <c r="AO587" s="58"/>
      <c r="AP587" s="58"/>
      <c r="AQ587" s="58"/>
      <c r="AR587" s="58"/>
      <c r="AS587" s="91"/>
      <c r="AT587" s="93"/>
      <c r="AU587" s="93"/>
      <c r="AV587" s="93"/>
      <c r="AW587" s="93"/>
    </row>
    <row r="588" spans="1:49" x14ac:dyDescent="0.25">
      <c r="A588" s="59"/>
      <c r="B588" s="12"/>
      <c r="C588" s="12"/>
      <c r="D588" s="60"/>
      <c r="E588" s="6"/>
      <c r="F588" s="6"/>
      <c r="G588" s="12"/>
      <c r="H588" s="12"/>
      <c r="I588" s="12" t="str" cm="2">
        <f t="array" ref="I588">IFERROR(INDEX(BrandList!$B$2:$B$200,MATCH(TRUE,ISNUMBER(SEARCH(BrandList!$B$2:$B$200,G588)),0)),"")</f>
        <v/>
      </c>
      <c r="J588" s="12"/>
      <c r="K588" s="12"/>
      <c r="L588" s="60"/>
      <c r="M588" s="60"/>
      <c r="N588" s="60"/>
      <c r="O588" s="60"/>
      <c r="P588" s="7" t="str">
        <f t="shared" si="19"/>
        <v/>
      </c>
      <c r="Q588" s="8">
        <f>IFERROR(VLOOKUP(VALUE(A588),WEEKLY_DATA!$A:$H,2,0),0)</f>
        <v>0</v>
      </c>
      <c r="R588" s="8">
        <f>IFERROR(VLOOKUP(VALUE(A588),WEEKLY_DATA!$A:$H,3,0),0)</f>
        <v>0</v>
      </c>
      <c r="S588" s="8">
        <f>IFERROR(VLOOKUP(VALUE(A588),WEEKLY_DATA!$A:$H,4,0),0)</f>
        <v>0</v>
      </c>
      <c r="T588" s="51">
        <f>IFERROR(VLOOKUP(VALUE(A588),WEEKLY_DATA!$A:$H,5,0),0)</f>
        <v>0</v>
      </c>
      <c r="U588" s="51">
        <f>IFERROR(VLOOKUP(VALUE(A588),WEEKLY_DATA!$A:$H,6,0),0)</f>
        <v>0</v>
      </c>
      <c r="V588" s="51">
        <f>IFERROR(VLOOKUP(VALUE(A588),WEEKLY_DATA!$A:$H,7,0),0)</f>
        <v>0</v>
      </c>
      <c r="W588" s="9" t="str">
        <f>IFERROR(IF(OR(Q588="",Q588=0),"",IF(VLOOKUP(VALUE($A588),WEEKLY_DATA!$A:$H,6,0)=0,"No Sales",Q588/(VLOOKUP(VALUE($A588),WEEKLY_DATA!$A:$H,6,0)/13))),"")</f>
        <v/>
      </c>
      <c r="X588" s="10">
        <f>IFERROR(VLOOKUP(VALUE(A588),WEEKLY_DATA!$A:$H,8,0),0)</f>
        <v>0</v>
      </c>
      <c r="Y588" s="13" t="str">
        <f t="shared" si="18"/>
        <v>—</v>
      </c>
      <c r="Z588" s="11"/>
      <c r="AA588" s="11"/>
      <c r="AB588" s="11"/>
      <c r="AC588" s="11"/>
      <c r="AD588" s="11"/>
      <c r="AE588" s="11"/>
      <c r="AF588" s="61"/>
      <c r="AG588" s="61"/>
      <c r="AH588" s="62"/>
      <c r="AI588" s="62"/>
      <c r="AJ588" s="61"/>
      <c r="AK588" s="61"/>
      <c r="AL588" s="61"/>
      <c r="AM588" s="58"/>
      <c r="AN588" s="58"/>
      <c r="AO588" s="58"/>
      <c r="AP588" s="58"/>
      <c r="AQ588" s="58"/>
      <c r="AR588" s="58"/>
      <c r="AS588" s="91"/>
      <c r="AT588" s="93"/>
      <c r="AU588" s="93"/>
      <c r="AV588" s="93"/>
      <c r="AW588" s="93"/>
    </row>
    <row r="589" spans="1:49" x14ac:dyDescent="0.25">
      <c r="A589" s="59"/>
      <c r="B589" s="12"/>
      <c r="C589" s="12"/>
      <c r="D589" s="60"/>
      <c r="E589" s="6"/>
      <c r="F589" s="6"/>
      <c r="G589" s="12"/>
      <c r="H589" s="12"/>
      <c r="I589" s="12" t="str" cm="2">
        <f t="array" ref="I589">IFERROR(INDEX(BrandList!$B$2:$B$200,MATCH(TRUE,ISNUMBER(SEARCH(BrandList!$B$2:$B$200,G589)),0)),"")</f>
        <v/>
      </c>
      <c r="J589" s="12"/>
      <c r="K589" s="12"/>
      <c r="L589" s="60"/>
      <c r="M589" s="60"/>
      <c r="N589" s="60"/>
      <c r="O589" s="60"/>
      <c r="P589" s="7" t="str">
        <f t="shared" si="19"/>
        <v/>
      </c>
      <c r="Q589" s="8">
        <f>IFERROR(VLOOKUP(VALUE(A589),WEEKLY_DATA!$A:$H,2,0),0)</f>
        <v>0</v>
      </c>
      <c r="R589" s="8">
        <f>IFERROR(VLOOKUP(VALUE(A589),WEEKLY_DATA!$A:$H,3,0),0)</f>
        <v>0</v>
      </c>
      <c r="S589" s="8">
        <f>IFERROR(VLOOKUP(VALUE(A589),WEEKLY_DATA!$A:$H,4,0),0)</f>
        <v>0</v>
      </c>
      <c r="T589" s="51">
        <f>IFERROR(VLOOKUP(VALUE(A589),WEEKLY_DATA!$A:$H,5,0),0)</f>
        <v>0</v>
      </c>
      <c r="U589" s="51">
        <f>IFERROR(VLOOKUP(VALUE(A589),WEEKLY_DATA!$A:$H,6,0),0)</f>
        <v>0</v>
      </c>
      <c r="V589" s="51">
        <f>IFERROR(VLOOKUP(VALUE(A589),WEEKLY_DATA!$A:$H,7,0),0)</f>
        <v>0</v>
      </c>
      <c r="W589" s="9" t="str">
        <f>IFERROR(IF(OR(Q589="",Q589=0),"",IF(VLOOKUP(VALUE($A589),WEEKLY_DATA!$A:$H,6,0)=0,"No Sales",Q589/(VLOOKUP(VALUE($A589),WEEKLY_DATA!$A:$H,6,0)/13))),"")</f>
        <v/>
      </c>
      <c r="X589" s="10">
        <f>IFERROR(VLOOKUP(VALUE(A589),WEEKLY_DATA!$A:$H,8,0),0)</f>
        <v>0</v>
      </c>
      <c r="Y589" s="13" t="str">
        <f t="shared" si="18"/>
        <v>—</v>
      </c>
      <c r="Z589" s="11"/>
      <c r="AA589" s="11"/>
      <c r="AB589" s="11"/>
      <c r="AC589" s="11"/>
      <c r="AD589" s="11"/>
      <c r="AE589" s="11"/>
      <c r="AF589" s="61"/>
      <c r="AG589" s="61"/>
      <c r="AH589" s="62"/>
      <c r="AI589" s="62"/>
      <c r="AJ589" s="61"/>
      <c r="AK589" s="61"/>
      <c r="AL589" s="61"/>
      <c r="AM589" s="58"/>
      <c r="AN589" s="58"/>
      <c r="AO589" s="58"/>
      <c r="AP589" s="58"/>
      <c r="AQ589" s="58"/>
      <c r="AR589" s="58"/>
      <c r="AS589" s="91"/>
      <c r="AT589" s="93"/>
      <c r="AU589" s="93"/>
      <c r="AV589" s="93"/>
      <c r="AW589" s="93"/>
    </row>
    <row r="590" spans="1:49" x14ac:dyDescent="0.25">
      <c r="A590" s="59"/>
      <c r="B590" s="12"/>
      <c r="C590" s="12"/>
      <c r="D590" s="60"/>
      <c r="E590" s="6"/>
      <c r="F590" s="6"/>
      <c r="G590" s="12"/>
      <c r="H590" s="12"/>
      <c r="I590" s="12" t="str" cm="2">
        <f t="array" ref="I590">IFERROR(INDEX(BrandList!$B$2:$B$200,MATCH(TRUE,ISNUMBER(SEARCH(BrandList!$B$2:$B$200,G590)),0)),"")</f>
        <v/>
      </c>
      <c r="J590" s="12"/>
      <c r="K590" s="12"/>
      <c r="L590" s="60"/>
      <c r="M590" s="60"/>
      <c r="N590" s="60"/>
      <c r="O590" s="60"/>
      <c r="P590" s="7" t="str">
        <f t="shared" si="19"/>
        <v/>
      </c>
      <c r="Q590" s="8">
        <f>IFERROR(VLOOKUP(VALUE(A590),WEEKLY_DATA!$A:$H,2,0),0)</f>
        <v>0</v>
      </c>
      <c r="R590" s="8">
        <f>IFERROR(VLOOKUP(VALUE(A590),WEEKLY_DATA!$A:$H,3,0),0)</f>
        <v>0</v>
      </c>
      <c r="S590" s="8">
        <f>IFERROR(VLOOKUP(VALUE(A590),WEEKLY_DATA!$A:$H,4,0),0)</f>
        <v>0</v>
      </c>
      <c r="T590" s="51">
        <f>IFERROR(VLOOKUP(VALUE(A590),WEEKLY_DATA!$A:$H,5,0),0)</f>
        <v>0</v>
      </c>
      <c r="U590" s="51">
        <f>IFERROR(VLOOKUP(VALUE(A590),WEEKLY_DATA!$A:$H,6,0),0)</f>
        <v>0</v>
      </c>
      <c r="V590" s="51">
        <f>IFERROR(VLOOKUP(VALUE(A590),WEEKLY_DATA!$A:$H,7,0),0)</f>
        <v>0</v>
      </c>
      <c r="W590" s="9" t="str">
        <f>IFERROR(IF(OR(Q590="",Q590=0),"",IF(VLOOKUP(VALUE($A590),WEEKLY_DATA!$A:$H,6,0)=0,"No Sales",Q590/(VLOOKUP(VALUE($A590),WEEKLY_DATA!$A:$H,6,0)/13))),"")</f>
        <v/>
      </c>
      <c r="X590" s="10">
        <f>IFERROR(VLOOKUP(VALUE(A590),WEEKLY_DATA!$A:$H,8,0),0)</f>
        <v>0</v>
      </c>
      <c r="Y590" s="13" t="str">
        <f t="shared" si="18"/>
        <v>—</v>
      </c>
      <c r="Z590" s="11"/>
      <c r="AA590" s="11"/>
      <c r="AB590" s="11"/>
      <c r="AC590" s="11"/>
      <c r="AD590" s="11"/>
      <c r="AE590" s="11"/>
      <c r="AF590" s="61"/>
      <c r="AG590" s="61"/>
      <c r="AH590" s="62"/>
      <c r="AI590" s="62"/>
      <c r="AJ590" s="61"/>
      <c r="AK590" s="61"/>
      <c r="AL590" s="61"/>
      <c r="AM590" s="58"/>
      <c r="AN590" s="58"/>
      <c r="AO590" s="58"/>
      <c r="AP590" s="58"/>
      <c r="AQ590" s="58"/>
      <c r="AR590" s="58"/>
      <c r="AS590" s="91"/>
      <c r="AT590" s="93"/>
      <c r="AU590" s="93"/>
      <c r="AV590" s="93"/>
      <c r="AW590" s="93"/>
    </row>
    <row r="591" spans="1:49" x14ac:dyDescent="0.25">
      <c r="A591" s="59"/>
      <c r="B591" s="12"/>
      <c r="C591" s="12"/>
      <c r="D591" s="60"/>
      <c r="E591" s="6"/>
      <c r="F591" s="6"/>
      <c r="G591" s="12"/>
      <c r="H591" s="12"/>
      <c r="I591" s="12" t="str" cm="2">
        <f t="array" ref="I591">IFERROR(INDEX(BrandList!$B$2:$B$200,MATCH(TRUE,ISNUMBER(SEARCH(BrandList!$B$2:$B$200,G591)),0)),"")</f>
        <v/>
      </c>
      <c r="J591" s="12"/>
      <c r="K591" s="12"/>
      <c r="L591" s="60"/>
      <c r="M591" s="60"/>
      <c r="N591" s="60"/>
      <c r="O591" s="60"/>
      <c r="P591" s="7" t="str">
        <f t="shared" si="19"/>
        <v/>
      </c>
      <c r="Q591" s="8">
        <f>IFERROR(VLOOKUP(VALUE(A591),WEEKLY_DATA!$A:$H,2,0),0)</f>
        <v>0</v>
      </c>
      <c r="R591" s="8">
        <f>IFERROR(VLOOKUP(VALUE(A591),WEEKLY_DATA!$A:$H,3,0),0)</f>
        <v>0</v>
      </c>
      <c r="S591" s="8">
        <f>IFERROR(VLOOKUP(VALUE(A591),WEEKLY_DATA!$A:$H,4,0),0)</f>
        <v>0</v>
      </c>
      <c r="T591" s="51">
        <f>IFERROR(VLOOKUP(VALUE(A591),WEEKLY_DATA!$A:$H,5,0),0)</f>
        <v>0</v>
      </c>
      <c r="U591" s="51">
        <f>IFERROR(VLOOKUP(VALUE(A591),WEEKLY_DATA!$A:$H,6,0),0)</f>
        <v>0</v>
      </c>
      <c r="V591" s="51">
        <f>IFERROR(VLOOKUP(VALUE(A591),WEEKLY_DATA!$A:$H,7,0),0)</f>
        <v>0</v>
      </c>
      <c r="W591" s="9" t="str">
        <f>IFERROR(IF(OR(Q591="",Q591=0),"",IF(VLOOKUP(VALUE($A591),WEEKLY_DATA!$A:$H,6,0)=0,"No Sales",Q591/(VLOOKUP(VALUE($A591),WEEKLY_DATA!$A:$H,6,0)/13))),"")</f>
        <v/>
      </c>
      <c r="X591" s="10">
        <f>IFERROR(VLOOKUP(VALUE(A591),WEEKLY_DATA!$A:$H,8,0),0)</f>
        <v>0</v>
      </c>
      <c r="Y591" s="13" t="str">
        <f t="shared" si="18"/>
        <v>—</v>
      </c>
      <c r="Z591" s="11"/>
      <c r="AA591" s="11"/>
      <c r="AB591" s="11"/>
      <c r="AC591" s="11"/>
      <c r="AD591" s="11"/>
      <c r="AE591" s="11"/>
      <c r="AF591" s="61"/>
      <c r="AG591" s="61"/>
      <c r="AH591" s="62"/>
      <c r="AI591" s="62"/>
      <c r="AJ591" s="61"/>
      <c r="AK591" s="61"/>
      <c r="AL591" s="61"/>
      <c r="AM591" s="58"/>
      <c r="AN591" s="58"/>
      <c r="AO591" s="58"/>
      <c r="AP591" s="58"/>
      <c r="AQ591" s="58"/>
      <c r="AR591" s="58"/>
      <c r="AS591" s="91"/>
      <c r="AT591" s="93"/>
      <c r="AU591" s="93"/>
      <c r="AV591" s="93"/>
      <c r="AW591" s="93"/>
    </row>
    <row r="592" spans="1:49" x14ac:dyDescent="0.25">
      <c r="A592" s="59"/>
      <c r="B592" s="12"/>
      <c r="C592" s="12"/>
      <c r="D592" s="60"/>
      <c r="E592" s="6"/>
      <c r="F592" s="6"/>
      <c r="G592" s="12"/>
      <c r="H592" s="12"/>
      <c r="I592" s="12" t="str" cm="2">
        <f t="array" ref="I592">IFERROR(INDEX(BrandList!$B$2:$B$200,MATCH(TRUE,ISNUMBER(SEARCH(BrandList!$B$2:$B$200,G592)),0)),"")</f>
        <v/>
      </c>
      <c r="J592" s="12"/>
      <c r="K592" s="12"/>
      <c r="L592" s="60"/>
      <c r="M592" s="60"/>
      <c r="N592" s="60"/>
      <c r="O592" s="60"/>
      <c r="P592" s="7" t="str">
        <f t="shared" si="19"/>
        <v/>
      </c>
      <c r="Q592" s="8">
        <f>IFERROR(VLOOKUP(VALUE(A592),WEEKLY_DATA!$A:$H,2,0),0)</f>
        <v>0</v>
      </c>
      <c r="R592" s="8">
        <f>IFERROR(VLOOKUP(VALUE(A592),WEEKLY_DATA!$A:$H,3,0),0)</f>
        <v>0</v>
      </c>
      <c r="S592" s="8">
        <f>IFERROR(VLOOKUP(VALUE(A592),WEEKLY_DATA!$A:$H,4,0),0)</f>
        <v>0</v>
      </c>
      <c r="T592" s="51">
        <f>IFERROR(VLOOKUP(VALUE(A592),WEEKLY_DATA!$A:$H,5,0),0)</f>
        <v>0</v>
      </c>
      <c r="U592" s="51">
        <f>IFERROR(VLOOKUP(VALUE(A592),WEEKLY_DATA!$A:$H,6,0),0)</f>
        <v>0</v>
      </c>
      <c r="V592" s="51">
        <f>IFERROR(VLOOKUP(VALUE(A592),WEEKLY_DATA!$A:$H,7,0),0)</f>
        <v>0</v>
      </c>
      <c r="W592" s="9" t="str">
        <f>IFERROR(IF(OR(Q592="",Q592=0),"",IF(VLOOKUP(VALUE($A592),WEEKLY_DATA!$A:$H,6,0)=0,"No Sales",Q592/(VLOOKUP(VALUE($A592),WEEKLY_DATA!$A:$H,6,0)/13))),"")</f>
        <v/>
      </c>
      <c r="X592" s="10">
        <f>IFERROR(VLOOKUP(VALUE(A592),WEEKLY_DATA!$A:$H,8,0),0)</f>
        <v>0</v>
      </c>
      <c r="Y592" s="13" t="str">
        <f t="shared" si="18"/>
        <v>—</v>
      </c>
      <c r="Z592" s="11"/>
      <c r="AA592" s="11"/>
      <c r="AB592" s="11"/>
      <c r="AC592" s="11"/>
      <c r="AD592" s="11"/>
      <c r="AE592" s="11"/>
      <c r="AF592" s="61"/>
      <c r="AG592" s="61"/>
      <c r="AH592" s="62"/>
      <c r="AI592" s="62"/>
      <c r="AJ592" s="61"/>
      <c r="AK592" s="61"/>
      <c r="AL592" s="61"/>
      <c r="AM592" s="58"/>
      <c r="AN592" s="58"/>
      <c r="AO592" s="58"/>
      <c r="AP592" s="58"/>
      <c r="AQ592" s="58"/>
      <c r="AR592" s="58"/>
      <c r="AS592" s="91"/>
      <c r="AT592" s="93"/>
      <c r="AU592" s="93"/>
      <c r="AV592" s="93"/>
      <c r="AW592" s="93"/>
    </row>
    <row r="593" spans="1:49" x14ac:dyDescent="0.25">
      <c r="A593" s="59"/>
      <c r="B593" s="12"/>
      <c r="C593" s="12"/>
      <c r="D593" s="60"/>
      <c r="E593" s="6"/>
      <c r="F593" s="6"/>
      <c r="G593" s="12"/>
      <c r="H593" s="12"/>
      <c r="I593" s="12" t="str" cm="2">
        <f t="array" ref="I593">IFERROR(INDEX(BrandList!$B$2:$B$200,MATCH(TRUE,ISNUMBER(SEARCH(BrandList!$B$2:$B$200,G593)),0)),"")</f>
        <v/>
      </c>
      <c r="J593" s="12"/>
      <c r="K593" s="12"/>
      <c r="L593" s="60"/>
      <c r="M593" s="60"/>
      <c r="N593" s="60"/>
      <c r="O593" s="60"/>
      <c r="P593" s="7" t="str">
        <f t="shared" si="19"/>
        <v/>
      </c>
      <c r="Q593" s="8">
        <f>IFERROR(VLOOKUP(VALUE(A593),WEEKLY_DATA!$A:$H,2,0),0)</f>
        <v>0</v>
      </c>
      <c r="R593" s="8">
        <f>IFERROR(VLOOKUP(VALUE(A593),WEEKLY_DATA!$A:$H,3,0),0)</f>
        <v>0</v>
      </c>
      <c r="S593" s="8">
        <f>IFERROR(VLOOKUP(VALUE(A593),WEEKLY_DATA!$A:$H,4,0),0)</f>
        <v>0</v>
      </c>
      <c r="T593" s="51">
        <f>IFERROR(VLOOKUP(VALUE(A593),WEEKLY_DATA!$A:$H,5,0),0)</f>
        <v>0</v>
      </c>
      <c r="U593" s="51">
        <f>IFERROR(VLOOKUP(VALUE(A593),WEEKLY_DATA!$A:$H,6,0),0)</f>
        <v>0</v>
      </c>
      <c r="V593" s="51">
        <f>IFERROR(VLOOKUP(VALUE(A593),WEEKLY_DATA!$A:$H,7,0),0)</f>
        <v>0</v>
      </c>
      <c r="W593" s="9" t="str">
        <f>IFERROR(IF(OR(Q593="",Q593=0),"",IF(VLOOKUP(VALUE($A593),WEEKLY_DATA!$A:$H,6,0)=0,"No Sales",Q593/(VLOOKUP(VALUE($A593),WEEKLY_DATA!$A:$H,6,0)/13))),"")</f>
        <v/>
      </c>
      <c r="X593" s="10">
        <f>IFERROR(VLOOKUP(VALUE(A593),WEEKLY_DATA!$A:$H,8,0),0)</f>
        <v>0</v>
      </c>
      <c r="Y593" s="13" t="str">
        <f t="shared" si="18"/>
        <v>—</v>
      </c>
      <c r="Z593" s="11"/>
      <c r="AA593" s="11"/>
      <c r="AB593" s="11"/>
      <c r="AC593" s="11"/>
      <c r="AD593" s="11"/>
      <c r="AE593" s="11"/>
      <c r="AF593" s="61"/>
      <c r="AG593" s="61"/>
      <c r="AH593" s="62"/>
      <c r="AI593" s="62"/>
      <c r="AJ593" s="61"/>
      <c r="AK593" s="61"/>
      <c r="AL593" s="61"/>
      <c r="AM593" s="58"/>
      <c r="AN593" s="58"/>
      <c r="AO593" s="58"/>
      <c r="AP593" s="58"/>
      <c r="AQ593" s="58"/>
      <c r="AR593" s="58"/>
      <c r="AS593" s="91"/>
      <c r="AT593" s="93"/>
      <c r="AU593" s="93"/>
      <c r="AV593" s="93"/>
      <c r="AW593" s="93"/>
    </row>
    <row r="594" spans="1:49" x14ac:dyDescent="0.25">
      <c r="A594" s="59"/>
      <c r="B594" s="12"/>
      <c r="C594" s="12"/>
      <c r="D594" s="60"/>
      <c r="E594" s="6"/>
      <c r="F594" s="6"/>
      <c r="G594" s="12"/>
      <c r="H594" s="12"/>
      <c r="I594" s="12" t="str" cm="2">
        <f t="array" ref="I594">IFERROR(INDEX(BrandList!$B$2:$B$200,MATCH(TRUE,ISNUMBER(SEARCH(BrandList!$B$2:$B$200,G594)),0)),"")</f>
        <v/>
      </c>
      <c r="J594" s="12"/>
      <c r="K594" s="12"/>
      <c r="L594" s="60"/>
      <c r="M594" s="60"/>
      <c r="N594" s="60"/>
      <c r="O594" s="60"/>
      <c r="P594" s="7" t="str">
        <f t="shared" si="19"/>
        <v/>
      </c>
      <c r="Q594" s="8">
        <f>IFERROR(VLOOKUP(VALUE(A594),WEEKLY_DATA!$A:$H,2,0),0)</f>
        <v>0</v>
      </c>
      <c r="R594" s="8">
        <f>IFERROR(VLOOKUP(VALUE(A594),WEEKLY_DATA!$A:$H,3,0),0)</f>
        <v>0</v>
      </c>
      <c r="S594" s="8">
        <f>IFERROR(VLOOKUP(VALUE(A594),WEEKLY_DATA!$A:$H,4,0),0)</f>
        <v>0</v>
      </c>
      <c r="T594" s="51">
        <f>IFERROR(VLOOKUP(VALUE(A594),WEEKLY_DATA!$A:$H,5,0),0)</f>
        <v>0</v>
      </c>
      <c r="U594" s="51">
        <f>IFERROR(VLOOKUP(VALUE(A594),WEEKLY_DATA!$A:$H,6,0),0)</f>
        <v>0</v>
      </c>
      <c r="V594" s="51">
        <f>IFERROR(VLOOKUP(VALUE(A594),WEEKLY_DATA!$A:$H,7,0),0)</f>
        <v>0</v>
      </c>
      <c r="W594" s="9" t="str">
        <f>IFERROR(IF(OR(Q594="",Q594=0),"",IF(VLOOKUP(VALUE($A594),WEEKLY_DATA!$A:$H,6,0)=0,"No Sales",Q594/(VLOOKUP(VALUE($A594),WEEKLY_DATA!$A:$H,6,0)/13))),"")</f>
        <v/>
      </c>
      <c r="X594" s="10">
        <f>IFERROR(VLOOKUP(VALUE(A594),WEEKLY_DATA!$A:$H,8,0),0)</f>
        <v>0</v>
      </c>
      <c r="Y594" s="13" t="str">
        <f t="shared" si="18"/>
        <v>—</v>
      </c>
      <c r="Z594" s="11"/>
      <c r="AA594" s="11"/>
      <c r="AB594" s="11"/>
      <c r="AC594" s="11"/>
      <c r="AD594" s="11"/>
      <c r="AE594" s="11"/>
      <c r="AF594" s="61"/>
      <c r="AG594" s="61"/>
      <c r="AH594" s="62"/>
      <c r="AI594" s="62"/>
      <c r="AJ594" s="61"/>
      <c r="AK594" s="61"/>
      <c r="AL594" s="61"/>
      <c r="AM594" s="58"/>
      <c r="AN594" s="58"/>
      <c r="AO594" s="58"/>
      <c r="AP594" s="58"/>
      <c r="AQ594" s="58"/>
      <c r="AR594" s="58"/>
      <c r="AS594" s="91"/>
      <c r="AT594" s="93"/>
      <c r="AU594" s="93"/>
      <c r="AV594" s="93"/>
      <c r="AW594" s="93"/>
    </row>
    <row r="595" spans="1:49" x14ac:dyDescent="0.25">
      <c r="A595" s="59"/>
      <c r="B595" s="12"/>
      <c r="C595" s="12"/>
      <c r="D595" s="60"/>
      <c r="E595" s="6"/>
      <c r="F595" s="6"/>
      <c r="G595" s="12"/>
      <c r="H595" s="12"/>
      <c r="I595" s="12" t="str" cm="2">
        <f t="array" ref="I595">IFERROR(INDEX(BrandList!$B$2:$B$200,MATCH(TRUE,ISNUMBER(SEARCH(BrandList!$B$2:$B$200,G595)),0)),"")</f>
        <v/>
      </c>
      <c r="J595" s="12"/>
      <c r="K595" s="12"/>
      <c r="L595" s="60"/>
      <c r="M595" s="60"/>
      <c r="N595" s="60"/>
      <c r="O595" s="60"/>
      <c r="P595" s="7" t="str">
        <f t="shared" si="19"/>
        <v/>
      </c>
      <c r="Q595" s="8">
        <f>IFERROR(VLOOKUP(VALUE(A595),WEEKLY_DATA!$A:$H,2,0),0)</f>
        <v>0</v>
      </c>
      <c r="R595" s="8">
        <f>IFERROR(VLOOKUP(VALUE(A595),WEEKLY_DATA!$A:$H,3,0),0)</f>
        <v>0</v>
      </c>
      <c r="S595" s="8">
        <f>IFERROR(VLOOKUP(VALUE(A595),WEEKLY_DATA!$A:$H,4,0),0)</f>
        <v>0</v>
      </c>
      <c r="T595" s="51">
        <f>IFERROR(VLOOKUP(VALUE(A595),WEEKLY_DATA!$A:$H,5,0),0)</f>
        <v>0</v>
      </c>
      <c r="U595" s="51">
        <f>IFERROR(VLOOKUP(VALUE(A595),WEEKLY_DATA!$A:$H,6,0),0)</f>
        <v>0</v>
      </c>
      <c r="V595" s="51">
        <f>IFERROR(VLOOKUP(VALUE(A595),WEEKLY_DATA!$A:$H,7,0),0)</f>
        <v>0</v>
      </c>
      <c r="W595" s="9" t="str">
        <f>IFERROR(IF(OR(Q595="",Q595=0),"",IF(VLOOKUP(VALUE($A595),WEEKLY_DATA!$A:$H,6,0)=0,"No Sales",Q595/(VLOOKUP(VALUE($A595),WEEKLY_DATA!$A:$H,6,0)/13))),"")</f>
        <v/>
      </c>
      <c r="X595" s="10">
        <f>IFERROR(VLOOKUP(VALUE(A595),WEEKLY_DATA!$A:$H,8,0),0)</f>
        <v>0</v>
      </c>
      <c r="Y595" s="13" t="str">
        <f t="shared" si="18"/>
        <v>—</v>
      </c>
      <c r="Z595" s="11"/>
      <c r="AA595" s="11"/>
      <c r="AB595" s="11"/>
      <c r="AC595" s="11"/>
      <c r="AD595" s="11"/>
      <c r="AE595" s="11"/>
      <c r="AF595" s="61"/>
      <c r="AG595" s="61"/>
      <c r="AH595" s="62"/>
      <c r="AI595" s="62"/>
      <c r="AJ595" s="61"/>
      <c r="AK595" s="61"/>
      <c r="AL595" s="61"/>
      <c r="AM595" s="58"/>
      <c r="AN595" s="58"/>
      <c r="AO595" s="58"/>
      <c r="AP595" s="58"/>
      <c r="AQ595" s="58"/>
      <c r="AR595" s="58"/>
      <c r="AS595" s="91"/>
      <c r="AT595" s="93"/>
      <c r="AU595" s="93"/>
      <c r="AV595" s="93"/>
      <c r="AW595" s="93"/>
    </row>
    <row r="596" spans="1:49" x14ac:dyDescent="0.25">
      <c r="A596" s="59"/>
      <c r="B596" s="12"/>
      <c r="C596" s="12"/>
      <c r="D596" s="60"/>
      <c r="E596" s="6"/>
      <c r="F596" s="6"/>
      <c r="G596" s="12"/>
      <c r="H596" s="12"/>
      <c r="I596" s="12" t="str" cm="2">
        <f t="array" ref="I596">IFERROR(INDEX(BrandList!$B$2:$B$200,MATCH(TRUE,ISNUMBER(SEARCH(BrandList!$B$2:$B$200,G596)),0)),"")</f>
        <v/>
      </c>
      <c r="J596" s="12"/>
      <c r="K596" s="12"/>
      <c r="L596" s="60"/>
      <c r="M596" s="60"/>
      <c r="N596" s="60"/>
      <c r="O596" s="60"/>
      <c r="P596" s="7" t="str">
        <f t="shared" si="19"/>
        <v/>
      </c>
      <c r="Q596" s="8">
        <f>IFERROR(VLOOKUP(VALUE(A596),WEEKLY_DATA!$A:$H,2,0),0)</f>
        <v>0</v>
      </c>
      <c r="R596" s="8">
        <f>IFERROR(VLOOKUP(VALUE(A596),WEEKLY_DATA!$A:$H,3,0),0)</f>
        <v>0</v>
      </c>
      <c r="S596" s="8">
        <f>IFERROR(VLOOKUP(VALUE(A596),WEEKLY_DATA!$A:$H,4,0),0)</f>
        <v>0</v>
      </c>
      <c r="T596" s="51">
        <f>IFERROR(VLOOKUP(VALUE(A596),WEEKLY_DATA!$A:$H,5,0),0)</f>
        <v>0</v>
      </c>
      <c r="U596" s="51">
        <f>IFERROR(VLOOKUP(VALUE(A596),WEEKLY_DATA!$A:$H,6,0),0)</f>
        <v>0</v>
      </c>
      <c r="V596" s="51">
        <f>IFERROR(VLOOKUP(VALUE(A596),WEEKLY_DATA!$A:$H,7,0),0)</f>
        <v>0</v>
      </c>
      <c r="W596" s="9" t="str">
        <f>IFERROR(IF(OR(Q596="",Q596=0),"",IF(VLOOKUP(VALUE($A596),WEEKLY_DATA!$A:$H,6,0)=0,"No Sales",Q596/(VLOOKUP(VALUE($A596),WEEKLY_DATA!$A:$H,6,0)/13))),"")</f>
        <v/>
      </c>
      <c r="X596" s="10">
        <f>IFERROR(VLOOKUP(VALUE(A596),WEEKLY_DATA!$A:$H,8,0),0)</f>
        <v>0</v>
      </c>
      <c r="Y596" s="13" t="str">
        <f t="shared" si="18"/>
        <v>—</v>
      </c>
      <c r="Z596" s="11"/>
      <c r="AA596" s="11"/>
      <c r="AB596" s="11"/>
      <c r="AC596" s="11"/>
      <c r="AD596" s="11"/>
      <c r="AE596" s="11"/>
      <c r="AF596" s="61"/>
      <c r="AG596" s="61"/>
      <c r="AH596" s="62"/>
      <c r="AI596" s="62"/>
      <c r="AJ596" s="61"/>
      <c r="AK596" s="61"/>
      <c r="AL596" s="61"/>
      <c r="AM596" s="58"/>
      <c r="AN596" s="58"/>
      <c r="AO596" s="58"/>
      <c r="AP596" s="58"/>
      <c r="AQ596" s="58"/>
      <c r="AR596" s="58"/>
      <c r="AS596" s="91"/>
      <c r="AT596" s="93"/>
      <c r="AU596" s="93"/>
      <c r="AV596" s="93"/>
      <c r="AW596" s="93"/>
    </row>
    <row r="597" spans="1:49" x14ac:dyDescent="0.25">
      <c r="A597" s="59"/>
      <c r="B597" s="12"/>
      <c r="C597" s="12"/>
      <c r="D597" s="60"/>
      <c r="E597" s="6"/>
      <c r="F597" s="6"/>
      <c r="G597" s="12"/>
      <c r="H597" s="12"/>
      <c r="I597" s="12" t="str" cm="2">
        <f t="array" ref="I597">IFERROR(INDEX(BrandList!$B$2:$B$200,MATCH(TRUE,ISNUMBER(SEARCH(BrandList!$B$2:$B$200,G597)),0)),"")</f>
        <v/>
      </c>
      <c r="J597" s="12"/>
      <c r="K597" s="12"/>
      <c r="L597" s="60"/>
      <c r="M597" s="60"/>
      <c r="N597" s="60"/>
      <c r="O597" s="60"/>
      <c r="P597" s="7" t="str">
        <f t="shared" si="19"/>
        <v/>
      </c>
      <c r="Q597" s="8">
        <f>IFERROR(VLOOKUP(VALUE(A597),WEEKLY_DATA!$A:$H,2,0),0)</f>
        <v>0</v>
      </c>
      <c r="R597" s="8">
        <f>IFERROR(VLOOKUP(VALUE(A597),WEEKLY_DATA!$A:$H,3,0),0)</f>
        <v>0</v>
      </c>
      <c r="S597" s="8">
        <f>IFERROR(VLOOKUP(VALUE(A597),WEEKLY_DATA!$A:$H,4,0),0)</f>
        <v>0</v>
      </c>
      <c r="T597" s="51">
        <f>IFERROR(VLOOKUP(VALUE(A597),WEEKLY_DATA!$A:$H,5,0),0)</f>
        <v>0</v>
      </c>
      <c r="U597" s="51">
        <f>IFERROR(VLOOKUP(VALUE(A597),WEEKLY_DATA!$A:$H,6,0),0)</f>
        <v>0</v>
      </c>
      <c r="V597" s="51">
        <f>IFERROR(VLOOKUP(VALUE(A597),WEEKLY_DATA!$A:$H,7,0),0)</f>
        <v>0</v>
      </c>
      <c r="W597" s="9" t="str">
        <f>IFERROR(IF(OR(Q597="",Q597=0),"",IF(VLOOKUP(VALUE($A597),WEEKLY_DATA!$A:$H,6,0)=0,"No Sales",Q597/(VLOOKUP(VALUE($A597),WEEKLY_DATA!$A:$H,6,0)/13))),"")</f>
        <v/>
      </c>
      <c r="X597" s="10">
        <f>IFERROR(VLOOKUP(VALUE(A597),WEEKLY_DATA!$A:$H,8,0),0)</f>
        <v>0</v>
      </c>
      <c r="Y597" s="13" t="str">
        <f t="shared" si="18"/>
        <v>—</v>
      </c>
      <c r="Z597" s="11"/>
      <c r="AA597" s="11"/>
      <c r="AB597" s="11"/>
      <c r="AC597" s="11"/>
      <c r="AD597" s="11"/>
      <c r="AE597" s="11"/>
      <c r="AF597" s="61"/>
      <c r="AG597" s="61"/>
      <c r="AH597" s="62"/>
      <c r="AI597" s="62"/>
      <c r="AJ597" s="61"/>
      <c r="AK597" s="61"/>
      <c r="AL597" s="61"/>
      <c r="AM597" s="58"/>
      <c r="AN597" s="58"/>
      <c r="AO597" s="58"/>
      <c r="AP597" s="58"/>
      <c r="AQ597" s="58"/>
      <c r="AR597" s="58"/>
      <c r="AS597" s="91"/>
      <c r="AT597" s="93"/>
      <c r="AU597" s="93"/>
      <c r="AV597" s="93"/>
      <c r="AW597" s="93"/>
    </row>
    <row r="598" spans="1:49" x14ac:dyDescent="0.25">
      <c r="A598" s="59"/>
      <c r="B598" s="12"/>
      <c r="C598" s="12"/>
      <c r="D598" s="60"/>
      <c r="E598" s="6"/>
      <c r="F598" s="6"/>
      <c r="G598" s="12"/>
      <c r="H598" s="12"/>
      <c r="I598" s="12" t="str" cm="2">
        <f t="array" ref="I598">IFERROR(INDEX(BrandList!$B$2:$B$200,MATCH(TRUE,ISNUMBER(SEARCH(BrandList!$B$2:$B$200,G598)),0)),"")</f>
        <v/>
      </c>
      <c r="J598" s="12"/>
      <c r="K598" s="12"/>
      <c r="L598" s="60"/>
      <c r="M598" s="60"/>
      <c r="N598" s="60"/>
      <c r="O598" s="60"/>
      <c r="P598" s="7" t="str">
        <f t="shared" si="19"/>
        <v/>
      </c>
      <c r="Q598" s="8">
        <f>IFERROR(VLOOKUP(VALUE(A598),WEEKLY_DATA!$A:$H,2,0),0)</f>
        <v>0</v>
      </c>
      <c r="R598" s="8">
        <f>IFERROR(VLOOKUP(VALUE(A598),WEEKLY_DATA!$A:$H,3,0),0)</f>
        <v>0</v>
      </c>
      <c r="S598" s="8">
        <f>IFERROR(VLOOKUP(VALUE(A598),WEEKLY_DATA!$A:$H,4,0),0)</f>
        <v>0</v>
      </c>
      <c r="T598" s="51">
        <f>IFERROR(VLOOKUP(VALUE(A598),WEEKLY_DATA!$A:$H,5,0),0)</f>
        <v>0</v>
      </c>
      <c r="U598" s="51">
        <f>IFERROR(VLOOKUP(VALUE(A598),WEEKLY_DATA!$A:$H,6,0),0)</f>
        <v>0</v>
      </c>
      <c r="V598" s="51">
        <f>IFERROR(VLOOKUP(VALUE(A598),WEEKLY_DATA!$A:$H,7,0),0)</f>
        <v>0</v>
      </c>
      <c r="W598" s="9" t="str">
        <f>IFERROR(IF(OR(Q598="",Q598=0),"",IF(VLOOKUP(VALUE($A598),WEEKLY_DATA!$A:$H,6,0)=0,"No Sales",Q598/(VLOOKUP(VALUE($A598),WEEKLY_DATA!$A:$H,6,0)/13))),"")</f>
        <v/>
      </c>
      <c r="X598" s="10">
        <f>IFERROR(VLOOKUP(VALUE(A598),WEEKLY_DATA!$A:$H,8,0),0)</f>
        <v>0</v>
      </c>
      <c r="Y598" s="13" t="str">
        <f t="shared" si="18"/>
        <v>—</v>
      </c>
      <c r="Z598" s="11"/>
      <c r="AA598" s="11"/>
      <c r="AB598" s="11"/>
      <c r="AC598" s="11"/>
      <c r="AD598" s="11"/>
      <c r="AE598" s="11"/>
      <c r="AF598" s="61"/>
      <c r="AG598" s="61"/>
      <c r="AH598" s="62"/>
      <c r="AI598" s="62"/>
      <c r="AJ598" s="61"/>
      <c r="AK598" s="61"/>
      <c r="AL598" s="61"/>
      <c r="AM598" s="58"/>
      <c r="AN598" s="58"/>
      <c r="AO598" s="58"/>
      <c r="AP598" s="58"/>
      <c r="AQ598" s="58"/>
      <c r="AR598" s="58"/>
      <c r="AS598" s="91"/>
      <c r="AT598" s="93"/>
      <c r="AU598" s="93"/>
      <c r="AV598" s="93"/>
      <c r="AW598" s="93"/>
    </row>
    <row r="599" spans="1:49" x14ac:dyDescent="0.25">
      <c r="A599" s="59"/>
      <c r="B599" s="12"/>
      <c r="C599" s="12"/>
      <c r="D599" s="60"/>
      <c r="E599" s="6"/>
      <c r="F599" s="6"/>
      <c r="G599" s="12"/>
      <c r="H599" s="12"/>
      <c r="I599" s="12" t="str" cm="2">
        <f t="array" ref="I599">IFERROR(INDEX(BrandList!$B$2:$B$200,MATCH(TRUE,ISNUMBER(SEARCH(BrandList!$B$2:$B$200,G599)),0)),"")</f>
        <v/>
      </c>
      <c r="J599" s="12"/>
      <c r="K599" s="12"/>
      <c r="L599" s="60"/>
      <c r="M599" s="60"/>
      <c r="N599" s="60"/>
      <c r="O599" s="60"/>
      <c r="P599" s="7" t="str">
        <f t="shared" si="19"/>
        <v/>
      </c>
      <c r="Q599" s="8">
        <f>IFERROR(VLOOKUP(VALUE(A599),WEEKLY_DATA!$A:$H,2,0),0)</f>
        <v>0</v>
      </c>
      <c r="R599" s="8">
        <f>IFERROR(VLOOKUP(VALUE(A599),WEEKLY_DATA!$A:$H,3,0),0)</f>
        <v>0</v>
      </c>
      <c r="S599" s="8">
        <f>IFERROR(VLOOKUP(VALUE(A599),WEEKLY_DATA!$A:$H,4,0),0)</f>
        <v>0</v>
      </c>
      <c r="T599" s="51">
        <f>IFERROR(VLOOKUP(VALUE(A599),WEEKLY_DATA!$A:$H,5,0),0)</f>
        <v>0</v>
      </c>
      <c r="U599" s="51">
        <f>IFERROR(VLOOKUP(VALUE(A599),WEEKLY_DATA!$A:$H,6,0),0)</f>
        <v>0</v>
      </c>
      <c r="V599" s="51">
        <f>IFERROR(VLOOKUP(VALUE(A599),WEEKLY_DATA!$A:$H,7,0),0)</f>
        <v>0</v>
      </c>
      <c r="W599" s="9" t="str">
        <f>IFERROR(IF(OR(Q599="",Q599=0),"",IF(VLOOKUP(VALUE($A599),WEEKLY_DATA!$A:$H,6,0)=0,"No Sales",Q599/(VLOOKUP(VALUE($A599),WEEKLY_DATA!$A:$H,6,0)/13))),"")</f>
        <v/>
      </c>
      <c r="X599" s="10">
        <f>IFERROR(VLOOKUP(VALUE(A599),WEEKLY_DATA!$A:$H,8,0),0)</f>
        <v>0</v>
      </c>
      <c r="Y599" s="13" t="str">
        <f t="shared" si="18"/>
        <v>—</v>
      </c>
      <c r="Z599" s="11"/>
      <c r="AA599" s="11"/>
      <c r="AB599" s="11"/>
      <c r="AC599" s="11"/>
      <c r="AD599" s="11"/>
      <c r="AE599" s="11"/>
      <c r="AF599" s="61"/>
      <c r="AG599" s="61"/>
      <c r="AH599" s="62"/>
      <c r="AI599" s="62"/>
      <c r="AJ599" s="61"/>
      <c r="AK599" s="61"/>
      <c r="AL599" s="61"/>
      <c r="AM599" s="58"/>
      <c r="AN599" s="58"/>
      <c r="AO599" s="58"/>
      <c r="AP599" s="58"/>
      <c r="AQ599" s="58"/>
      <c r="AR599" s="58"/>
      <c r="AS599" s="91"/>
      <c r="AT599" s="93"/>
      <c r="AU599" s="93"/>
      <c r="AV599" s="93"/>
      <c r="AW599" s="93"/>
    </row>
    <row r="600" spans="1:49" x14ac:dyDescent="0.25">
      <c r="A600" s="59"/>
      <c r="B600" s="12"/>
      <c r="C600" s="12"/>
      <c r="D600" s="60"/>
      <c r="E600" s="6"/>
      <c r="F600" s="6"/>
      <c r="G600" s="12"/>
      <c r="H600" s="12"/>
      <c r="I600" s="12" t="str" cm="2">
        <f t="array" ref="I600">IFERROR(INDEX(BrandList!$B$2:$B$200,MATCH(TRUE,ISNUMBER(SEARCH(BrandList!$B$2:$B$200,G600)),0)),"")</f>
        <v/>
      </c>
      <c r="J600" s="12"/>
      <c r="K600" s="12"/>
      <c r="L600" s="60"/>
      <c r="M600" s="60"/>
      <c r="N600" s="60"/>
      <c r="O600" s="60"/>
      <c r="P600" s="7" t="str">
        <f t="shared" si="19"/>
        <v/>
      </c>
      <c r="Q600" s="8">
        <f>IFERROR(VLOOKUP(VALUE(A600),WEEKLY_DATA!$A:$H,2,0),0)</f>
        <v>0</v>
      </c>
      <c r="R600" s="8">
        <f>IFERROR(VLOOKUP(VALUE(A600),WEEKLY_DATA!$A:$H,3,0),0)</f>
        <v>0</v>
      </c>
      <c r="S600" s="8">
        <f>IFERROR(VLOOKUP(VALUE(A600),WEEKLY_DATA!$A:$H,4,0),0)</f>
        <v>0</v>
      </c>
      <c r="T600" s="51">
        <f>IFERROR(VLOOKUP(VALUE(A600),WEEKLY_DATA!$A:$H,5,0),0)</f>
        <v>0</v>
      </c>
      <c r="U600" s="51">
        <f>IFERROR(VLOOKUP(VALUE(A600),WEEKLY_DATA!$A:$H,6,0),0)</f>
        <v>0</v>
      </c>
      <c r="V600" s="51">
        <f>IFERROR(VLOOKUP(VALUE(A600),WEEKLY_DATA!$A:$H,7,0),0)</f>
        <v>0</v>
      </c>
      <c r="W600" s="9" t="str">
        <f>IFERROR(IF(OR(Q600="",Q600=0),"",IF(VLOOKUP(VALUE($A600),WEEKLY_DATA!$A:$H,6,0)=0,"No Sales",Q600/(VLOOKUP(VALUE($A600),WEEKLY_DATA!$A:$H,6,0)/13))),"")</f>
        <v/>
      </c>
      <c r="X600" s="10">
        <f>IFERROR(VLOOKUP(VALUE(A600),WEEKLY_DATA!$A:$H,8,0),0)</f>
        <v>0</v>
      </c>
      <c r="Y600" s="13" t="str">
        <f t="shared" si="18"/>
        <v>—</v>
      </c>
      <c r="Z600" s="11"/>
      <c r="AA600" s="11"/>
      <c r="AB600" s="11"/>
      <c r="AC600" s="11"/>
      <c r="AD600" s="11"/>
      <c r="AE600" s="11"/>
      <c r="AF600" s="61"/>
      <c r="AG600" s="61"/>
      <c r="AH600" s="62"/>
      <c r="AI600" s="62"/>
      <c r="AJ600" s="61"/>
      <c r="AK600" s="61"/>
      <c r="AL600" s="61"/>
      <c r="AM600" s="58"/>
      <c r="AN600" s="58"/>
      <c r="AO600" s="58"/>
      <c r="AP600" s="58"/>
      <c r="AQ600" s="58"/>
      <c r="AR600" s="58"/>
      <c r="AS600" s="91"/>
      <c r="AT600" s="93"/>
      <c r="AU600" s="93"/>
      <c r="AV600" s="93"/>
      <c r="AW600" s="93"/>
    </row>
    <row r="601" spans="1:49" x14ac:dyDescent="0.25">
      <c r="A601" s="59"/>
      <c r="B601" s="12"/>
      <c r="C601" s="12"/>
      <c r="D601" s="60"/>
      <c r="E601" s="6"/>
      <c r="F601" s="6"/>
      <c r="G601" s="12"/>
      <c r="H601" s="12"/>
      <c r="I601" s="12" t="str" cm="2">
        <f t="array" ref="I601">IFERROR(INDEX(BrandList!$B$2:$B$200,MATCH(TRUE,ISNUMBER(SEARCH(BrandList!$B$2:$B$200,G601)),0)),"")</f>
        <v/>
      </c>
      <c r="J601" s="12"/>
      <c r="K601" s="12"/>
      <c r="L601" s="60"/>
      <c r="M601" s="60"/>
      <c r="N601" s="60"/>
      <c r="O601" s="60"/>
      <c r="P601" s="7" t="str">
        <f t="shared" si="19"/>
        <v/>
      </c>
      <c r="Q601" s="8">
        <f>IFERROR(VLOOKUP(VALUE(A601),WEEKLY_DATA!$A:$H,2,0),0)</f>
        <v>0</v>
      </c>
      <c r="R601" s="8">
        <f>IFERROR(VLOOKUP(VALUE(A601),WEEKLY_DATA!$A:$H,3,0),0)</f>
        <v>0</v>
      </c>
      <c r="S601" s="8">
        <f>IFERROR(VLOOKUP(VALUE(A601),WEEKLY_DATA!$A:$H,4,0),0)</f>
        <v>0</v>
      </c>
      <c r="T601" s="51">
        <f>IFERROR(VLOOKUP(VALUE(A601),WEEKLY_DATA!$A:$H,5,0),0)</f>
        <v>0</v>
      </c>
      <c r="U601" s="51">
        <f>IFERROR(VLOOKUP(VALUE(A601),WEEKLY_DATA!$A:$H,6,0),0)</f>
        <v>0</v>
      </c>
      <c r="V601" s="51">
        <f>IFERROR(VLOOKUP(VALUE(A601),WEEKLY_DATA!$A:$H,7,0),0)</f>
        <v>0</v>
      </c>
      <c r="W601" s="9" t="str">
        <f>IFERROR(IF(OR(Q601="",Q601=0),"",IF(VLOOKUP(VALUE($A601),WEEKLY_DATA!$A:$H,6,0)=0,"No Sales",Q601/(VLOOKUP(VALUE($A601),WEEKLY_DATA!$A:$H,6,0)/13))),"")</f>
        <v/>
      </c>
      <c r="X601" s="10">
        <f>IFERROR(VLOOKUP(VALUE(A601),WEEKLY_DATA!$A:$H,8,0),0)</f>
        <v>0</v>
      </c>
      <c r="Y601" s="13" t="str">
        <f t="shared" si="18"/>
        <v>—</v>
      </c>
      <c r="Z601" s="11"/>
      <c r="AA601" s="11"/>
      <c r="AB601" s="11"/>
      <c r="AC601" s="11"/>
      <c r="AD601" s="11"/>
      <c r="AE601" s="11"/>
      <c r="AF601" s="61"/>
      <c r="AG601" s="61"/>
      <c r="AH601" s="62"/>
      <c r="AI601" s="62"/>
      <c r="AJ601" s="61"/>
      <c r="AK601" s="61"/>
      <c r="AL601" s="61"/>
      <c r="AM601" s="58"/>
      <c r="AN601" s="58"/>
      <c r="AO601" s="58"/>
      <c r="AP601" s="58"/>
      <c r="AQ601" s="58"/>
      <c r="AR601" s="58"/>
      <c r="AS601" s="91"/>
      <c r="AT601" s="93"/>
      <c r="AU601" s="93"/>
      <c r="AV601" s="93"/>
      <c r="AW601" s="93"/>
    </row>
    <row r="602" spans="1:49" x14ac:dyDescent="0.25">
      <c r="A602" s="59"/>
      <c r="B602" s="12"/>
      <c r="C602" s="12"/>
      <c r="D602" s="60"/>
      <c r="E602" s="6"/>
      <c r="F602" s="6"/>
      <c r="G602" s="12"/>
      <c r="H602" s="12"/>
      <c r="I602" s="12" t="str" cm="2">
        <f t="array" ref="I602">IFERROR(INDEX(BrandList!$B$2:$B$200,MATCH(TRUE,ISNUMBER(SEARCH(BrandList!$B$2:$B$200,G602)),0)),"")</f>
        <v/>
      </c>
      <c r="J602" s="12"/>
      <c r="K602" s="12"/>
      <c r="L602" s="60"/>
      <c r="M602" s="60"/>
      <c r="N602" s="60"/>
      <c r="O602" s="60"/>
      <c r="P602" s="7" t="str">
        <f t="shared" si="19"/>
        <v/>
      </c>
      <c r="Q602" s="8">
        <f>IFERROR(VLOOKUP(VALUE(A602),WEEKLY_DATA!$A:$H,2,0),0)</f>
        <v>0</v>
      </c>
      <c r="R602" s="8">
        <f>IFERROR(VLOOKUP(VALUE(A602),WEEKLY_DATA!$A:$H,3,0),0)</f>
        <v>0</v>
      </c>
      <c r="S602" s="8">
        <f>IFERROR(VLOOKUP(VALUE(A602),WEEKLY_DATA!$A:$H,4,0),0)</f>
        <v>0</v>
      </c>
      <c r="T602" s="51">
        <f>IFERROR(VLOOKUP(VALUE(A602),WEEKLY_DATA!$A:$H,5,0),0)</f>
        <v>0</v>
      </c>
      <c r="U602" s="51">
        <f>IFERROR(VLOOKUP(VALUE(A602),WEEKLY_DATA!$A:$H,6,0),0)</f>
        <v>0</v>
      </c>
      <c r="V602" s="51">
        <f>IFERROR(VLOOKUP(VALUE(A602),WEEKLY_DATA!$A:$H,7,0),0)</f>
        <v>0</v>
      </c>
      <c r="W602" s="9" t="str">
        <f>IFERROR(IF(OR(Q602="",Q602=0),"",IF(VLOOKUP(VALUE($A602),WEEKLY_DATA!$A:$H,6,0)=0,"No Sales",Q602/(VLOOKUP(VALUE($A602),WEEKLY_DATA!$A:$H,6,0)/13))),"")</f>
        <v/>
      </c>
      <c r="X602" s="10">
        <f>IFERROR(VLOOKUP(VALUE(A602),WEEKLY_DATA!$A:$H,8,0),0)</f>
        <v>0</v>
      </c>
      <c r="Y602" s="13" t="str">
        <f t="shared" si="18"/>
        <v>—</v>
      </c>
      <c r="Z602" s="11"/>
      <c r="AA602" s="11"/>
      <c r="AB602" s="11"/>
      <c r="AC602" s="11"/>
      <c r="AD602" s="11"/>
      <c r="AE602" s="11"/>
      <c r="AF602" s="61"/>
      <c r="AG602" s="61"/>
      <c r="AH602" s="62"/>
      <c r="AI602" s="62"/>
      <c r="AJ602" s="61"/>
      <c r="AK602" s="61"/>
      <c r="AL602" s="61"/>
      <c r="AM602" s="58"/>
      <c r="AN602" s="58"/>
      <c r="AO602" s="58"/>
      <c r="AP602" s="58"/>
      <c r="AQ602" s="58"/>
      <c r="AR602" s="58"/>
      <c r="AS602" s="91"/>
      <c r="AT602" s="93"/>
      <c r="AU602" s="93"/>
      <c r="AV602" s="93"/>
      <c r="AW602" s="93"/>
    </row>
    <row r="603" spans="1:49" x14ac:dyDescent="0.25">
      <c r="A603" s="59"/>
      <c r="B603" s="12"/>
      <c r="C603" s="12"/>
      <c r="D603" s="60"/>
      <c r="E603" s="6"/>
      <c r="F603" s="6"/>
      <c r="G603" s="12"/>
      <c r="H603" s="12"/>
      <c r="I603" s="12" t="str" cm="2">
        <f t="array" ref="I603">IFERROR(INDEX(BrandList!$B$2:$B$200,MATCH(TRUE,ISNUMBER(SEARCH(BrandList!$B$2:$B$200,G603)),0)),"")</f>
        <v/>
      </c>
      <c r="J603" s="12"/>
      <c r="K603" s="12"/>
      <c r="L603" s="60"/>
      <c r="M603" s="60"/>
      <c r="N603" s="60"/>
      <c r="O603" s="60"/>
      <c r="P603" s="7" t="str">
        <f t="shared" si="19"/>
        <v/>
      </c>
      <c r="Q603" s="8">
        <f>IFERROR(VLOOKUP(VALUE(A603),WEEKLY_DATA!$A:$H,2,0),0)</f>
        <v>0</v>
      </c>
      <c r="R603" s="8">
        <f>IFERROR(VLOOKUP(VALUE(A603),WEEKLY_DATA!$A:$H,3,0),0)</f>
        <v>0</v>
      </c>
      <c r="S603" s="8">
        <f>IFERROR(VLOOKUP(VALUE(A603),WEEKLY_DATA!$A:$H,4,0),0)</f>
        <v>0</v>
      </c>
      <c r="T603" s="51">
        <f>IFERROR(VLOOKUP(VALUE(A603),WEEKLY_DATA!$A:$H,5,0),0)</f>
        <v>0</v>
      </c>
      <c r="U603" s="51">
        <f>IFERROR(VLOOKUP(VALUE(A603),WEEKLY_DATA!$A:$H,6,0),0)</f>
        <v>0</v>
      </c>
      <c r="V603" s="51">
        <f>IFERROR(VLOOKUP(VALUE(A603),WEEKLY_DATA!$A:$H,7,0),0)</f>
        <v>0</v>
      </c>
      <c r="W603" s="9" t="str">
        <f>IFERROR(IF(OR(Q603="",Q603=0),"",IF(VLOOKUP(VALUE($A603),WEEKLY_DATA!$A:$H,6,0)=0,"No Sales",Q603/(VLOOKUP(VALUE($A603),WEEKLY_DATA!$A:$H,6,0)/13))),"")</f>
        <v/>
      </c>
      <c r="X603" s="10">
        <f>IFERROR(VLOOKUP(VALUE(A603),WEEKLY_DATA!$A:$H,8,0),0)</f>
        <v>0</v>
      </c>
      <c r="Y603" s="13" t="str">
        <f t="shared" si="18"/>
        <v>—</v>
      </c>
      <c r="Z603" s="11"/>
      <c r="AA603" s="11"/>
      <c r="AB603" s="11"/>
      <c r="AC603" s="11"/>
      <c r="AD603" s="11"/>
      <c r="AE603" s="11"/>
      <c r="AF603" s="61"/>
      <c r="AG603" s="61"/>
      <c r="AH603" s="62"/>
      <c r="AI603" s="62"/>
      <c r="AJ603" s="61"/>
      <c r="AK603" s="61"/>
      <c r="AL603" s="61"/>
      <c r="AM603" s="58"/>
      <c r="AN603" s="58"/>
      <c r="AO603" s="58"/>
      <c r="AP603" s="58"/>
      <c r="AQ603" s="58"/>
      <c r="AR603" s="58"/>
      <c r="AS603" s="91"/>
      <c r="AT603" s="93"/>
      <c r="AU603" s="93"/>
      <c r="AV603" s="93"/>
      <c r="AW603" s="93"/>
    </row>
    <row r="604" spans="1:49" x14ac:dyDescent="0.25">
      <c r="A604" s="59"/>
      <c r="B604" s="12"/>
      <c r="C604" s="12"/>
      <c r="D604" s="60"/>
      <c r="E604" s="6"/>
      <c r="F604" s="6"/>
      <c r="G604" s="12"/>
      <c r="H604" s="12"/>
      <c r="I604" s="12" t="str" cm="2">
        <f t="array" ref="I604">IFERROR(INDEX(BrandList!$B$2:$B$200,MATCH(TRUE,ISNUMBER(SEARCH(BrandList!$B$2:$B$200,G604)),0)),"")</f>
        <v/>
      </c>
      <c r="J604" s="12"/>
      <c r="K604" s="12"/>
      <c r="L604" s="60"/>
      <c r="M604" s="60"/>
      <c r="N604" s="60"/>
      <c r="O604" s="60"/>
      <c r="P604" s="7" t="str">
        <f t="shared" si="19"/>
        <v/>
      </c>
      <c r="Q604" s="8">
        <f>IFERROR(VLOOKUP(VALUE(A604),WEEKLY_DATA!$A:$H,2,0),0)</f>
        <v>0</v>
      </c>
      <c r="R604" s="8">
        <f>IFERROR(VLOOKUP(VALUE(A604),WEEKLY_DATA!$A:$H,3,0),0)</f>
        <v>0</v>
      </c>
      <c r="S604" s="8">
        <f>IFERROR(VLOOKUP(VALUE(A604),WEEKLY_DATA!$A:$H,4,0),0)</f>
        <v>0</v>
      </c>
      <c r="T604" s="51">
        <f>IFERROR(VLOOKUP(VALUE(A604),WEEKLY_DATA!$A:$H,5,0),0)</f>
        <v>0</v>
      </c>
      <c r="U604" s="51">
        <f>IFERROR(VLOOKUP(VALUE(A604),WEEKLY_DATA!$A:$H,6,0),0)</f>
        <v>0</v>
      </c>
      <c r="V604" s="51">
        <f>IFERROR(VLOOKUP(VALUE(A604),WEEKLY_DATA!$A:$H,7,0),0)</f>
        <v>0</v>
      </c>
      <c r="W604" s="9" t="str">
        <f>IFERROR(IF(OR(Q604="",Q604=0),"",IF(VLOOKUP(VALUE($A604),WEEKLY_DATA!$A:$H,6,0)=0,"No Sales",Q604/(VLOOKUP(VALUE($A604),WEEKLY_DATA!$A:$H,6,0)/13))),"")</f>
        <v/>
      </c>
      <c r="X604" s="10">
        <f>IFERROR(VLOOKUP(VALUE(A604),WEEKLY_DATA!$A:$H,8,0),0)</f>
        <v>0</v>
      </c>
      <c r="Y604" s="13" t="str">
        <f t="shared" si="18"/>
        <v>—</v>
      </c>
      <c r="Z604" s="11"/>
      <c r="AA604" s="11"/>
      <c r="AB604" s="11"/>
      <c r="AC604" s="11"/>
      <c r="AD604" s="11"/>
      <c r="AE604" s="11"/>
      <c r="AF604" s="61"/>
      <c r="AG604" s="61"/>
      <c r="AH604" s="62"/>
      <c r="AI604" s="62"/>
      <c r="AJ604" s="61"/>
      <c r="AK604" s="61"/>
      <c r="AL604" s="61"/>
      <c r="AM604" s="58"/>
      <c r="AN604" s="58"/>
      <c r="AO604" s="58"/>
      <c r="AP604" s="58"/>
      <c r="AQ604" s="58"/>
      <c r="AR604" s="58"/>
      <c r="AS604" s="91"/>
      <c r="AT604" s="93"/>
      <c r="AU604" s="93"/>
      <c r="AV604" s="93"/>
      <c r="AW604" s="93"/>
    </row>
    <row r="605" spans="1:49" x14ac:dyDescent="0.25">
      <c r="A605" s="59"/>
      <c r="B605" s="12"/>
      <c r="C605" s="12"/>
      <c r="D605" s="60"/>
      <c r="E605" s="6"/>
      <c r="F605" s="6"/>
      <c r="G605" s="12"/>
      <c r="H605" s="12"/>
      <c r="I605" s="12" t="str" cm="2">
        <f t="array" ref="I605">IFERROR(INDEX(BrandList!$B$2:$B$200,MATCH(TRUE,ISNUMBER(SEARCH(BrandList!$B$2:$B$200,G605)),0)),"")</f>
        <v/>
      </c>
      <c r="J605" s="12"/>
      <c r="K605" s="12"/>
      <c r="L605" s="60"/>
      <c r="M605" s="60"/>
      <c r="N605" s="60"/>
      <c r="O605" s="60"/>
      <c r="P605" s="7" t="str">
        <f t="shared" si="19"/>
        <v/>
      </c>
      <c r="Q605" s="8">
        <f>IFERROR(VLOOKUP(VALUE(A605),WEEKLY_DATA!$A:$H,2,0),0)</f>
        <v>0</v>
      </c>
      <c r="R605" s="8">
        <f>IFERROR(VLOOKUP(VALUE(A605),WEEKLY_DATA!$A:$H,3,0),0)</f>
        <v>0</v>
      </c>
      <c r="S605" s="8">
        <f>IFERROR(VLOOKUP(VALUE(A605),WEEKLY_DATA!$A:$H,4,0),0)</f>
        <v>0</v>
      </c>
      <c r="T605" s="51">
        <f>IFERROR(VLOOKUP(VALUE(A605),WEEKLY_DATA!$A:$H,5,0),0)</f>
        <v>0</v>
      </c>
      <c r="U605" s="51">
        <f>IFERROR(VLOOKUP(VALUE(A605),WEEKLY_DATA!$A:$H,6,0),0)</f>
        <v>0</v>
      </c>
      <c r="V605" s="51">
        <f>IFERROR(VLOOKUP(VALUE(A605),WEEKLY_DATA!$A:$H,7,0),0)</f>
        <v>0</v>
      </c>
      <c r="W605" s="9" t="str">
        <f>IFERROR(IF(OR(Q605="",Q605=0),"",IF(VLOOKUP(VALUE($A605),WEEKLY_DATA!$A:$H,6,0)=0,"No Sales",Q605/(VLOOKUP(VALUE($A605),WEEKLY_DATA!$A:$H,6,0)/13))),"")</f>
        <v/>
      </c>
      <c r="X605" s="10">
        <f>IFERROR(VLOOKUP(VALUE(A605),WEEKLY_DATA!$A:$H,8,0),0)</f>
        <v>0</v>
      </c>
      <c r="Y605" s="13" t="str">
        <f t="shared" si="18"/>
        <v>—</v>
      </c>
      <c r="Z605" s="11"/>
      <c r="AA605" s="11"/>
      <c r="AB605" s="11"/>
      <c r="AC605" s="11"/>
      <c r="AD605" s="11"/>
      <c r="AE605" s="11"/>
      <c r="AF605" s="61"/>
      <c r="AG605" s="61"/>
      <c r="AH605" s="62"/>
      <c r="AI605" s="62"/>
      <c r="AJ605" s="61"/>
      <c r="AK605" s="61"/>
      <c r="AL605" s="61"/>
      <c r="AM605" s="58"/>
      <c r="AN605" s="58"/>
      <c r="AO605" s="58"/>
      <c r="AP605" s="58"/>
      <c r="AQ605" s="58"/>
      <c r="AR605" s="58"/>
      <c r="AS605" s="91"/>
      <c r="AT605" s="93"/>
      <c r="AU605" s="93"/>
      <c r="AV605" s="93"/>
      <c r="AW605" s="93"/>
    </row>
    <row r="606" spans="1:49" x14ac:dyDescent="0.25">
      <c r="A606" s="59"/>
      <c r="B606" s="12"/>
      <c r="C606" s="12"/>
      <c r="D606" s="60"/>
      <c r="E606" s="6"/>
      <c r="F606" s="6"/>
      <c r="G606" s="12"/>
      <c r="H606" s="12"/>
      <c r="I606" s="12" t="str" cm="2">
        <f t="array" ref="I606">IFERROR(INDEX(BrandList!$B$2:$B$200,MATCH(TRUE,ISNUMBER(SEARCH(BrandList!$B$2:$B$200,G606)),0)),"")</f>
        <v/>
      </c>
      <c r="J606" s="12"/>
      <c r="K606" s="12"/>
      <c r="L606" s="60"/>
      <c r="M606" s="60"/>
      <c r="N606" s="60"/>
      <c r="O606" s="60"/>
      <c r="P606" s="7" t="str">
        <f t="shared" si="19"/>
        <v/>
      </c>
      <c r="Q606" s="8">
        <f>IFERROR(VLOOKUP(VALUE(A606),WEEKLY_DATA!$A:$H,2,0),0)</f>
        <v>0</v>
      </c>
      <c r="R606" s="8">
        <f>IFERROR(VLOOKUP(VALUE(A606),WEEKLY_DATA!$A:$H,3,0),0)</f>
        <v>0</v>
      </c>
      <c r="S606" s="8">
        <f>IFERROR(VLOOKUP(VALUE(A606),WEEKLY_DATA!$A:$H,4,0),0)</f>
        <v>0</v>
      </c>
      <c r="T606" s="51">
        <f>IFERROR(VLOOKUP(VALUE(A606),WEEKLY_DATA!$A:$H,5,0),0)</f>
        <v>0</v>
      </c>
      <c r="U606" s="51">
        <f>IFERROR(VLOOKUP(VALUE(A606),WEEKLY_DATA!$A:$H,6,0),0)</f>
        <v>0</v>
      </c>
      <c r="V606" s="51">
        <f>IFERROR(VLOOKUP(VALUE(A606),WEEKLY_DATA!$A:$H,7,0),0)</f>
        <v>0</v>
      </c>
      <c r="W606" s="9" t="str">
        <f>IFERROR(IF(OR(Q606="",Q606=0),"",IF(VLOOKUP(VALUE($A606),WEEKLY_DATA!$A:$H,6,0)=0,"No Sales",Q606/(VLOOKUP(VALUE($A606),WEEKLY_DATA!$A:$H,6,0)/13))),"")</f>
        <v/>
      </c>
      <c r="X606" s="10">
        <f>IFERROR(VLOOKUP(VALUE(A606),WEEKLY_DATA!$A:$H,8,0),0)</f>
        <v>0</v>
      </c>
      <c r="Y606" s="13" t="str">
        <f t="shared" si="18"/>
        <v>—</v>
      </c>
      <c r="Z606" s="11"/>
      <c r="AA606" s="11"/>
      <c r="AB606" s="11"/>
      <c r="AC606" s="11"/>
      <c r="AD606" s="11"/>
      <c r="AE606" s="11"/>
      <c r="AF606" s="61"/>
      <c r="AG606" s="61"/>
      <c r="AH606" s="62"/>
      <c r="AI606" s="62"/>
      <c r="AJ606" s="61"/>
      <c r="AK606" s="61"/>
      <c r="AL606" s="61"/>
      <c r="AM606" s="58"/>
      <c r="AN606" s="58"/>
      <c r="AO606" s="58"/>
      <c r="AP606" s="58"/>
      <c r="AQ606" s="58"/>
      <c r="AR606" s="58"/>
      <c r="AS606" s="91"/>
      <c r="AT606" s="93"/>
      <c r="AU606" s="93"/>
      <c r="AV606" s="93"/>
      <c r="AW606" s="93"/>
    </row>
    <row r="607" spans="1:49" x14ac:dyDescent="0.25">
      <c r="A607" s="59"/>
      <c r="B607" s="12"/>
      <c r="C607" s="12"/>
      <c r="D607" s="60"/>
      <c r="E607" s="6"/>
      <c r="F607" s="6"/>
      <c r="G607" s="12"/>
      <c r="H607" s="12"/>
      <c r="I607" s="12" t="str" cm="2">
        <f t="array" ref="I607">IFERROR(INDEX(BrandList!$B$2:$B$200,MATCH(TRUE,ISNUMBER(SEARCH(BrandList!$B$2:$B$200,G607)),0)),"")</f>
        <v/>
      </c>
      <c r="J607" s="12"/>
      <c r="K607" s="12"/>
      <c r="L607" s="60"/>
      <c r="M607" s="60"/>
      <c r="N607" s="60"/>
      <c r="O607" s="60"/>
      <c r="P607" s="7" t="str">
        <f t="shared" si="19"/>
        <v/>
      </c>
      <c r="Q607" s="8">
        <f>IFERROR(VLOOKUP(VALUE(A607),WEEKLY_DATA!$A:$H,2,0),0)</f>
        <v>0</v>
      </c>
      <c r="R607" s="8">
        <f>IFERROR(VLOOKUP(VALUE(A607),WEEKLY_DATA!$A:$H,3,0),0)</f>
        <v>0</v>
      </c>
      <c r="S607" s="8">
        <f>IFERROR(VLOOKUP(VALUE(A607),WEEKLY_DATA!$A:$H,4,0),0)</f>
        <v>0</v>
      </c>
      <c r="T607" s="51">
        <f>IFERROR(VLOOKUP(VALUE(A607),WEEKLY_DATA!$A:$H,5,0),0)</f>
        <v>0</v>
      </c>
      <c r="U607" s="51">
        <f>IFERROR(VLOOKUP(VALUE(A607),WEEKLY_DATA!$A:$H,6,0),0)</f>
        <v>0</v>
      </c>
      <c r="V607" s="51">
        <f>IFERROR(VLOOKUP(VALUE(A607),WEEKLY_DATA!$A:$H,7,0),0)</f>
        <v>0</v>
      </c>
      <c r="W607" s="9" t="str">
        <f>IFERROR(IF(OR(Q607="",Q607=0),"",IF(VLOOKUP(VALUE($A607),WEEKLY_DATA!$A:$H,6,0)=0,"No Sales",Q607/(VLOOKUP(VALUE($A607),WEEKLY_DATA!$A:$H,6,0)/13))),"")</f>
        <v/>
      </c>
      <c r="X607" s="10">
        <f>IFERROR(VLOOKUP(VALUE(A607),WEEKLY_DATA!$A:$H,8,0),0)</f>
        <v>0</v>
      </c>
      <c r="Y607" s="13" t="str">
        <f t="shared" si="18"/>
        <v>—</v>
      </c>
      <c r="Z607" s="11"/>
      <c r="AA607" s="11"/>
      <c r="AB607" s="11"/>
      <c r="AC607" s="11"/>
      <c r="AD607" s="11"/>
      <c r="AE607" s="11"/>
      <c r="AF607" s="61"/>
      <c r="AG607" s="61"/>
      <c r="AH607" s="62"/>
      <c r="AI607" s="62"/>
      <c r="AJ607" s="61"/>
      <c r="AK607" s="61"/>
      <c r="AL607" s="61"/>
      <c r="AM607" s="58"/>
      <c r="AN607" s="58"/>
      <c r="AO607" s="58"/>
      <c r="AP607" s="58"/>
      <c r="AQ607" s="58"/>
      <c r="AR607" s="58"/>
      <c r="AS607" s="91"/>
      <c r="AT607" s="93"/>
      <c r="AU607" s="93"/>
      <c r="AV607" s="93"/>
      <c r="AW607" s="93"/>
    </row>
    <row r="608" spans="1:49" x14ac:dyDescent="0.25">
      <c r="A608" s="59"/>
      <c r="B608" s="12"/>
      <c r="C608" s="12"/>
      <c r="D608" s="60"/>
      <c r="E608" s="6"/>
      <c r="F608" s="6"/>
      <c r="G608" s="12"/>
      <c r="H608" s="12"/>
      <c r="I608" s="12" t="str" cm="2">
        <f t="array" ref="I608">IFERROR(INDEX(BrandList!$B$2:$B$200,MATCH(TRUE,ISNUMBER(SEARCH(BrandList!$B$2:$B$200,G608)),0)),"")</f>
        <v/>
      </c>
      <c r="J608" s="12"/>
      <c r="K608" s="12"/>
      <c r="L608" s="60"/>
      <c r="M608" s="60"/>
      <c r="N608" s="60"/>
      <c r="O608" s="60"/>
      <c r="P608" s="7" t="str">
        <f t="shared" si="19"/>
        <v/>
      </c>
      <c r="Q608" s="8">
        <f>IFERROR(VLOOKUP(VALUE(A608),WEEKLY_DATA!$A:$H,2,0),0)</f>
        <v>0</v>
      </c>
      <c r="R608" s="8">
        <f>IFERROR(VLOOKUP(VALUE(A608),WEEKLY_DATA!$A:$H,3,0),0)</f>
        <v>0</v>
      </c>
      <c r="S608" s="8">
        <f>IFERROR(VLOOKUP(VALUE(A608),WEEKLY_DATA!$A:$H,4,0),0)</f>
        <v>0</v>
      </c>
      <c r="T608" s="51">
        <f>IFERROR(VLOOKUP(VALUE(A608),WEEKLY_DATA!$A:$H,5,0),0)</f>
        <v>0</v>
      </c>
      <c r="U608" s="51">
        <f>IFERROR(VLOOKUP(VALUE(A608),WEEKLY_DATA!$A:$H,6,0),0)</f>
        <v>0</v>
      </c>
      <c r="V608" s="51">
        <f>IFERROR(VLOOKUP(VALUE(A608),WEEKLY_DATA!$A:$H,7,0),0)</f>
        <v>0</v>
      </c>
      <c r="W608" s="9" t="str">
        <f>IFERROR(IF(OR(Q608="",Q608=0),"",IF(VLOOKUP(VALUE($A608),WEEKLY_DATA!$A:$H,6,0)=0,"No Sales",Q608/(VLOOKUP(VALUE($A608),WEEKLY_DATA!$A:$H,6,0)/13))),"")</f>
        <v/>
      </c>
      <c r="X608" s="10">
        <f>IFERROR(VLOOKUP(VALUE(A608),WEEKLY_DATA!$A:$H,8,0),0)</f>
        <v>0</v>
      </c>
      <c r="Y608" s="13" t="str">
        <f t="shared" si="18"/>
        <v>—</v>
      </c>
      <c r="Z608" s="11"/>
      <c r="AA608" s="11"/>
      <c r="AB608" s="11"/>
      <c r="AC608" s="11"/>
      <c r="AD608" s="11"/>
      <c r="AE608" s="11"/>
      <c r="AF608" s="61"/>
      <c r="AG608" s="61"/>
      <c r="AH608" s="62"/>
      <c r="AI608" s="62"/>
      <c r="AJ608" s="61"/>
      <c r="AK608" s="61"/>
      <c r="AL608" s="61"/>
      <c r="AM608" s="58"/>
      <c r="AN608" s="58"/>
      <c r="AO608" s="58"/>
      <c r="AP608" s="58"/>
      <c r="AQ608" s="58"/>
      <c r="AR608" s="58"/>
      <c r="AS608" s="91"/>
      <c r="AT608" s="93"/>
      <c r="AU608" s="93"/>
      <c r="AV608" s="93"/>
      <c r="AW608" s="93"/>
    </row>
    <row r="609" spans="1:49" x14ac:dyDescent="0.25">
      <c r="A609" s="59"/>
      <c r="B609" s="12"/>
      <c r="C609" s="12"/>
      <c r="D609" s="60"/>
      <c r="E609" s="6"/>
      <c r="F609" s="6"/>
      <c r="G609" s="12"/>
      <c r="H609" s="12"/>
      <c r="I609" s="12" t="str" cm="2">
        <f t="array" ref="I609">IFERROR(INDEX(BrandList!$B$2:$B$200,MATCH(TRUE,ISNUMBER(SEARCH(BrandList!$B$2:$B$200,G609)),0)),"")</f>
        <v/>
      </c>
      <c r="J609" s="12"/>
      <c r="K609" s="12"/>
      <c r="L609" s="60"/>
      <c r="M609" s="60"/>
      <c r="N609" s="60"/>
      <c r="O609" s="60"/>
      <c r="P609" s="7" t="str">
        <f t="shared" si="19"/>
        <v/>
      </c>
      <c r="Q609" s="8">
        <f>IFERROR(VLOOKUP(VALUE(A609),WEEKLY_DATA!$A:$H,2,0),0)</f>
        <v>0</v>
      </c>
      <c r="R609" s="8">
        <f>IFERROR(VLOOKUP(VALUE(A609),WEEKLY_DATA!$A:$H,3,0),0)</f>
        <v>0</v>
      </c>
      <c r="S609" s="8">
        <f>IFERROR(VLOOKUP(VALUE(A609),WEEKLY_DATA!$A:$H,4,0),0)</f>
        <v>0</v>
      </c>
      <c r="T609" s="51">
        <f>IFERROR(VLOOKUP(VALUE(A609),WEEKLY_DATA!$A:$H,5,0),0)</f>
        <v>0</v>
      </c>
      <c r="U609" s="51">
        <f>IFERROR(VLOOKUP(VALUE(A609),WEEKLY_DATA!$A:$H,6,0),0)</f>
        <v>0</v>
      </c>
      <c r="V609" s="51">
        <f>IFERROR(VLOOKUP(VALUE(A609),WEEKLY_DATA!$A:$H,7,0),0)</f>
        <v>0</v>
      </c>
      <c r="W609" s="9" t="str">
        <f>IFERROR(IF(OR(Q609="",Q609=0),"",IF(VLOOKUP(VALUE($A609),WEEKLY_DATA!$A:$H,6,0)=0,"No Sales",Q609/(VLOOKUP(VALUE($A609),WEEKLY_DATA!$A:$H,6,0)/13))),"")</f>
        <v/>
      </c>
      <c r="X609" s="10">
        <f>IFERROR(VLOOKUP(VALUE(A609),WEEKLY_DATA!$A:$H,8,0),0)</f>
        <v>0</v>
      </c>
      <c r="Y609" s="13" t="str">
        <f t="shared" si="18"/>
        <v>—</v>
      </c>
      <c r="Z609" s="11"/>
      <c r="AA609" s="11"/>
      <c r="AB609" s="11"/>
      <c r="AC609" s="11"/>
      <c r="AD609" s="11"/>
      <c r="AE609" s="11"/>
      <c r="AF609" s="61"/>
      <c r="AG609" s="61"/>
      <c r="AH609" s="62"/>
      <c r="AI609" s="62"/>
      <c r="AJ609" s="61"/>
      <c r="AK609" s="61"/>
      <c r="AL609" s="61"/>
      <c r="AM609" s="58"/>
      <c r="AN609" s="58"/>
      <c r="AO609" s="58"/>
      <c r="AP609" s="58"/>
      <c r="AQ609" s="58"/>
      <c r="AR609" s="58"/>
      <c r="AS609" s="91"/>
      <c r="AT609" s="93"/>
      <c r="AU609" s="93"/>
      <c r="AV609" s="93"/>
      <c r="AW609" s="93"/>
    </row>
    <row r="610" spans="1:49" x14ac:dyDescent="0.25">
      <c r="A610" s="59"/>
      <c r="B610" s="12"/>
      <c r="C610" s="12"/>
      <c r="D610" s="60"/>
      <c r="E610" s="6"/>
      <c r="F610" s="6"/>
      <c r="G610" s="12"/>
      <c r="H610" s="12"/>
      <c r="I610" s="12" t="str" cm="2">
        <f t="array" ref="I610">IFERROR(INDEX(BrandList!$B$2:$B$200,MATCH(TRUE,ISNUMBER(SEARCH(BrandList!$B$2:$B$200,G610)),0)),"")</f>
        <v/>
      </c>
      <c r="J610" s="12"/>
      <c r="K610" s="12"/>
      <c r="L610" s="60"/>
      <c r="M610" s="60"/>
      <c r="N610" s="60"/>
      <c r="O610" s="60"/>
      <c r="P610" s="7" t="str">
        <f t="shared" si="19"/>
        <v/>
      </c>
      <c r="Q610" s="8">
        <f>IFERROR(VLOOKUP(VALUE(A610),WEEKLY_DATA!$A:$H,2,0),0)</f>
        <v>0</v>
      </c>
      <c r="R610" s="8">
        <f>IFERROR(VLOOKUP(VALUE(A610),WEEKLY_DATA!$A:$H,3,0),0)</f>
        <v>0</v>
      </c>
      <c r="S610" s="8">
        <f>IFERROR(VLOOKUP(VALUE(A610),WEEKLY_DATA!$A:$H,4,0),0)</f>
        <v>0</v>
      </c>
      <c r="T610" s="51">
        <f>IFERROR(VLOOKUP(VALUE(A610),WEEKLY_DATA!$A:$H,5,0),0)</f>
        <v>0</v>
      </c>
      <c r="U610" s="51">
        <f>IFERROR(VLOOKUP(VALUE(A610),WEEKLY_DATA!$A:$H,6,0),0)</f>
        <v>0</v>
      </c>
      <c r="V610" s="51">
        <f>IFERROR(VLOOKUP(VALUE(A610),WEEKLY_DATA!$A:$H,7,0),0)</f>
        <v>0</v>
      </c>
      <c r="W610" s="9" t="str">
        <f>IFERROR(IF(OR(Q610="",Q610=0),"",IF(VLOOKUP(VALUE($A610),WEEKLY_DATA!$A:$H,6,0)=0,"No Sales",Q610/(VLOOKUP(VALUE($A610),WEEKLY_DATA!$A:$H,6,0)/13))),"")</f>
        <v/>
      </c>
      <c r="X610" s="10">
        <f>IFERROR(VLOOKUP(VALUE(A610),WEEKLY_DATA!$A:$H,8,0),0)</f>
        <v>0</v>
      </c>
      <c r="Y610" s="13" t="str">
        <f t="shared" si="18"/>
        <v>—</v>
      </c>
      <c r="Z610" s="11"/>
      <c r="AA610" s="11"/>
      <c r="AB610" s="11"/>
      <c r="AC610" s="11"/>
      <c r="AD610" s="11"/>
      <c r="AE610" s="11"/>
      <c r="AF610" s="61"/>
      <c r="AG610" s="61"/>
      <c r="AH610" s="62"/>
      <c r="AI610" s="62"/>
      <c r="AJ610" s="61"/>
      <c r="AK610" s="61"/>
      <c r="AL610" s="61"/>
      <c r="AM610" s="58"/>
      <c r="AN610" s="58"/>
      <c r="AO610" s="58"/>
      <c r="AP610" s="58"/>
      <c r="AQ610" s="58"/>
      <c r="AR610" s="58"/>
      <c r="AS610" s="91"/>
      <c r="AT610" s="93"/>
      <c r="AU610" s="93"/>
      <c r="AV610" s="93"/>
      <c r="AW610" s="93"/>
    </row>
    <row r="611" spans="1:49" x14ac:dyDescent="0.25">
      <c r="A611" s="59"/>
      <c r="B611" s="12"/>
      <c r="C611" s="12"/>
      <c r="D611" s="60"/>
      <c r="E611" s="6"/>
      <c r="F611" s="6"/>
      <c r="G611" s="12"/>
      <c r="H611" s="12"/>
      <c r="I611" s="12" t="str" cm="2">
        <f t="array" ref="I611">IFERROR(INDEX(BrandList!$B$2:$B$200,MATCH(TRUE,ISNUMBER(SEARCH(BrandList!$B$2:$B$200,G611)),0)),"")</f>
        <v/>
      </c>
      <c r="J611" s="12"/>
      <c r="K611" s="12"/>
      <c r="L611" s="60"/>
      <c r="M611" s="60"/>
      <c r="N611" s="60"/>
      <c r="O611" s="60"/>
      <c r="P611" s="7" t="str">
        <f t="shared" si="19"/>
        <v/>
      </c>
      <c r="Q611" s="8">
        <f>IFERROR(VLOOKUP(VALUE(A611),WEEKLY_DATA!$A:$H,2,0),0)</f>
        <v>0</v>
      </c>
      <c r="R611" s="8">
        <f>IFERROR(VLOOKUP(VALUE(A611),WEEKLY_DATA!$A:$H,3,0),0)</f>
        <v>0</v>
      </c>
      <c r="S611" s="8">
        <f>IFERROR(VLOOKUP(VALUE(A611),WEEKLY_DATA!$A:$H,4,0),0)</f>
        <v>0</v>
      </c>
      <c r="T611" s="51">
        <f>IFERROR(VLOOKUP(VALUE(A611),WEEKLY_DATA!$A:$H,5,0),0)</f>
        <v>0</v>
      </c>
      <c r="U611" s="51">
        <f>IFERROR(VLOOKUP(VALUE(A611),WEEKLY_DATA!$A:$H,6,0),0)</f>
        <v>0</v>
      </c>
      <c r="V611" s="51">
        <f>IFERROR(VLOOKUP(VALUE(A611),WEEKLY_DATA!$A:$H,7,0),0)</f>
        <v>0</v>
      </c>
      <c r="W611" s="9" t="str">
        <f>IFERROR(IF(OR(Q611="",Q611=0),"",IF(VLOOKUP(VALUE($A611),WEEKLY_DATA!$A:$H,6,0)=0,"No Sales",Q611/(VLOOKUP(VALUE($A611),WEEKLY_DATA!$A:$H,6,0)/13))),"")</f>
        <v/>
      </c>
      <c r="X611" s="10">
        <f>IFERROR(VLOOKUP(VALUE(A611),WEEKLY_DATA!$A:$H,8,0),0)</f>
        <v>0</v>
      </c>
      <c r="Y611" s="13" t="str">
        <f t="shared" si="18"/>
        <v>—</v>
      </c>
      <c r="Z611" s="11"/>
      <c r="AA611" s="11"/>
      <c r="AB611" s="11"/>
      <c r="AC611" s="11"/>
      <c r="AD611" s="11"/>
      <c r="AE611" s="11"/>
      <c r="AF611" s="61"/>
      <c r="AG611" s="61"/>
      <c r="AH611" s="62"/>
      <c r="AI611" s="62"/>
      <c r="AJ611" s="61"/>
      <c r="AK611" s="61"/>
      <c r="AL611" s="61"/>
      <c r="AM611" s="58"/>
      <c r="AN611" s="58"/>
      <c r="AO611" s="58"/>
      <c r="AP611" s="58"/>
      <c r="AQ611" s="58"/>
      <c r="AR611" s="58"/>
      <c r="AS611" s="91"/>
      <c r="AT611" s="93"/>
      <c r="AU611" s="93"/>
      <c r="AV611" s="93"/>
      <c r="AW611" s="93"/>
    </row>
    <row r="612" spans="1:49" x14ac:dyDescent="0.25">
      <c r="A612" s="59"/>
      <c r="B612" s="12"/>
      <c r="C612" s="12"/>
      <c r="D612" s="60"/>
      <c r="E612" s="6"/>
      <c r="F612" s="6"/>
      <c r="G612" s="12"/>
      <c r="H612" s="12"/>
      <c r="I612" s="12" t="str" cm="2">
        <f t="array" ref="I612">IFERROR(INDEX(BrandList!$B$2:$B$200,MATCH(TRUE,ISNUMBER(SEARCH(BrandList!$B$2:$B$200,G612)),0)),"")</f>
        <v/>
      </c>
      <c r="J612" s="12"/>
      <c r="K612" s="12"/>
      <c r="L612" s="60"/>
      <c r="M612" s="60"/>
      <c r="N612" s="60"/>
      <c r="O612" s="60"/>
      <c r="P612" s="7" t="str">
        <f t="shared" si="19"/>
        <v/>
      </c>
      <c r="Q612" s="8">
        <f>IFERROR(VLOOKUP(VALUE(A612),WEEKLY_DATA!$A:$H,2,0),0)</f>
        <v>0</v>
      </c>
      <c r="R612" s="8">
        <f>IFERROR(VLOOKUP(VALUE(A612),WEEKLY_DATA!$A:$H,3,0),0)</f>
        <v>0</v>
      </c>
      <c r="S612" s="8">
        <f>IFERROR(VLOOKUP(VALUE(A612),WEEKLY_DATA!$A:$H,4,0),0)</f>
        <v>0</v>
      </c>
      <c r="T612" s="51">
        <f>IFERROR(VLOOKUP(VALUE(A612),WEEKLY_DATA!$A:$H,5,0),0)</f>
        <v>0</v>
      </c>
      <c r="U612" s="51">
        <f>IFERROR(VLOOKUP(VALUE(A612),WEEKLY_DATA!$A:$H,6,0),0)</f>
        <v>0</v>
      </c>
      <c r="V612" s="51">
        <f>IFERROR(VLOOKUP(VALUE(A612),WEEKLY_DATA!$A:$H,7,0),0)</f>
        <v>0</v>
      </c>
      <c r="W612" s="9" t="str">
        <f>IFERROR(IF(OR(Q612="",Q612=0),"",IF(VLOOKUP(VALUE($A612),WEEKLY_DATA!$A:$H,6,0)=0,"No Sales",Q612/(VLOOKUP(VALUE($A612),WEEKLY_DATA!$A:$H,6,0)/13))),"")</f>
        <v/>
      </c>
      <c r="X612" s="10">
        <f>IFERROR(VLOOKUP(VALUE(A612),WEEKLY_DATA!$A:$H,8,0),0)</f>
        <v>0</v>
      </c>
      <c r="Y612" s="13" t="str">
        <f t="shared" si="18"/>
        <v>—</v>
      </c>
      <c r="Z612" s="11"/>
      <c r="AA612" s="11"/>
      <c r="AB612" s="11"/>
      <c r="AC612" s="11"/>
      <c r="AD612" s="11"/>
      <c r="AE612" s="11"/>
      <c r="AF612" s="61"/>
      <c r="AG612" s="61"/>
      <c r="AH612" s="62"/>
      <c r="AI612" s="62"/>
      <c r="AJ612" s="61"/>
      <c r="AK612" s="61"/>
      <c r="AL612" s="61"/>
      <c r="AM612" s="58"/>
      <c r="AN612" s="58"/>
      <c r="AO612" s="58"/>
      <c r="AP612" s="58"/>
      <c r="AQ612" s="58"/>
      <c r="AR612" s="58"/>
      <c r="AS612" s="91"/>
      <c r="AT612" s="93"/>
      <c r="AU612" s="93"/>
      <c r="AV612" s="93"/>
      <c r="AW612" s="93"/>
    </row>
    <row r="613" spans="1:49" x14ac:dyDescent="0.25">
      <c r="A613" s="59"/>
      <c r="B613" s="12"/>
      <c r="C613" s="12"/>
      <c r="D613" s="60"/>
      <c r="E613" s="6"/>
      <c r="F613" s="6"/>
      <c r="G613" s="12"/>
      <c r="H613" s="12"/>
      <c r="I613" s="12" t="str" cm="2">
        <f t="array" ref="I613">IFERROR(INDEX(BrandList!$B$2:$B$200,MATCH(TRUE,ISNUMBER(SEARCH(BrandList!$B$2:$B$200,G613)),0)),"")</f>
        <v/>
      </c>
      <c r="J613" s="12"/>
      <c r="K613" s="12"/>
      <c r="L613" s="60"/>
      <c r="M613" s="60"/>
      <c r="N613" s="60"/>
      <c r="O613" s="60"/>
      <c r="P613" s="7" t="str">
        <f t="shared" si="19"/>
        <v/>
      </c>
      <c r="Q613" s="8">
        <f>IFERROR(VLOOKUP(VALUE(A613),WEEKLY_DATA!$A:$H,2,0),0)</f>
        <v>0</v>
      </c>
      <c r="R613" s="8">
        <f>IFERROR(VLOOKUP(VALUE(A613),WEEKLY_DATA!$A:$H,3,0),0)</f>
        <v>0</v>
      </c>
      <c r="S613" s="8">
        <f>IFERROR(VLOOKUP(VALUE(A613),WEEKLY_DATA!$A:$H,4,0),0)</f>
        <v>0</v>
      </c>
      <c r="T613" s="51">
        <f>IFERROR(VLOOKUP(VALUE(A613),WEEKLY_DATA!$A:$H,5,0),0)</f>
        <v>0</v>
      </c>
      <c r="U613" s="51">
        <f>IFERROR(VLOOKUP(VALUE(A613),WEEKLY_DATA!$A:$H,6,0),0)</f>
        <v>0</v>
      </c>
      <c r="V613" s="51">
        <f>IFERROR(VLOOKUP(VALUE(A613),WEEKLY_DATA!$A:$H,7,0),0)</f>
        <v>0</v>
      </c>
      <c r="W613" s="9" t="str">
        <f>IFERROR(IF(OR(Q613="",Q613=0),"",IF(VLOOKUP(VALUE($A613),WEEKLY_DATA!$A:$H,6,0)=0,"No Sales",Q613/(VLOOKUP(VALUE($A613),WEEKLY_DATA!$A:$H,6,0)/13))),"")</f>
        <v/>
      </c>
      <c r="X613" s="10">
        <f>IFERROR(VLOOKUP(VALUE(A613),WEEKLY_DATA!$A:$H,8,0),0)</f>
        <v>0</v>
      </c>
      <c r="Y613" s="13" t="str">
        <f t="shared" si="18"/>
        <v>—</v>
      </c>
      <c r="Z613" s="11"/>
      <c r="AA613" s="11"/>
      <c r="AB613" s="11"/>
      <c r="AC613" s="11"/>
      <c r="AD613" s="11"/>
      <c r="AE613" s="11"/>
      <c r="AF613" s="61"/>
      <c r="AG613" s="61"/>
      <c r="AH613" s="62"/>
      <c r="AI613" s="62"/>
      <c r="AJ613" s="61"/>
      <c r="AK613" s="61"/>
      <c r="AL613" s="61"/>
      <c r="AM613" s="58"/>
      <c r="AN613" s="58"/>
      <c r="AO613" s="58"/>
      <c r="AP613" s="58"/>
      <c r="AQ613" s="58"/>
      <c r="AR613" s="58"/>
      <c r="AS613" s="91"/>
      <c r="AT613" s="93"/>
      <c r="AU613" s="93"/>
      <c r="AV613" s="93"/>
      <c r="AW613" s="93"/>
    </row>
    <row r="614" spans="1:49" x14ac:dyDescent="0.25">
      <c r="A614" s="59"/>
      <c r="B614" s="12"/>
      <c r="C614" s="12"/>
      <c r="D614" s="60"/>
      <c r="E614" s="6"/>
      <c r="F614" s="6"/>
      <c r="G614" s="12"/>
      <c r="H614" s="12"/>
      <c r="I614" s="12" t="str" cm="2">
        <f t="array" ref="I614">IFERROR(INDEX(BrandList!$B$2:$B$200,MATCH(TRUE,ISNUMBER(SEARCH(BrandList!$B$2:$B$200,G614)),0)),"")</f>
        <v/>
      </c>
      <c r="J614" s="12"/>
      <c r="K614" s="12"/>
      <c r="L614" s="60"/>
      <c r="M614" s="60"/>
      <c r="N614" s="60"/>
      <c r="O614" s="60"/>
      <c r="P614" s="7" t="str">
        <f t="shared" si="19"/>
        <v/>
      </c>
      <c r="Q614" s="8">
        <f>IFERROR(VLOOKUP(VALUE(A614),WEEKLY_DATA!$A:$H,2,0),0)</f>
        <v>0</v>
      </c>
      <c r="R614" s="8">
        <f>IFERROR(VLOOKUP(VALUE(A614),WEEKLY_DATA!$A:$H,3,0),0)</f>
        <v>0</v>
      </c>
      <c r="S614" s="8">
        <f>IFERROR(VLOOKUP(VALUE(A614),WEEKLY_DATA!$A:$H,4,0),0)</f>
        <v>0</v>
      </c>
      <c r="T614" s="51">
        <f>IFERROR(VLOOKUP(VALUE(A614),WEEKLY_DATA!$A:$H,5,0),0)</f>
        <v>0</v>
      </c>
      <c r="U614" s="51">
        <f>IFERROR(VLOOKUP(VALUE(A614),WEEKLY_DATA!$A:$H,6,0),0)</f>
        <v>0</v>
      </c>
      <c r="V614" s="51">
        <f>IFERROR(VLOOKUP(VALUE(A614),WEEKLY_DATA!$A:$H,7,0),0)</f>
        <v>0</v>
      </c>
      <c r="W614" s="9" t="str">
        <f>IFERROR(IF(OR(Q614="",Q614=0),"",IF(VLOOKUP(VALUE($A614),WEEKLY_DATA!$A:$H,6,0)=0,"No Sales",Q614/(VLOOKUP(VALUE($A614),WEEKLY_DATA!$A:$H,6,0)/13))),"")</f>
        <v/>
      </c>
      <c r="X614" s="10">
        <f>IFERROR(VLOOKUP(VALUE(A614),WEEKLY_DATA!$A:$H,8,0),0)</f>
        <v>0</v>
      </c>
      <c r="Y614" s="13" t="str">
        <f t="shared" si="18"/>
        <v>—</v>
      </c>
      <c r="Z614" s="11"/>
      <c r="AA614" s="11"/>
      <c r="AB614" s="11"/>
      <c r="AC614" s="11"/>
      <c r="AD614" s="11"/>
      <c r="AE614" s="11"/>
      <c r="AF614" s="61"/>
      <c r="AG614" s="61"/>
      <c r="AH614" s="62"/>
      <c r="AI614" s="62"/>
      <c r="AJ614" s="61"/>
      <c r="AK614" s="61"/>
      <c r="AL614" s="61"/>
      <c r="AM614" s="58"/>
      <c r="AN614" s="58"/>
      <c r="AO614" s="58"/>
      <c r="AP614" s="58"/>
      <c r="AQ614" s="58"/>
      <c r="AR614" s="58"/>
      <c r="AS614" s="91"/>
      <c r="AT614" s="93"/>
      <c r="AU614" s="93"/>
      <c r="AV614" s="93"/>
      <c r="AW614" s="93"/>
    </row>
    <row r="615" spans="1:49" x14ac:dyDescent="0.25">
      <c r="A615" s="59"/>
      <c r="B615" s="12"/>
      <c r="C615" s="12"/>
      <c r="D615" s="60"/>
      <c r="E615" s="6"/>
      <c r="F615" s="6"/>
      <c r="G615" s="12"/>
      <c r="H615" s="12"/>
      <c r="I615" s="12" t="str" cm="2">
        <f t="array" ref="I615">IFERROR(INDEX(BrandList!$B$2:$B$200,MATCH(TRUE,ISNUMBER(SEARCH(BrandList!$B$2:$B$200,G615)),0)),"")</f>
        <v/>
      </c>
      <c r="J615" s="12"/>
      <c r="K615" s="12"/>
      <c r="L615" s="60"/>
      <c r="M615" s="60"/>
      <c r="N615" s="60"/>
      <c r="O615" s="60"/>
      <c r="P615" s="7" t="str">
        <f t="shared" si="19"/>
        <v/>
      </c>
      <c r="Q615" s="8">
        <f>IFERROR(VLOOKUP(VALUE(A615),WEEKLY_DATA!$A:$H,2,0),0)</f>
        <v>0</v>
      </c>
      <c r="R615" s="8">
        <f>IFERROR(VLOOKUP(VALUE(A615),WEEKLY_DATA!$A:$H,3,0),0)</f>
        <v>0</v>
      </c>
      <c r="S615" s="8">
        <f>IFERROR(VLOOKUP(VALUE(A615),WEEKLY_DATA!$A:$H,4,0),0)</f>
        <v>0</v>
      </c>
      <c r="T615" s="51">
        <f>IFERROR(VLOOKUP(VALUE(A615),WEEKLY_DATA!$A:$H,5,0),0)</f>
        <v>0</v>
      </c>
      <c r="U615" s="51">
        <f>IFERROR(VLOOKUP(VALUE(A615),WEEKLY_DATA!$A:$H,6,0),0)</f>
        <v>0</v>
      </c>
      <c r="V615" s="51">
        <f>IFERROR(VLOOKUP(VALUE(A615),WEEKLY_DATA!$A:$H,7,0),0)</f>
        <v>0</v>
      </c>
      <c r="W615" s="9" t="str">
        <f>IFERROR(IF(OR(Q615="",Q615=0),"",IF(VLOOKUP(VALUE($A615),WEEKLY_DATA!$A:$H,6,0)=0,"No Sales",Q615/(VLOOKUP(VALUE($A615),WEEKLY_DATA!$A:$H,6,0)/13))),"")</f>
        <v/>
      </c>
      <c r="X615" s="10">
        <f>IFERROR(VLOOKUP(VALUE(A615),WEEKLY_DATA!$A:$H,8,0),0)</f>
        <v>0</v>
      </c>
      <c r="Y615" s="13" t="str">
        <f t="shared" si="18"/>
        <v>—</v>
      </c>
      <c r="Z615" s="11"/>
      <c r="AA615" s="11"/>
      <c r="AB615" s="11"/>
      <c r="AC615" s="11"/>
      <c r="AD615" s="11"/>
      <c r="AE615" s="11"/>
      <c r="AF615" s="61"/>
      <c r="AG615" s="61"/>
      <c r="AH615" s="62"/>
      <c r="AI615" s="62"/>
      <c r="AJ615" s="61"/>
      <c r="AK615" s="61"/>
      <c r="AL615" s="61"/>
      <c r="AM615" s="58"/>
      <c r="AN615" s="58"/>
      <c r="AO615" s="58"/>
      <c r="AP615" s="58"/>
      <c r="AQ615" s="58"/>
      <c r="AR615" s="58"/>
      <c r="AS615" s="91"/>
      <c r="AT615" s="93"/>
      <c r="AU615" s="93"/>
      <c r="AV615" s="93"/>
      <c r="AW615" s="93"/>
    </row>
    <row r="616" spans="1:49" x14ac:dyDescent="0.25">
      <c r="A616" s="59"/>
      <c r="B616" s="12"/>
      <c r="C616" s="12"/>
      <c r="D616" s="60"/>
      <c r="E616" s="6"/>
      <c r="F616" s="6"/>
      <c r="G616" s="12"/>
      <c r="H616" s="12"/>
      <c r="I616" s="12" t="str" cm="2">
        <f t="array" ref="I616">IFERROR(INDEX(BrandList!$B$2:$B$200,MATCH(TRUE,ISNUMBER(SEARCH(BrandList!$B$2:$B$200,G616)),0)),"")</f>
        <v/>
      </c>
      <c r="J616" s="12"/>
      <c r="K616" s="12"/>
      <c r="L616" s="60"/>
      <c r="M616" s="60"/>
      <c r="N616" s="60"/>
      <c r="O616" s="60"/>
      <c r="P616" s="7" t="str">
        <f t="shared" si="19"/>
        <v/>
      </c>
      <c r="Q616" s="8">
        <f>IFERROR(VLOOKUP(VALUE(A616),WEEKLY_DATA!$A:$H,2,0),0)</f>
        <v>0</v>
      </c>
      <c r="R616" s="8">
        <f>IFERROR(VLOOKUP(VALUE(A616),WEEKLY_DATA!$A:$H,3,0),0)</f>
        <v>0</v>
      </c>
      <c r="S616" s="8">
        <f>IFERROR(VLOOKUP(VALUE(A616),WEEKLY_DATA!$A:$H,4,0),0)</f>
        <v>0</v>
      </c>
      <c r="T616" s="51">
        <f>IFERROR(VLOOKUP(VALUE(A616),WEEKLY_DATA!$A:$H,5,0),0)</f>
        <v>0</v>
      </c>
      <c r="U616" s="51">
        <f>IFERROR(VLOOKUP(VALUE(A616),WEEKLY_DATA!$A:$H,6,0),0)</f>
        <v>0</v>
      </c>
      <c r="V616" s="51">
        <f>IFERROR(VLOOKUP(VALUE(A616),WEEKLY_DATA!$A:$H,7,0),0)</f>
        <v>0</v>
      </c>
      <c r="W616" s="9" t="str">
        <f>IFERROR(IF(OR(Q616="",Q616=0),"",IF(VLOOKUP(VALUE($A616),WEEKLY_DATA!$A:$H,6,0)=0,"No Sales",Q616/(VLOOKUP(VALUE($A616),WEEKLY_DATA!$A:$H,6,0)/13))),"")</f>
        <v/>
      </c>
      <c r="X616" s="10">
        <f>IFERROR(VLOOKUP(VALUE(A616),WEEKLY_DATA!$A:$H,8,0),0)</f>
        <v>0</v>
      </c>
      <c r="Y616" s="13" t="str">
        <f t="shared" si="18"/>
        <v>—</v>
      </c>
      <c r="Z616" s="11"/>
      <c r="AA616" s="11"/>
      <c r="AB616" s="11"/>
      <c r="AC616" s="11"/>
      <c r="AD616" s="11"/>
      <c r="AE616" s="11"/>
      <c r="AF616" s="61"/>
      <c r="AG616" s="61"/>
      <c r="AH616" s="62"/>
      <c r="AI616" s="62"/>
      <c r="AJ616" s="61"/>
      <c r="AK616" s="61"/>
      <c r="AL616" s="61"/>
      <c r="AM616" s="58"/>
      <c r="AN616" s="58"/>
      <c r="AO616" s="58"/>
      <c r="AP616" s="58"/>
      <c r="AQ616" s="58"/>
      <c r="AR616" s="58"/>
      <c r="AS616" s="91"/>
      <c r="AT616" s="93"/>
      <c r="AU616" s="93"/>
      <c r="AV616" s="93"/>
      <c r="AW616" s="93"/>
    </row>
    <row r="617" spans="1:49" x14ac:dyDescent="0.25">
      <c r="A617" s="59"/>
      <c r="B617" s="12"/>
      <c r="C617" s="12"/>
      <c r="D617" s="60"/>
      <c r="E617" s="6"/>
      <c r="F617" s="6"/>
      <c r="G617" s="12"/>
      <c r="H617" s="12"/>
      <c r="I617" s="12" t="str" cm="2">
        <f t="array" ref="I617">IFERROR(INDEX(BrandList!$B$2:$B$200,MATCH(TRUE,ISNUMBER(SEARCH(BrandList!$B$2:$B$200,G617)),0)),"")</f>
        <v/>
      </c>
      <c r="J617" s="12"/>
      <c r="K617" s="12"/>
      <c r="L617" s="60"/>
      <c r="M617" s="60"/>
      <c r="N617" s="60"/>
      <c r="O617" s="60"/>
      <c r="P617" s="7" t="str">
        <f t="shared" si="19"/>
        <v/>
      </c>
      <c r="Q617" s="8">
        <f>IFERROR(VLOOKUP(VALUE(A617),WEEKLY_DATA!$A:$H,2,0),0)</f>
        <v>0</v>
      </c>
      <c r="R617" s="8">
        <f>IFERROR(VLOOKUP(VALUE(A617),WEEKLY_DATA!$A:$H,3,0),0)</f>
        <v>0</v>
      </c>
      <c r="S617" s="8">
        <f>IFERROR(VLOOKUP(VALUE(A617),WEEKLY_DATA!$A:$H,4,0),0)</f>
        <v>0</v>
      </c>
      <c r="T617" s="51">
        <f>IFERROR(VLOOKUP(VALUE(A617),WEEKLY_DATA!$A:$H,5,0),0)</f>
        <v>0</v>
      </c>
      <c r="U617" s="51">
        <f>IFERROR(VLOOKUP(VALUE(A617),WEEKLY_DATA!$A:$H,6,0),0)</f>
        <v>0</v>
      </c>
      <c r="V617" s="51">
        <f>IFERROR(VLOOKUP(VALUE(A617),WEEKLY_DATA!$A:$H,7,0),0)</f>
        <v>0</v>
      </c>
      <c r="W617" s="9" t="str">
        <f>IFERROR(IF(OR(Q617="",Q617=0),"",IF(VLOOKUP(VALUE($A617),WEEKLY_DATA!$A:$H,6,0)=0,"No Sales",Q617/(VLOOKUP(VALUE($A617),WEEKLY_DATA!$A:$H,6,0)/13))),"")</f>
        <v/>
      </c>
      <c r="X617" s="10">
        <f>IFERROR(VLOOKUP(VALUE(A617),WEEKLY_DATA!$A:$H,8,0),0)</f>
        <v>0</v>
      </c>
      <c r="Y617" s="13" t="str">
        <f t="shared" si="18"/>
        <v>—</v>
      </c>
      <c r="Z617" s="11"/>
      <c r="AA617" s="11"/>
      <c r="AB617" s="11"/>
      <c r="AC617" s="11"/>
      <c r="AD617" s="11"/>
      <c r="AE617" s="11"/>
      <c r="AF617" s="61"/>
      <c r="AG617" s="61"/>
      <c r="AH617" s="62"/>
      <c r="AI617" s="62"/>
      <c r="AJ617" s="61"/>
      <c r="AK617" s="61"/>
      <c r="AL617" s="61"/>
      <c r="AM617" s="58"/>
      <c r="AN617" s="58"/>
      <c r="AO617" s="58"/>
      <c r="AP617" s="58"/>
      <c r="AQ617" s="58"/>
      <c r="AR617" s="58"/>
      <c r="AS617" s="91"/>
      <c r="AT617" s="93"/>
      <c r="AU617" s="93"/>
      <c r="AV617" s="93"/>
      <c r="AW617" s="93"/>
    </row>
    <row r="618" spans="1:49" x14ac:dyDescent="0.25">
      <c r="A618" s="59"/>
      <c r="B618" s="12"/>
      <c r="C618" s="12"/>
      <c r="D618" s="60"/>
      <c r="E618" s="6"/>
      <c r="F618" s="6"/>
      <c r="G618" s="12"/>
      <c r="H618" s="12"/>
      <c r="I618" s="12" t="str" cm="2">
        <f t="array" ref="I618">IFERROR(INDEX(BrandList!$B$2:$B$200,MATCH(TRUE,ISNUMBER(SEARCH(BrandList!$B$2:$B$200,G618)),0)),"")</f>
        <v/>
      </c>
      <c r="J618" s="12"/>
      <c r="K618" s="12"/>
      <c r="L618" s="60"/>
      <c r="M618" s="60"/>
      <c r="N618" s="60"/>
      <c r="O618" s="60"/>
      <c r="P618" s="7" t="str">
        <f t="shared" si="19"/>
        <v/>
      </c>
      <c r="Q618" s="8">
        <f>IFERROR(VLOOKUP(VALUE(A618),WEEKLY_DATA!$A:$H,2,0),0)</f>
        <v>0</v>
      </c>
      <c r="R618" s="8">
        <f>IFERROR(VLOOKUP(VALUE(A618),WEEKLY_DATA!$A:$H,3,0),0)</f>
        <v>0</v>
      </c>
      <c r="S618" s="8">
        <f>IFERROR(VLOOKUP(VALUE(A618),WEEKLY_DATA!$A:$H,4,0),0)</f>
        <v>0</v>
      </c>
      <c r="T618" s="51">
        <f>IFERROR(VLOOKUP(VALUE(A618),WEEKLY_DATA!$A:$H,5,0),0)</f>
        <v>0</v>
      </c>
      <c r="U618" s="51">
        <f>IFERROR(VLOOKUP(VALUE(A618),WEEKLY_DATA!$A:$H,6,0),0)</f>
        <v>0</v>
      </c>
      <c r="V618" s="51">
        <f>IFERROR(VLOOKUP(VALUE(A618),WEEKLY_DATA!$A:$H,7,0),0)</f>
        <v>0</v>
      </c>
      <c r="W618" s="9" t="str">
        <f>IFERROR(IF(OR(Q618="",Q618=0),"",IF(VLOOKUP(VALUE($A618),WEEKLY_DATA!$A:$H,6,0)=0,"No Sales",Q618/(VLOOKUP(VALUE($A618),WEEKLY_DATA!$A:$H,6,0)/13))),"")</f>
        <v/>
      </c>
      <c r="X618" s="10">
        <f>IFERROR(VLOOKUP(VALUE(A618),WEEKLY_DATA!$A:$H,8,0),0)</f>
        <v>0</v>
      </c>
      <c r="Y618" s="13" t="str">
        <f t="shared" si="18"/>
        <v>—</v>
      </c>
      <c r="Z618" s="11"/>
      <c r="AA618" s="11"/>
      <c r="AB618" s="11"/>
      <c r="AC618" s="11"/>
      <c r="AD618" s="11"/>
      <c r="AE618" s="11"/>
      <c r="AF618" s="61"/>
      <c r="AG618" s="61"/>
      <c r="AH618" s="62"/>
      <c r="AI618" s="62"/>
      <c r="AJ618" s="61"/>
      <c r="AK618" s="61"/>
      <c r="AL618" s="61"/>
      <c r="AM618" s="58"/>
      <c r="AN618" s="58"/>
      <c r="AO618" s="58"/>
      <c r="AP618" s="58"/>
      <c r="AQ618" s="58"/>
      <c r="AR618" s="58"/>
      <c r="AS618" s="91"/>
      <c r="AT618" s="93"/>
      <c r="AU618" s="93"/>
      <c r="AV618" s="93"/>
      <c r="AW618" s="93"/>
    </row>
    <row r="619" spans="1:49" x14ac:dyDescent="0.25">
      <c r="A619" s="59"/>
      <c r="B619" s="12"/>
      <c r="C619" s="12"/>
      <c r="D619" s="60"/>
      <c r="E619" s="6"/>
      <c r="F619" s="6"/>
      <c r="G619" s="12"/>
      <c r="H619" s="12"/>
      <c r="I619" s="12" t="str" cm="2">
        <f t="array" ref="I619">IFERROR(INDEX(BrandList!$B$2:$B$200,MATCH(TRUE,ISNUMBER(SEARCH(BrandList!$B$2:$B$200,G619)),0)),"")</f>
        <v/>
      </c>
      <c r="J619" s="12"/>
      <c r="K619" s="12"/>
      <c r="L619" s="60"/>
      <c r="M619" s="60"/>
      <c r="N619" s="60"/>
      <c r="O619" s="60"/>
      <c r="P619" s="7" t="str">
        <f t="shared" si="19"/>
        <v/>
      </c>
      <c r="Q619" s="8">
        <f>IFERROR(VLOOKUP(VALUE(A619),WEEKLY_DATA!$A:$H,2,0),0)</f>
        <v>0</v>
      </c>
      <c r="R619" s="8">
        <f>IFERROR(VLOOKUP(VALUE(A619),WEEKLY_DATA!$A:$H,3,0),0)</f>
        <v>0</v>
      </c>
      <c r="S619" s="8">
        <f>IFERROR(VLOOKUP(VALUE(A619),WEEKLY_DATA!$A:$H,4,0),0)</f>
        <v>0</v>
      </c>
      <c r="T619" s="51">
        <f>IFERROR(VLOOKUP(VALUE(A619),WEEKLY_DATA!$A:$H,5,0),0)</f>
        <v>0</v>
      </c>
      <c r="U619" s="51">
        <f>IFERROR(VLOOKUP(VALUE(A619),WEEKLY_DATA!$A:$H,6,0),0)</f>
        <v>0</v>
      </c>
      <c r="V619" s="51">
        <f>IFERROR(VLOOKUP(VALUE(A619),WEEKLY_DATA!$A:$H,7,0),0)</f>
        <v>0</v>
      </c>
      <c r="W619" s="9" t="str">
        <f>IFERROR(IF(OR(Q619="",Q619=0),"",IF(VLOOKUP(VALUE($A619),WEEKLY_DATA!$A:$H,6,0)=0,"No Sales",Q619/(VLOOKUP(VALUE($A619),WEEKLY_DATA!$A:$H,6,0)/13))),"")</f>
        <v/>
      </c>
      <c r="X619" s="10">
        <f>IFERROR(VLOOKUP(VALUE(A619),WEEKLY_DATA!$A:$H,8,0),0)</f>
        <v>0</v>
      </c>
      <c r="Y619" s="13" t="str">
        <f t="shared" si="18"/>
        <v>—</v>
      </c>
      <c r="Z619" s="11"/>
      <c r="AA619" s="11"/>
      <c r="AB619" s="11"/>
      <c r="AC619" s="11"/>
      <c r="AD619" s="11"/>
      <c r="AE619" s="11"/>
      <c r="AF619" s="61"/>
      <c r="AG619" s="61"/>
      <c r="AH619" s="62"/>
      <c r="AI619" s="62"/>
      <c r="AJ619" s="61"/>
      <c r="AK619" s="61"/>
      <c r="AL619" s="61"/>
      <c r="AM619" s="58"/>
      <c r="AN619" s="58"/>
      <c r="AO619" s="58"/>
      <c r="AP619" s="58"/>
      <c r="AQ619" s="58"/>
      <c r="AR619" s="58"/>
      <c r="AS619" s="91"/>
      <c r="AT619" s="93"/>
      <c r="AU619" s="93"/>
      <c r="AV619" s="93"/>
      <c r="AW619" s="93"/>
    </row>
    <row r="620" spans="1:49" x14ac:dyDescent="0.25">
      <c r="A620" s="59"/>
      <c r="B620" s="12"/>
      <c r="C620" s="12"/>
      <c r="D620" s="60"/>
      <c r="E620" s="6"/>
      <c r="F620" s="6"/>
      <c r="G620" s="12"/>
      <c r="H620" s="12"/>
      <c r="I620" s="12" t="str" cm="2">
        <f t="array" ref="I620">IFERROR(INDEX(BrandList!$B$2:$B$200,MATCH(TRUE,ISNUMBER(SEARCH(BrandList!$B$2:$B$200,G620)),0)),"")</f>
        <v/>
      </c>
      <c r="J620" s="12"/>
      <c r="K620" s="12"/>
      <c r="L620" s="60"/>
      <c r="M620" s="60"/>
      <c r="N620" s="60"/>
      <c r="O620" s="60"/>
      <c r="P620" s="7" t="str">
        <f t="shared" si="19"/>
        <v/>
      </c>
      <c r="Q620" s="8">
        <f>IFERROR(VLOOKUP(VALUE(A620),WEEKLY_DATA!$A:$H,2,0),0)</f>
        <v>0</v>
      </c>
      <c r="R620" s="8">
        <f>IFERROR(VLOOKUP(VALUE(A620),WEEKLY_DATA!$A:$H,3,0),0)</f>
        <v>0</v>
      </c>
      <c r="S620" s="8">
        <f>IFERROR(VLOOKUP(VALUE(A620),WEEKLY_DATA!$A:$H,4,0),0)</f>
        <v>0</v>
      </c>
      <c r="T620" s="51">
        <f>IFERROR(VLOOKUP(VALUE(A620),WEEKLY_DATA!$A:$H,5,0),0)</f>
        <v>0</v>
      </c>
      <c r="U620" s="51">
        <f>IFERROR(VLOOKUP(VALUE(A620),WEEKLY_DATA!$A:$H,6,0),0)</f>
        <v>0</v>
      </c>
      <c r="V620" s="51">
        <f>IFERROR(VLOOKUP(VALUE(A620),WEEKLY_DATA!$A:$H,7,0),0)</f>
        <v>0</v>
      </c>
      <c r="W620" s="9" t="str">
        <f>IFERROR(IF(OR(Q620="",Q620=0),"",IF(VLOOKUP(VALUE($A620),WEEKLY_DATA!$A:$H,6,0)=0,"No Sales",Q620/(VLOOKUP(VALUE($A620),WEEKLY_DATA!$A:$H,6,0)/13))),"")</f>
        <v/>
      </c>
      <c r="X620" s="10">
        <f>IFERROR(VLOOKUP(VALUE(A620),WEEKLY_DATA!$A:$H,8,0),0)</f>
        <v>0</v>
      </c>
      <c r="Y620" s="13" t="str">
        <f t="shared" si="18"/>
        <v>—</v>
      </c>
      <c r="Z620" s="11"/>
      <c r="AA620" s="11"/>
      <c r="AB620" s="11"/>
      <c r="AC620" s="11"/>
      <c r="AD620" s="11"/>
      <c r="AE620" s="11"/>
      <c r="AF620" s="61"/>
      <c r="AG620" s="61"/>
      <c r="AH620" s="62"/>
      <c r="AI620" s="62"/>
      <c r="AJ620" s="61"/>
      <c r="AK620" s="61"/>
      <c r="AL620" s="61"/>
      <c r="AM620" s="58"/>
      <c r="AN620" s="58"/>
      <c r="AO620" s="58"/>
      <c r="AP620" s="58"/>
      <c r="AQ620" s="58"/>
      <c r="AR620" s="58"/>
      <c r="AS620" s="91"/>
      <c r="AT620" s="93"/>
      <c r="AU620" s="93"/>
      <c r="AV620" s="93"/>
      <c r="AW620" s="93"/>
    </row>
    <row r="621" spans="1:49" x14ac:dyDescent="0.25">
      <c r="A621" s="59"/>
      <c r="B621" s="12"/>
      <c r="C621" s="12"/>
      <c r="D621" s="60"/>
      <c r="E621" s="6"/>
      <c r="F621" s="6"/>
      <c r="G621" s="12"/>
      <c r="H621" s="12"/>
      <c r="I621" s="12" t="str" cm="2">
        <f t="array" ref="I621">IFERROR(INDEX(BrandList!$B$2:$B$200,MATCH(TRUE,ISNUMBER(SEARCH(BrandList!$B$2:$B$200,G621)),0)),"")</f>
        <v/>
      </c>
      <c r="J621" s="12"/>
      <c r="K621" s="12"/>
      <c r="L621" s="60"/>
      <c r="M621" s="60"/>
      <c r="N621" s="60"/>
      <c r="O621" s="60"/>
      <c r="P621" s="7" t="str">
        <f t="shared" si="19"/>
        <v/>
      </c>
      <c r="Q621" s="8">
        <f>IFERROR(VLOOKUP(VALUE(A621),WEEKLY_DATA!$A:$H,2,0),0)</f>
        <v>0</v>
      </c>
      <c r="R621" s="8">
        <f>IFERROR(VLOOKUP(VALUE(A621),WEEKLY_DATA!$A:$H,3,0),0)</f>
        <v>0</v>
      </c>
      <c r="S621" s="8">
        <f>IFERROR(VLOOKUP(VALUE(A621),WEEKLY_DATA!$A:$H,4,0),0)</f>
        <v>0</v>
      </c>
      <c r="T621" s="51">
        <f>IFERROR(VLOOKUP(VALUE(A621),WEEKLY_DATA!$A:$H,5,0),0)</f>
        <v>0</v>
      </c>
      <c r="U621" s="51">
        <f>IFERROR(VLOOKUP(VALUE(A621),WEEKLY_DATA!$A:$H,6,0),0)</f>
        <v>0</v>
      </c>
      <c r="V621" s="51">
        <f>IFERROR(VLOOKUP(VALUE(A621),WEEKLY_DATA!$A:$H,7,0),0)</f>
        <v>0</v>
      </c>
      <c r="W621" s="9" t="str">
        <f>IFERROR(IF(OR(Q621="",Q621=0),"",IF(VLOOKUP(VALUE($A621),WEEKLY_DATA!$A:$H,6,0)=0,"No Sales",Q621/(VLOOKUP(VALUE($A621),WEEKLY_DATA!$A:$H,6,0)/13))),"")</f>
        <v/>
      </c>
      <c r="X621" s="10">
        <f>IFERROR(VLOOKUP(VALUE(A621),WEEKLY_DATA!$A:$H,8,0),0)</f>
        <v>0</v>
      </c>
      <c r="Y621" s="13" t="str">
        <f t="shared" si="18"/>
        <v>—</v>
      </c>
      <c r="Z621" s="11"/>
      <c r="AA621" s="11"/>
      <c r="AB621" s="11"/>
      <c r="AC621" s="11"/>
      <c r="AD621" s="11"/>
      <c r="AE621" s="11"/>
      <c r="AF621" s="61"/>
      <c r="AG621" s="61"/>
      <c r="AH621" s="62"/>
      <c r="AI621" s="62"/>
      <c r="AJ621" s="61"/>
      <c r="AK621" s="61"/>
      <c r="AL621" s="61"/>
      <c r="AM621" s="58"/>
      <c r="AN621" s="58"/>
      <c r="AO621" s="58"/>
      <c r="AP621" s="58"/>
      <c r="AQ621" s="58"/>
      <c r="AR621" s="58"/>
      <c r="AS621" s="91"/>
      <c r="AT621" s="93"/>
      <c r="AU621" s="93"/>
      <c r="AV621" s="93"/>
      <c r="AW621" s="93"/>
    </row>
    <row r="622" spans="1:49" x14ac:dyDescent="0.25">
      <c r="A622" s="59"/>
      <c r="B622" s="12"/>
      <c r="C622" s="12"/>
      <c r="D622" s="60"/>
      <c r="E622" s="6"/>
      <c r="F622" s="6"/>
      <c r="G622" s="12"/>
      <c r="H622" s="12"/>
      <c r="I622" s="12" t="str" cm="2">
        <f t="array" ref="I622">IFERROR(INDEX(BrandList!$B$2:$B$200,MATCH(TRUE,ISNUMBER(SEARCH(BrandList!$B$2:$B$200,G622)),0)),"")</f>
        <v/>
      </c>
      <c r="J622" s="12"/>
      <c r="K622" s="12"/>
      <c r="L622" s="60"/>
      <c r="M622" s="60"/>
      <c r="N622" s="60"/>
      <c r="O622" s="60"/>
      <c r="P622" s="7" t="str">
        <f t="shared" si="19"/>
        <v/>
      </c>
      <c r="Q622" s="8">
        <f>IFERROR(VLOOKUP(VALUE(A622),WEEKLY_DATA!$A:$H,2,0),0)</f>
        <v>0</v>
      </c>
      <c r="R622" s="8">
        <f>IFERROR(VLOOKUP(VALUE(A622),WEEKLY_DATA!$A:$H,3,0),0)</f>
        <v>0</v>
      </c>
      <c r="S622" s="8">
        <f>IFERROR(VLOOKUP(VALUE(A622),WEEKLY_DATA!$A:$H,4,0),0)</f>
        <v>0</v>
      </c>
      <c r="T622" s="51">
        <f>IFERROR(VLOOKUP(VALUE(A622),WEEKLY_DATA!$A:$H,5,0),0)</f>
        <v>0</v>
      </c>
      <c r="U622" s="51">
        <f>IFERROR(VLOOKUP(VALUE(A622),WEEKLY_DATA!$A:$H,6,0),0)</f>
        <v>0</v>
      </c>
      <c r="V622" s="51">
        <f>IFERROR(VLOOKUP(VALUE(A622),WEEKLY_DATA!$A:$H,7,0),0)</f>
        <v>0</v>
      </c>
      <c r="W622" s="9" t="str">
        <f>IFERROR(IF(OR(Q622="",Q622=0),"",IF(VLOOKUP(VALUE($A622),WEEKLY_DATA!$A:$H,6,0)=0,"No Sales",Q622/(VLOOKUP(VALUE($A622),WEEKLY_DATA!$A:$H,6,0)/13))),"")</f>
        <v/>
      </c>
      <c r="X622" s="10">
        <f>IFERROR(VLOOKUP(VALUE(A622),WEEKLY_DATA!$A:$H,8,0),0)</f>
        <v>0</v>
      </c>
      <c r="Y622" s="13" t="str">
        <f t="shared" si="18"/>
        <v>—</v>
      </c>
      <c r="Z622" s="11"/>
      <c r="AA622" s="11"/>
      <c r="AB622" s="11"/>
      <c r="AC622" s="11"/>
      <c r="AD622" s="11"/>
      <c r="AE622" s="11"/>
      <c r="AF622" s="61"/>
      <c r="AG622" s="61"/>
      <c r="AH622" s="62"/>
      <c r="AI622" s="62"/>
      <c r="AJ622" s="61"/>
      <c r="AK622" s="61"/>
      <c r="AL622" s="61"/>
      <c r="AM622" s="58"/>
      <c r="AN622" s="58"/>
      <c r="AO622" s="58"/>
      <c r="AP622" s="58"/>
      <c r="AQ622" s="58"/>
      <c r="AR622" s="58"/>
      <c r="AS622" s="91"/>
      <c r="AT622" s="93"/>
      <c r="AU622" s="93"/>
      <c r="AV622" s="93"/>
      <c r="AW622" s="93"/>
    </row>
    <row r="623" spans="1:49" x14ac:dyDescent="0.25">
      <c r="A623" s="59"/>
      <c r="B623" s="12"/>
      <c r="C623" s="12"/>
      <c r="D623" s="60"/>
      <c r="E623" s="6"/>
      <c r="F623" s="6"/>
      <c r="G623" s="12"/>
      <c r="H623" s="12"/>
      <c r="I623" s="12" t="str" cm="2">
        <f t="array" ref="I623">IFERROR(INDEX(BrandList!$B$2:$B$200,MATCH(TRUE,ISNUMBER(SEARCH(BrandList!$B$2:$B$200,G623)),0)),"")</f>
        <v/>
      </c>
      <c r="J623" s="12"/>
      <c r="K623" s="12"/>
      <c r="L623" s="60"/>
      <c r="M623" s="60"/>
      <c r="N623" s="60"/>
      <c r="O623" s="60"/>
      <c r="P623" s="7" t="str">
        <f t="shared" si="19"/>
        <v/>
      </c>
      <c r="Q623" s="8">
        <f>IFERROR(VLOOKUP(VALUE(A623),WEEKLY_DATA!$A:$H,2,0),0)</f>
        <v>0</v>
      </c>
      <c r="R623" s="8">
        <f>IFERROR(VLOOKUP(VALUE(A623),WEEKLY_DATA!$A:$H,3,0),0)</f>
        <v>0</v>
      </c>
      <c r="S623" s="8">
        <f>IFERROR(VLOOKUP(VALUE(A623),WEEKLY_DATA!$A:$H,4,0),0)</f>
        <v>0</v>
      </c>
      <c r="T623" s="51">
        <f>IFERROR(VLOOKUP(VALUE(A623),WEEKLY_DATA!$A:$H,5,0),0)</f>
        <v>0</v>
      </c>
      <c r="U623" s="51">
        <f>IFERROR(VLOOKUP(VALUE(A623),WEEKLY_DATA!$A:$H,6,0),0)</f>
        <v>0</v>
      </c>
      <c r="V623" s="51">
        <f>IFERROR(VLOOKUP(VALUE(A623),WEEKLY_DATA!$A:$H,7,0),0)</f>
        <v>0</v>
      </c>
      <c r="W623" s="9" t="str">
        <f>IFERROR(IF(OR(Q623="",Q623=0),"",IF(VLOOKUP(VALUE($A623),WEEKLY_DATA!$A:$H,6,0)=0,"No Sales",Q623/(VLOOKUP(VALUE($A623),WEEKLY_DATA!$A:$H,6,0)/13))),"")</f>
        <v/>
      </c>
      <c r="X623" s="10">
        <f>IFERROR(VLOOKUP(VALUE(A623),WEEKLY_DATA!$A:$H,8,0),0)</f>
        <v>0</v>
      </c>
      <c r="Y623" s="13" t="str">
        <f t="shared" si="18"/>
        <v>—</v>
      </c>
      <c r="Z623" s="11"/>
      <c r="AA623" s="11"/>
      <c r="AB623" s="11"/>
      <c r="AC623" s="11"/>
      <c r="AD623" s="11"/>
      <c r="AE623" s="11"/>
      <c r="AF623" s="61"/>
      <c r="AG623" s="61"/>
      <c r="AH623" s="62"/>
      <c r="AI623" s="62"/>
      <c r="AJ623" s="61"/>
      <c r="AK623" s="61"/>
      <c r="AL623" s="61"/>
      <c r="AM623" s="58"/>
      <c r="AN623" s="58"/>
      <c r="AO623" s="58"/>
      <c r="AP623" s="58"/>
      <c r="AQ623" s="58"/>
      <c r="AR623" s="58"/>
      <c r="AS623" s="91"/>
      <c r="AT623" s="93"/>
      <c r="AU623" s="93"/>
      <c r="AV623" s="93"/>
      <c r="AW623" s="93"/>
    </row>
    <row r="624" spans="1:49" x14ac:dyDescent="0.25">
      <c r="A624" s="59"/>
      <c r="B624" s="12"/>
      <c r="C624" s="12"/>
      <c r="D624" s="60"/>
      <c r="E624" s="6"/>
      <c r="F624" s="6"/>
      <c r="G624" s="12"/>
      <c r="H624" s="12"/>
      <c r="I624" s="12" t="str" cm="2">
        <f t="array" ref="I624">IFERROR(INDEX(BrandList!$B$2:$B$200,MATCH(TRUE,ISNUMBER(SEARCH(BrandList!$B$2:$B$200,G624)),0)),"")</f>
        <v/>
      </c>
      <c r="J624" s="12"/>
      <c r="K624" s="12"/>
      <c r="L624" s="60"/>
      <c r="M624" s="60"/>
      <c r="N624" s="60"/>
      <c r="O624" s="60"/>
      <c r="P624" s="7" t="str">
        <f t="shared" si="19"/>
        <v/>
      </c>
      <c r="Q624" s="8">
        <f>IFERROR(VLOOKUP(VALUE(A624),WEEKLY_DATA!$A:$H,2,0),0)</f>
        <v>0</v>
      </c>
      <c r="R624" s="8">
        <f>IFERROR(VLOOKUP(VALUE(A624),WEEKLY_DATA!$A:$H,3,0),0)</f>
        <v>0</v>
      </c>
      <c r="S624" s="8">
        <f>IFERROR(VLOOKUP(VALUE(A624),WEEKLY_DATA!$A:$H,4,0),0)</f>
        <v>0</v>
      </c>
      <c r="T624" s="51">
        <f>IFERROR(VLOOKUP(VALUE(A624),WEEKLY_DATA!$A:$H,5,0),0)</f>
        <v>0</v>
      </c>
      <c r="U624" s="51">
        <f>IFERROR(VLOOKUP(VALUE(A624),WEEKLY_DATA!$A:$H,6,0),0)</f>
        <v>0</v>
      </c>
      <c r="V624" s="51">
        <f>IFERROR(VLOOKUP(VALUE(A624),WEEKLY_DATA!$A:$H,7,0),0)</f>
        <v>0</v>
      </c>
      <c r="W624" s="9" t="str">
        <f>IFERROR(IF(OR(Q624="",Q624=0),"",IF(VLOOKUP(VALUE($A624),WEEKLY_DATA!$A:$H,6,0)=0,"No Sales",Q624/(VLOOKUP(VALUE($A624),WEEKLY_DATA!$A:$H,6,0)/13))),"")</f>
        <v/>
      </c>
      <c r="X624" s="10">
        <f>IFERROR(VLOOKUP(VALUE(A624),WEEKLY_DATA!$A:$H,8,0),0)</f>
        <v>0</v>
      </c>
      <c r="Y624" s="13" t="str">
        <f t="shared" si="18"/>
        <v>—</v>
      </c>
      <c r="Z624" s="11"/>
      <c r="AA624" s="11"/>
      <c r="AB624" s="11"/>
      <c r="AC624" s="11"/>
      <c r="AD624" s="11"/>
      <c r="AE624" s="11"/>
      <c r="AF624" s="61"/>
      <c r="AG624" s="61"/>
      <c r="AH624" s="62"/>
      <c r="AI624" s="62"/>
      <c r="AJ624" s="61"/>
      <c r="AK624" s="61"/>
      <c r="AL624" s="61"/>
      <c r="AM624" s="58"/>
      <c r="AN624" s="58"/>
      <c r="AO624" s="58"/>
      <c r="AP624" s="58"/>
      <c r="AQ624" s="58"/>
      <c r="AR624" s="58"/>
      <c r="AS624" s="91"/>
      <c r="AT624" s="93"/>
      <c r="AU624" s="93"/>
      <c r="AV624" s="93"/>
      <c r="AW624" s="93"/>
    </row>
    <row r="625" spans="1:49" x14ac:dyDescent="0.25">
      <c r="A625" s="59"/>
      <c r="B625" s="12"/>
      <c r="C625" s="12"/>
      <c r="D625" s="60"/>
      <c r="E625" s="6"/>
      <c r="F625" s="6"/>
      <c r="G625" s="12"/>
      <c r="H625" s="12"/>
      <c r="I625" s="12" t="str" cm="2">
        <f t="array" ref="I625">IFERROR(INDEX(BrandList!$B$2:$B$200,MATCH(TRUE,ISNUMBER(SEARCH(BrandList!$B$2:$B$200,G625)),0)),"")</f>
        <v/>
      </c>
      <c r="J625" s="12"/>
      <c r="K625" s="12"/>
      <c r="L625" s="60"/>
      <c r="M625" s="60"/>
      <c r="N625" s="60"/>
      <c r="O625" s="60"/>
      <c r="P625" s="7" t="str">
        <f t="shared" si="19"/>
        <v/>
      </c>
      <c r="Q625" s="8">
        <f>IFERROR(VLOOKUP(VALUE(A625),WEEKLY_DATA!$A:$H,2,0),0)</f>
        <v>0</v>
      </c>
      <c r="R625" s="8">
        <f>IFERROR(VLOOKUP(VALUE(A625),WEEKLY_DATA!$A:$H,3,0),0)</f>
        <v>0</v>
      </c>
      <c r="S625" s="8">
        <f>IFERROR(VLOOKUP(VALUE(A625),WEEKLY_DATA!$A:$H,4,0),0)</f>
        <v>0</v>
      </c>
      <c r="T625" s="51">
        <f>IFERROR(VLOOKUP(VALUE(A625),WEEKLY_DATA!$A:$H,5,0),0)</f>
        <v>0</v>
      </c>
      <c r="U625" s="51">
        <f>IFERROR(VLOOKUP(VALUE(A625),WEEKLY_DATA!$A:$H,6,0),0)</f>
        <v>0</v>
      </c>
      <c r="V625" s="51">
        <f>IFERROR(VLOOKUP(VALUE(A625),WEEKLY_DATA!$A:$H,7,0),0)</f>
        <v>0</v>
      </c>
      <c r="W625" s="9" t="str">
        <f>IFERROR(IF(OR(Q625="",Q625=0),"",IF(VLOOKUP(VALUE($A625),WEEKLY_DATA!$A:$H,6,0)=0,"No Sales",Q625/(VLOOKUP(VALUE($A625),WEEKLY_DATA!$A:$H,6,0)/13))),"")</f>
        <v/>
      </c>
      <c r="X625" s="10">
        <f>IFERROR(VLOOKUP(VALUE(A625),WEEKLY_DATA!$A:$H,8,0),0)</f>
        <v>0</v>
      </c>
      <c r="Y625" s="13" t="str">
        <f t="shared" si="18"/>
        <v>—</v>
      </c>
      <c r="Z625" s="11"/>
      <c r="AA625" s="11"/>
      <c r="AB625" s="11"/>
      <c r="AC625" s="11"/>
      <c r="AD625" s="11"/>
      <c r="AE625" s="11"/>
      <c r="AF625" s="61"/>
      <c r="AG625" s="61"/>
      <c r="AH625" s="62"/>
      <c r="AI625" s="62"/>
      <c r="AJ625" s="61"/>
      <c r="AK625" s="61"/>
      <c r="AL625" s="61"/>
      <c r="AM625" s="58"/>
      <c r="AN625" s="58"/>
      <c r="AO625" s="58"/>
      <c r="AP625" s="58"/>
      <c r="AQ625" s="58"/>
      <c r="AR625" s="58"/>
      <c r="AS625" s="91"/>
      <c r="AT625" s="93"/>
      <c r="AU625" s="93"/>
      <c r="AV625" s="93"/>
      <c r="AW625" s="93"/>
    </row>
    <row r="626" spans="1:49" x14ac:dyDescent="0.25">
      <c r="A626" s="59"/>
      <c r="B626" s="12"/>
      <c r="C626" s="12"/>
      <c r="D626" s="60"/>
      <c r="E626" s="6"/>
      <c r="F626" s="6"/>
      <c r="G626" s="12"/>
      <c r="H626" s="12"/>
      <c r="I626" s="12" t="str" cm="2">
        <f t="array" ref="I626">IFERROR(INDEX(BrandList!$B$2:$B$200,MATCH(TRUE,ISNUMBER(SEARCH(BrandList!$B$2:$B$200,G626)),0)),"")</f>
        <v/>
      </c>
      <c r="J626" s="12"/>
      <c r="K626" s="12"/>
      <c r="L626" s="60"/>
      <c r="M626" s="60"/>
      <c r="N626" s="60"/>
      <c r="O626" s="60"/>
      <c r="P626" s="7" t="str">
        <f t="shared" si="19"/>
        <v/>
      </c>
      <c r="Q626" s="8">
        <f>IFERROR(VLOOKUP(VALUE(A626),WEEKLY_DATA!$A:$H,2,0),0)</f>
        <v>0</v>
      </c>
      <c r="R626" s="8">
        <f>IFERROR(VLOOKUP(VALUE(A626),WEEKLY_DATA!$A:$H,3,0),0)</f>
        <v>0</v>
      </c>
      <c r="S626" s="8">
        <f>IFERROR(VLOOKUP(VALUE(A626),WEEKLY_DATA!$A:$H,4,0),0)</f>
        <v>0</v>
      </c>
      <c r="T626" s="51">
        <f>IFERROR(VLOOKUP(VALUE(A626),WEEKLY_DATA!$A:$H,5,0),0)</f>
        <v>0</v>
      </c>
      <c r="U626" s="51">
        <f>IFERROR(VLOOKUP(VALUE(A626),WEEKLY_DATA!$A:$H,6,0),0)</f>
        <v>0</v>
      </c>
      <c r="V626" s="51">
        <f>IFERROR(VLOOKUP(VALUE(A626),WEEKLY_DATA!$A:$H,7,0),0)</f>
        <v>0</v>
      </c>
      <c r="W626" s="9" t="str">
        <f>IFERROR(IF(OR(Q626="",Q626=0),"",IF(VLOOKUP(VALUE($A626),WEEKLY_DATA!$A:$H,6,0)=0,"No Sales",Q626/(VLOOKUP(VALUE($A626),WEEKLY_DATA!$A:$H,6,0)/13))),"")</f>
        <v/>
      </c>
      <c r="X626" s="10">
        <f>IFERROR(VLOOKUP(VALUE(A626),WEEKLY_DATA!$A:$H,8,0),0)</f>
        <v>0</v>
      </c>
      <c r="Y626" s="13" t="str">
        <f t="shared" si="18"/>
        <v>—</v>
      </c>
      <c r="Z626" s="11"/>
      <c r="AA626" s="11"/>
      <c r="AB626" s="11"/>
      <c r="AC626" s="11"/>
      <c r="AD626" s="11"/>
      <c r="AE626" s="11"/>
      <c r="AF626" s="61"/>
      <c r="AG626" s="61"/>
      <c r="AH626" s="62"/>
      <c r="AI626" s="62"/>
      <c r="AJ626" s="61"/>
      <c r="AK626" s="61"/>
      <c r="AL626" s="61"/>
      <c r="AM626" s="58"/>
      <c r="AN626" s="58"/>
      <c r="AO626" s="58"/>
      <c r="AP626" s="58"/>
      <c r="AQ626" s="58"/>
      <c r="AR626" s="58"/>
      <c r="AS626" s="91"/>
      <c r="AT626" s="93"/>
      <c r="AU626" s="93"/>
      <c r="AV626" s="93"/>
      <c r="AW626" s="93"/>
    </row>
    <row r="627" spans="1:49" x14ac:dyDescent="0.25">
      <c r="A627" s="59"/>
      <c r="B627" s="12"/>
      <c r="C627" s="12"/>
      <c r="D627" s="60"/>
      <c r="E627" s="6"/>
      <c r="F627" s="6"/>
      <c r="G627" s="12"/>
      <c r="H627" s="12"/>
      <c r="I627" s="12" t="str" cm="2">
        <f t="array" ref="I627">IFERROR(INDEX(BrandList!$B$2:$B$200,MATCH(TRUE,ISNUMBER(SEARCH(BrandList!$B$2:$B$200,G627)),0)),"")</f>
        <v/>
      </c>
      <c r="J627" s="12"/>
      <c r="K627" s="12"/>
      <c r="L627" s="60"/>
      <c r="M627" s="60"/>
      <c r="N627" s="60"/>
      <c r="O627" s="60"/>
      <c r="P627" s="7" t="str">
        <f t="shared" si="19"/>
        <v/>
      </c>
      <c r="Q627" s="8">
        <f>IFERROR(VLOOKUP(VALUE(A627),WEEKLY_DATA!$A:$H,2,0),0)</f>
        <v>0</v>
      </c>
      <c r="R627" s="8">
        <f>IFERROR(VLOOKUP(VALUE(A627),WEEKLY_DATA!$A:$H,3,0),0)</f>
        <v>0</v>
      </c>
      <c r="S627" s="8">
        <f>IFERROR(VLOOKUP(VALUE(A627),WEEKLY_DATA!$A:$H,4,0),0)</f>
        <v>0</v>
      </c>
      <c r="T627" s="51">
        <f>IFERROR(VLOOKUP(VALUE(A627),WEEKLY_DATA!$A:$H,5,0),0)</f>
        <v>0</v>
      </c>
      <c r="U627" s="51">
        <f>IFERROR(VLOOKUP(VALUE(A627),WEEKLY_DATA!$A:$H,6,0),0)</f>
        <v>0</v>
      </c>
      <c r="V627" s="51">
        <f>IFERROR(VLOOKUP(VALUE(A627),WEEKLY_DATA!$A:$H,7,0),0)</f>
        <v>0</v>
      </c>
      <c r="W627" s="9" t="str">
        <f>IFERROR(IF(OR(Q627="",Q627=0),"",IF(VLOOKUP(VALUE($A627),WEEKLY_DATA!$A:$H,6,0)=0,"No Sales",Q627/(VLOOKUP(VALUE($A627),WEEKLY_DATA!$A:$H,6,0)/13))),"")</f>
        <v/>
      </c>
      <c r="X627" s="10">
        <f>IFERROR(VLOOKUP(VALUE(A627),WEEKLY_DATA!$A:$H,8,0),0)</f>
        <v>0</v>
      </c>
      <c r="Y627" s="13" t="str">
        <f t="shared" si="18"/>
        <v>—</v>
      </c>
      <c r="Z627" s="11"/>
      <c r="AA627" s="11"/>
      <c r="AB627" s="11"/>
      <c r="AC627" s="11"/>
      <c r="AD627" s="11"/>
      <c r="AE627" s="11"/>
      <c r="AF627" s="61"/>
      <c r="AG627" s="61"/>
      <c r="AH627" s="62"/>
      <c r="AI627" s="62"/>
      <c r="AJ627" s="61"/>
      <c r="AK627" s="61"/>
      <c r="AL627" s="61"/>
      <c r="AM627" s="58"/>
      <c r="AN627" s="58"/>
      <c r="AO627" s="58"/>
      <c r="AP627" s="58"/>
      <c r="AQ627" s="58"/>
      <c r="AR627" s="58"/>
      <c r="AS627" s="91"/>
      <c r="AT627" s="93"/>
      <c r="AU627" s="93"/>
      <c r="AV627" s="93"/>
      <c r="AW627" s="93"/>
    </row>
    <row r="628" spans="1:49" x14ac:dyDescent="0.25">
      <c r="A628" s="59"/>
      <c r="B628" s="12"/>
      <c r="C628" s="12"/>
      <c r="D628" s="60"/>
      <c r="E628" s="6"/>
      <c r="F628" s="6"/>
      <c r="G628" s="12"/>
      <c r="H628" s="12"/>
      <c r="I628" s="12" t="str" cm="2">
        <f t="array" ref="I628">IFERROR(INDEX(BrandList!$B$2:$B$200,MATCH(TRUE,ISNUMBER(SEARCH(BrandList!$B$2:$B$200,G628)),0)),"")</f>
        <v/>
      </c>
      <c r="J628" s="12"/>
      <c r="K628" s="12"/>
      <c r="L628" s="60"/>
      <c r="M628" s="60"/>
      <c r="N628" s="60"/>
      <c r="O628" s="60"/>
      <c r="P628" s="7" t="str">
        <f t="shared" si="19"/>
        <v/>
      </c>
      <c r="Q628" s="8">
        <f>IFERROR(VLOOKUP(VALUE(A628),WEEKLY_DATA!$A:$H,2,0),0)</f>
        <v>0</v>
      </c>
      <c r="R628" s="8">
        <f>IFERROR(VLOOKUP(VALUE(A628),WEEKLY_DATA!$A:$H,3,0),0)</f>
        <v>0</v>
      </c>
      <c r="S628" s="8">
        <f>IFERROR(VLOOKUP(VALUE(A628),WEEKLY_DATA!$A:$H,4,0),0)</f>
        <v>0</v>
      </c>
      <c r="T628" s="51">
        <f>IFERROR(VLOOKUP(VALUE(A628),WEEKLY_DATA!$A:$H,5,0),0)</f>
        <v>0</v>
      </c>
      <c r="U628" s="51">
        <f>IFERROR(VLOOKUP(VALUE(A628),WEEKLY_DATA!$A:$H,6,0),0)</f>
        <v>0</v>
      </c>
      <c r="V628" s="51">
        <f>IFERROR(VLOOKUP(VALUE(A628),WEEKLY_DATA!$A:$H,7,0),0)</f>
        <v>0</v>
      </c>
      <c r="W628" s="9" t="str">
        <f>IFERROR(IF(OR(Q628="",Q628=0),"",IF(VLOOKUP(VALUE($A628),WEEKLY_DATA!$A:$H,6,0)=0,"No Sales",Q628/(VLOOKUP(VALUE($A628),WEEKLY_DATA!$A:$H,6,0)/13))),"")</f>
        <v/>
      </c>
      <c r="X628" s="10">
        <f>IFERROR(VLOOKUP(VALUE(A628),WEEKLY_DATA!$A:$H,8,0),0)</f>
        <v>0</v>
      </c>
      <c r="Y628" s="13" t="str">
        <f t="shared" si="18"/>
        <v>—</v>
      </c>
      <c r="Z628" s="11"/>
      <c r="AA628" s="11"/>
      <c r="AB628" s="11"/>
      <c r="AC628" s="11"/>
      <c r="AD628" s="11"/>
      <c r="AE628" s="11"/>
      <c r="AF628" s="61"/>
      <c r="AG628" s="61"/>
      <c r="AH628" s="62"/>
      <c r="AI628" s="62"/>
      <c r="AJ628" s="61"/>
      <c r="AK628" s="61"/>
      <c r="AL628" s="61"/>
      <c r="AM628" s="58"/>
      <c r="AN628" s="58"/>
      <c r="AO628" s="58"/>
      <c r="AP628" s="58"/>
      <c r="AQ628" s="58"/>
      <c r="AR628" s="58"/>
      <c r="AS628" s="91"/>
      <c r="AT628" s="93"/>
      <c r="AU628" s="93"/>
      <c r="AV628" s="93"/>
      <c r="AW628" s="93"/>
    </row>
    <row r="629" spans="1:49" x14ac:dyDescent="0.25">
      <c r="A629" s="59"/>
      <c r="B629" s="12"/>
      <c r="C629" s="12"/>
      <c r="D629" s="60"/>
      <c r="E629" s="6"/>
      <c r="F629" s="6"/>
      <c r="G629" s="12"/>
      <c r="H629" s="12"/>
      <c r="I629" s="12" t="str" cm="2">
        <f t="array" ref="I629">IFERROR(INDEX(BrandList!$B$2:$B$200,MATCH(TRUE,ISNUMBER(SEARCH(BrandList!$B$2:$B$200,G629)),0)),"")</f>
        <v/>
      </c>
      <c r="J629" s="12"/>
      <c r="K629" s="12"/>
      <c r="L629" s="60"/>
      <c r="M629" s="60"/>
      <c r="N629" s="60"/>
      <c r="O629" s="60"/>
      <c r="P629" s="7" t="str">
        <f t="shared" si="19"/>
        <v/>
      </c>
      <c r="Q629" s="8">
        <f>IFERROR(VLOOKUP(VALUE(A629),WEEKLY_DATA!$A:$H,2,0),0)</f>
        <v>0</v>
      </c>
      <c r="R629" s="8">
        <f>IFERROR(VLOOKUP(VALUE(A629),WEEKLY_DATA!$A:$H,3,0),0)</f>
        <v>0</v>
      </c>
      <c r="S629" s="8">
        <f>IFERROR(VLOOKUP(VALUE(A629),WEEKLY_DATA!$A:$H,4,0),0)</f>
        <v>0</v>
      </c>
      <c r="T629" s="51">
        <f>IFERROR(VLOOKUP(VALUE(A629),WEEKLY_DATA!$A:$H,5,0),0)</f>
        <v>0</v>
      </c>
      <c r="U629" s="51">
        <f>IFERROR(VLOOKUP(VALUE(A629),WEEKLY_DATA!$A:$H,6,0),0)</f>
        <v>0</v>
      </c>
      <c r="V629" s="51">
        <f>IFERROR(VLOOKUP(VALUE(A629),WEEKLY_DATA!$A:$H,7,0),0)</f>
        <v>0</v>
      </c>
      <c r="W629" s="9" t="str">
        <f>IFERROR(IF(OR(Q629="",Q629=0),"",IF(VLOOKUP(VALUE($A629),WEEKLY_DATA!$A:$H,6,0)=0,"No Sales",Q629/(VLOOKUP(VALUE($A629),WEEKLY_DATA!$A:$H,6,0)/13))),"")</f>
        <v/>
      </c>
      <c r="X629" s="10">
        <f>IFERROR(VLOOKUP(VALUE(A629),WEEKLY_DATA!$A:$H,8,0),0)</f>
        <v>0</v>
      </c>
      <c r="Y629" s="13" t="str">
        <f t="shared" si="18"/>
        <v>—</v>
      </c>
      <c r="Z629" s="11"/>
      <c r="AA629" s="11"/>
      <c r="AB629" s="11"/>
      <c r="AC629" s="11"/>
      <c r="AD629" s="11"/>
      <c r="AE629" s="11"/>
      <c r="AF629" s="61"/>
      <c r="AG629" s="61"/>
      <c r="AH629" s="62"/>
      <c r="AI629" s="62"/>
      <c r="AJ629" s="61"/>
      <c r="AK629" s="61"/>
      <c r="AL629" s="61"/>
      <c r="AM629" s="58"/>
      <c r="AN629" s="58"/>
      <c r="AO629" s="58"/>
      <c r="AP629" s="58"/>
      <c r="AQ629" s="58"/>
      <c r="AR629" s="58"/>
      <c r="AS629" s="91"/>
      <c r="AT629" s="93"/>
      <c r="AU629" s="93"/>
      <c r="AV629" s="93"/>
      <c r="AW629" s="93"/>
    </row>
    <row r="630" spans="1:49" x14ac:dyDescent="0.25">
      <c r="A630" s="59"/>
      <c r="B630" s="12"/>
      <c r="C630" s="12"/>
      <c r="D630" s="60"/>
      <c r="E630" s="6"/>
      <c r="F630" s="6"/>
      <c r="G630" s="12"/>
      <c r="H630" s="12"/>
      <c r="I630" s="12" t="str" cm="2">
        <f t="array" ref="I630">IFERROR(INDEX(BrandList!$B$2:$B$200,MATCH(TRUE,ISNUMBER(SEARCH(BrandList!$B$2:$B$200,G630)),0)),"")</f>
        <v/>
      </c>
      <c r="J630" s="12"/>
      <c r="K630" s="12"/>
      <c r="L630" s="60"/>
      <c r="M630" s="60"/>
      <c r="N630" s="60"/>
      <c r="O630" s="60"/>
      <c r="P630" s="7" t="str">
        <f t="shared" si="19"/>
        <v/>
      </c>
      <c r="Q630" s="8">
        <f>IFERROR(VLOOKUP(VALUE(A630),WEEKLY_DATA!$A:$H,2,0),0)</f>
        <v>0</v>
      </c>
      <c r="R630" s="8">
        <f>IFERROR(VLOOKUP(VALUE(A630),WEEKLY_DATA!$A:$H,3,0),0)</f>
        <v>0</v>
      </c>
      <c r="S630" s="8">
        <f>IFERROR(VLOOKUP(VALUE(A630),WEEKLY_DATA!$A:$H,4,0),0)</f>
        <v>0</v>
      </c>
      <c r="T630" s="51">
        <f>IFERROR(VLOOKUP(VALUE(A630),WEEKLY_DATA!$A:$H,5,0),0)</f>
        <v>0</v>
      </c>
      <c r="U630" s="51">
        <f>IFERROR(VLOOKUP(VALUE(A630),WEEKLY_DATA!$A:$H,6,0),0)</f>
        <v>0</v>
      </c>
      <c r="V630" s="51">
        <f>IFERROR(VLOOKUP(VALUE(A630),WEEKLY_DATA!$A:$H,7,0),0)</f>
        <v>0</v>
      </c>
      <c r="W630" s="9" t="str">
        <f>IFERROR(IF(OR(Q630="",Q630=0),"",IF(VLOOKUP(VALUE($A630),WEEKLY_DATA!$A:$H,6,0)=0,"No Sales",Q630/(VLOOKUP(VALUE($A630),WEEKLY_DATA!$A:$H,6,0)/13))),"")</f>
        <v/>
      </c>
      <c r="X630" s="10">
        <f>IFERROR(VLOOKUP(VALUE(A630),WEEKLY_DATA!$A:$H,8,0),0)</f>
        <v>0</v>
      </c>
      <c r="Y630" s="13" t="str">
        <f t="shared" si="18"/>
        <v>—</v>
      </c>
      <c r="Z630" s="11"/>
      <c r="AA630" s="11"/>
      <c r="AB630" s="11"/>
      <c r="AC630" s="11"/>
      <c r="AD630" s="11"/>
      <c r="AE630" s="11"/>
      <c r="AF630" s="61"/>
      <c r="AG630" s="61"/>
      <c r="AH630" s="62"/>
      <c r="AI630" s="62"/>
      <c r="AJ630" s="61"/>
      <c r="AK630" s="61"/>
      <c r="AL630" s="61"/>
      <c r="AM630" s="58"/>
      <c r="AN630" s="58"/>
      <c r="AO630" s="58"/>
      <c r="AP630" s="58"/>
      <c r="AQ630" s="58"/>
      <c r="AR630" s="58"/>
      <c r="AS630" s="91"/>
      <c r="AT630" s="93"/>
      <c r="AU630" s="93"/>
      <c r="AV630" s="93"/>
      <c r="AW630" s="93"/>
    </row>
    <row r="631" spans="1:49" x14ac:dyDescent="0.25">
      <c r="A631" s="59"/>
      <c r="B631" s="12"/>
      <c r="C631" s="12"/>
      <c r="D631" s="60"/>
      <c r="E631" s="6"/>
      <c r="F631" s="6"/>
      <c r="G631" s="12"/>
      <c r="H631" s="12"/>
      <c r="I631" s="12" t="str" cm="2">
        <f t="array" ref="I631">IFERROR(INDEX(BrandList!$B$2:$B$200,MATCH(TRUE,ISNUMBER(SEARCH(BrandList!$B$2:$B$200,G631)),0)),"")</f>
        <v/>
      </c>
      <c r="J631" s="12"/>
      <c r="K631" s="12"/>
      <c r="L631" s="60"/>
      <c r="M631" s="60"/>
      <c r="N631" s="60"/>
      <c r="O631" s="60"/>
      <c r="P631" s="7" t="str">
        <f t="shared" si="19"/>
        <v/>
      </c>
      <c r="Q631" s="8">
        <f>IFERROR(VLOOKUP(VALUE(A631),WEEKLY_DATA!$A:$H,2,0),0)</f>
        <v>0</v>
      </c>
      <c r="R631" s="8">
        <f>IFERROR(VLOOKUP(VALUE(A631),WEEKLY_DATA!$A:$H,3,0),0)</f>
        <v>0</v>
      </c>
      <c r="S631" s="8">
        <f>IFERROR(VLOOKUP(VALUE(A631),WEEKLY_DATA!$A:$H,4,0),0)</f>
        <v>0</v>
      </c>
      <c r="T631" s="51">
        <f>IFERROR(VLOOKUP(VALUE(A631),WEEKLY_DATA!$A:$H,5,0),0)</f>
        <v>0</v>
      </c>
      <c r="U631" s="51">
        <f>IFERROR(VLOOKUP(VALUE(A631),WEEKLY_DATA!$A:$H,6,0),0)</f>
        <v>0</v>
      </c>
      <c r="V631" s="51">
        <f>IFERROR(VLOOKUP(VALUE(A631),WEEKLY_DATA!$A:$H,7,0),0)</f>
        <v>0</v>
      </c>
      <c r="W631" s="9" t="str">
        <f>IFERROR(IF(OR(Q631="",Q631=0),"",IF(VLOOKUP(VALUE($A631),WEEKLY_DATA!$A:$H,6,0)=0,"No Sales",Q631/(VLOOKUP(VALUE($A631),WEEKLY_DATA!$A:$H,6,0)/13))),"")</f>
        <v/>
      </c>
      <c r="X631" s="10">
        <f>IFERROR(VLOOKUP(VALUE(A631),WEEKLY_DATA!$A:$H,8,0),0)</f>
        <v>0</v>
      </c>
      <c r="Y631" s="13" t="str">
        <f t="shared" si="18"/>
        <v>—</v>
      </c>
      <c r="Z631" s="11"/>
      <c r="AA631" s="11"/>
      <c r="AB631" s="11"/>
      <c r="AC631" s="11"/>
      <c r="AD631" s="11"/>
      <c r="AE631" s="11"/>
      <c r="AF631" s="61"/>
      <c r="AG631" s="61"/>
      <c r="AH631" s="62"/>
      <c r="AI631" s="62"/>
      <c r="AJ631" s="61"/>
      <c r="AK631" s="61"/>
      <c r="AL631" s="61"/>
      <c r="AM631" s="58"/>
      <c r="AN631" s="58"/>
      <c r="AO631" s="58"/>
      <c r="AP631" s="58"/>
      <c r="AQ631" s="58"/>
      <c r="AR631" s="58"/>
      <c r="AS631" s="91"/>
      <c r="AT631" s="93"/>
      <c r="AU631" s="93"/>
      <c r="AV631" s="93"/>
      <c r="AW631" s="93"/>
    </row>
    <row r="632" spans="1:49" x14ac:dyDescent="0.25">
      <c r="A632" s="59"/>
      <c r="B632" s="12"/>
      <c r="C632" s="12"/>
      <c r="D632" s="60"/>
      <c r="E632" s="6"/>
      <c r="F632" s="6"/>
      <c r="G632" s="12"/>
      <c r="H632" s="12"/>
      <c r="I632" s="12" t="str" cm="2">
        <f t="array" ref="I632">IFERROR(INDEX(BrandList!$B$2:$B$200,MATCH(TRUE,ISNUMBER(SEARCH(BrandList!$B$2:$B$200,G632)),0)),"")</f>
        <v/>
      </c>
      <c r="J632" s="12"/>
      <c r="K632" s="12"/>
      <c r="L632" s="60"/>
      <c r="M632" s="60"/>
      <c r="N632" s="60"/>
      <c r="O632" s="60"/>
      <c r="P632" s="7" t="str">
        <f t="shared" si="19"/>
        <v/>
      </c>
      <c r="Q632" s="8">
        <f>IFERROR(VLOOKUP(VALUE(A632),WEEKLY_DATA!$A:$H,2,0),0)</f>
        <v>0</v>
      </c>
      <c r="R632" s="8">
        <f>IFERROR(VLOOKUP(VALUE(A632),WEEKLY_DATA!$A:$H,3,0),0)</f>
        <v>0</v>
      </c>
      <c r="S632" s="8">
        <f>IFERROR(VLOOKUP(VALUE(A632),WEEKLY_DATA!$A:$H,4,0),0)</f>
        <v>0</v>
      </c>
      <c r="T632" s="51">
        <f>IFERROR(VLOOKUP(VALUE(A632),WEEKLY_DATA!$A:$H,5,0),0)</f>
        <v>0</v>
      </c>
      <c r="U632" s="51">
        <f>IFERROR(VLOOKUP(VALUE(A632),WEEKLY_DATA!$A:$H,6,0),0)</f>
        <v>0</v>
      </c>
      <c r="V632" s="51">
        <f>IFERROR(VLOOKUP(VALUE(A632),WEEKLY_DATA!$A:$H,7,0),0)</f>
        <v>0</v>
      </c>
      <c r="W632" s="9" t="str">
        <f>IFERROR(IF(OR(Q632="",Q632=0),"",IF(VLOOKUP(VALUE($A632),WEEKLY_DATA!$A:$H,6,0)=0,"No Sales",Q632/(VLOOKUP(VALUE($A632),WEEKLY_DATA!$A:$H,6,0)/13))),"")</f>
        <v/>
      </c>
      <c r="X632" s="10">
        <f>IFERROR(VLOOKUP(VALUE(A632),WEEKLY_DATA!$A:$H,8,0),0)</f>
        <v>0</v>
      </c>
      <c r="Y632" s="13" t="str">
        <f t="shared" si="18"/>
        <v>—</v>
      </c>
      <c r="Z632" s="11"/>
      <c r="AA632" s="11"/>
      <c r="AB632" s="11"/>
      <c r="AC632" s="11"/>
      <c r="AD632" s="11"/>
      <c r="AE632" s="11"/>
      <c r="AF632" s="61"/>
      <c r="AG632" s="61"/>
      <c r="AH632" s="62"/>
      <c r="AI632" s="62"/>
      <c r="AJ632" s="61"/>
      <c r="AK632" s="61"/>
      <c r="AL632" s="61"/>
      <c r="AM632" s="58"/>
      <c r="AN632" s="58"/>
      <c r="AO632" s="58"/>
      <c r="AP632" s="58"/>
      <c r="AQ632" s="58"/>
      <c r="AR632" s="58"/>
      <c r="AS632" s="91"/>
      <c r="AT632" s="93"/>
      <c r="AU632" s="93"/>
      <c r="AV632" s="93"/>
      <c r="AW632" s="93"/>
    </row>
    <row r="633" spans="1:49" x14ac:dyDescent="0.25">
      <c r="A633" s="59"/>
      <c r="B633" s="12"/>
      <c r="C633" s="12"/>
      <c r="D633" s="60"/>
      <c r="E633" s="6"/>
      <c r="F633" s="6"/>
      <c r="G633" s="12"/>
      <c r="H633" s="12"/>
      <c r="I633" s="12" t="str" cm="2">
        <f t="array" ref="I633">IFERROR(INDEX(BrandList!$B$2:$B$200,MATCH(TRUE,ISNUMBER(SEARCH(BrandList!$B$2:$B$200,G633)),0)),"")</f>
        <v/>
      </c>
      <c r="J633" s="12"/>
      <c r="K633" s="12"/>
      <c r="L633" s="60"/>
      <c r="M633" s="60"/>
      <c r="N633" s="60"/>
      <c r="O633" s="60"/>
      <c r="P633" s="7" t="str">
        <f t="shared" si="19"/>
        <v/>
      </c>
      <c r="Q633" s="8">
        <f>IFERROR(VLOOKUP(VALUE(A633),WEEKLY_DATA!$A:$H,2,0),0)</f>
        <v>0</v>
      </c>
      <c r="R633" s="8">
        <f>IFERROR(VLOOKUP(VALUE(A633),WEEKLY_DATA!$A:$H,3,0),0)</f>
        <v>0</v>
      </c>
      <c r="S633" s="8">
        <f>IFERROR(VLOOKUP(VALUE(A633),WEEKLY_DATA!$A:$H,4,0),0)</f>
        <v>0</v>
      </c>
      <c r="T633" s="51">
        <f>IFERROR(VLOOKUP(VALUE(A633),WEEKLY_DATA!$A:$H,5,0),0)</f>
        <v>0</v>
      </c>
      <c r="U633" s="51">
        <f>IFERROR(VLOOKUP(VALUE(A633),WEEKLY_DATA!$A:$H,6,0),0)</f>
        <v>0</v>
      </c>
      <c r="V633" s="51">
        <f>IFERROR(VLOOKUP(VALUE(A633),WEEKLY_DATA!$A:$H,7,0),0)</f>
        <v>0</v>
      </c>
      <c r="W633" s="9" t="str">
        <f>IFERROR(IF(OR(Q633="",Q633=0),"",IF(VLOOKUP(VALUE($A633),WEEKLY_DATA!$A:$H,6,0)=0,"No Sales",Q633/(VLOOKUP(VALUE($A633),WEEKLY_DATA!$A:$H,6,0)/13))),"")</f>
        <v/>
      </c>
      <c r="X633" s="10">
        <f>IFERROR(VLOOKUP(VALUE(A633),WEEKLY_DATA!$A:$H,8,0),0)</f>
        <v>0</v>
      </c>
      <c r="Y633" s="13" t="str">
        <f t="shared" si="18"/>
        <v>—</v>
      </c>
      <c r="Z633" s="11"/>
      <c r="AA633" s="11"/>
      <c r="AB633" s="11"/>
      <c r="AC633" s="11"/>
      <c r="AD633" s="11"/>
      <c r="AE633" s="11"/>
      <c r="AF633" s="61"/>
      <c r="AG633" s="61"/>
      <c r="AH633" s="62"/>
      <c r="AI633" s="62"/>
      <c r="AJ633" s="61"/>
      <c r="AK633" s="61"/>
      <c r="AL633" s="61"/>
      <c r="AM633" s="58"/>
      <c r="AN633" s="58"/>
      <c r="AO633" s="58"/>
      <c r="AP633" s="58"/>
      <c r="AQ633" s="58"/>
      <c r="AR633" s="58"/>
      <c r="AS633" s="91"/>
      <c r="AT633" s="93"/>
      <c r="AU633" s="93"/>
      <c r="AV633" s="93"/>
      <c r="AW633" s="93"/>
    </row>
    <row r="634" spans="1:49" x14ac:dyDescent="0.25">
      <c r="A634" s="59"/>
      <c r="B634" s="12"/>
      <c r="C634" s="12"/>
      <c r="D634" s="60"/>
      <c r="E634" s="6"/>
      <c r="F634" s="6"/>
      <c r="G634" s="12"/>
      <c r="H634" s="12"/>
      <c r="I634" s="12" t="str" cm="2">
        <f t="array" ref="I634">IFERROR(INDEX(BrandList!$B$2:$B$200,MATCH(TRUE,ISNUMBER(SEARCH(BrandList!$B$2:$B$200,G634)),0)),"")</f>
        <v/>
      </c>
      <c r="J634" s="12"/>
      <c r="K634" s="12"/>
      <c r="L634" s="60"/>
      <c r="M634" s="60"/>
      <c r="N634" s="60"/>
      <c r="O634" s="60"/>
      <c r="P634" s="7" t="str">
        <f t="shared" si="19"/>
        <v/>
      </c>
      <c r="Q634" s="8">
        <f>IFERROR(VLOOKUP(VALUE(A634),WEEKLY_DATA!$A:$H,2,0),0)</f>
        <v>0</v>
      </c>
      <c r="R634" s="8">
        <f>IFERROR(VLOOKUP(VALUE(A634),WEEKLY_DATA!$A:$H,3,0),0)</f>
        <v>0</v>
      </c>
      <c r="S634" s="8">
        <f>IFERROR(VLOOKUP(VALUE(A634),WEEKLY_DATA!$A:$H,4,0),0)</f>
        <v>0</v>
      </c>
      <c r="T634" s="51">
        <f>IFERROR(VLOOKUP(VALUE(A634),WEEKLY_DATA!$A:$H,5,0),0)</f>
        <v>0</v>
      </c>
      <c r="U634" s="51">
        <f>IFERROR(VLOOKUP(VALUE(A634),WEEKLY_DATA!$A:$H,6,0),0)</f>
        <v>0</v>
      </c>
      <c r="V634" s="51">
        <f>IFERROR(VLOOKUP(VALUE(A634),WEEKLY_DATA!$A:$H,7,0),0)</f>
        <v>0</v>
      </c>
      <c r="W634" s="9" t="str">
        <f>IFERROR(IF(OR(Q634="",Q634=0),"",IF(VLOOKUP(VALUE($A634),WEEKLY_DATA!$A:$H,6,0)=0,"No Sales",Q634/(VLOOKUP(VALUE($A634),WEEKLY_DATA!$A:$H,6,0)/13))),"")</f>
        <v/>
      </c>
      <c r="X634" s="10">
        <f>IFERROR(VLOOKUP(VALUE(A634),WEEKLY_DATA!$A:$H,8,0),0)</f>
        <v>0</v>
      </c>
      <c r="Y634" s="13" t="str">
        <f t="shared" si="18"/>
        <v>—</v>
      </c>
      <c r="Z634" s="11"/>
      <c r="AA634" s="11"/>
      <c r="AB634" s="11"/>
      <c r="AC634" s="11"/>
      <c r="AD634" s="11"/>
      <c r="AE634" s="11"/>
      <c r="AF634" s="61"/>
      <c r="AG634" s="61"/>
      <c r="AH634" s="62"/>
      <c r="AI634" s="62"/>
      <c r="AJ634" s="61"/>
      <c r="AK634" s="61"/>
      <c r="AL634" s="61"/>
      <c r="AM634" s="58"/>
      <c r="AN634" s="58"/>
      <c r="AO634" s="58"/>
      <c r="AP634" s="58"/>
      <c r="AQ634" s="58"/>
      <c r="AR634" s="58"/>
      <c r="AS634" s="91"/>
      <c r="AT634" s="93"/>
      <c r="AU634" s="93"/>
      <c r="AV634" s="93"/>
      <c r="AW634" s="93"/>
    </row>
    <row r="635" spans="1:49" x14ac:dyDescent="0.25">
      <c r="A635" s="59"/>
      <c r="B635" s="12"/>
      <c r="C635" s="12"/>
      <c r="D635" s="60"/>
      <c r="E635" s="6"/>
      <c r="F635" s="6"/>
      <c r="G635" s="12"/>
      <c r="H635" s="12"/>
      <c r="I635" s="12" t="str" cm="2">
        <f t="array" ref="I635">IFERROR(INDEX(BrandList!$B$2:$B$200,MATCH(TRUE,ISNUMBER(SEARCH(BrandList!$B$2:$B$200,G635)),0)),"")</f>
        <v/>
      </c>
      <c r="J635" s="12"/>
      <c r="K635" s="12"/>
      <c r="L635" s="60"/>
      <c r="M635" s="60"/>
      <c r="N635" s="60"/>
      <c r="O635" s="60"/>
      <c r="P635" s="7" t="str">
        <f t="shared" si="19"/>
        <v/>
      </c>
      <c r="Q635" s="8">
        <f>IFERROR(VLOOKUP(VALUE(A635),WEEKLY_DATA!$A:$H,2,0),0)</f>
        <v>0</v>
      </c>
      <c r="R635" s="8">
        <f>IFERROR(VLOOKUP(VALUE(A635),WEEKLY_DATA!$A:$H,3,0),0)</f>
        <v>0</v>
      </c>
      <c r="S635" s="8">
        <f>IFERROR(VLOOKUP(VALUE(A635),WEEKLY_DATA!$A:$H,4,0),0)</f>
        <v>0</v>
      </c>
      <c r="T635" s="51">
        <f>IFERROR(VLOOKUP(VALUE(A635),WEEKLY_DATA!$A:$H,5,0),0)</f>
        <v>0</v>
      </c>
      <c r="U635" s="51">
        <f>IFERROR(VLOOKUP(VALUE(A635),WEEKLY_DATA!$A:$H,6,0),0)</f>
        <v>0</v>
      </c>
      <c r="V635" s="51">
        <f>IFERROR(VLOOKUP(VALUE(A635),WEEKLY_DATA!$A:$H,7,0),0)</f>
        <v>0</v>
      </c>
      <c r="W635" s="9" t="str">
        <f>IFERROR(IF(OR(Q635="",Q635=0),"",IF(VLOOKUP(VALUE($A635),WEEKLY_DATA!$A:$H,6,0)=0,"No Sales",Q635/(VLOOKUP(VALUE($A635),WEEKLY_DATA!$A:$H,6,0)/13))),"")</f>
        <v/>
      </c>
      <c r="X635" s="10">
        <f>IFERROR(VLOOKUP(VALUE(A635),WEEKLY_DATA!$A:$H,8,0),0)</f>
        <v>0</v>
      </c>
      <c r="Y635" s="13" t="str">
        <f t="shared" si="18"/>
        <v>—</v>
      </c>
      <c r="Z635" s="11"/>
      <c r="AA635" s="11"/>
      <c r="AB635" s="11"/>
      <c r="AC635" s="11"/>
      <c r="AD635" s="11"/>
      <c r="AE635" s="11"/>
      <c r="AF635" s="61"/>
      <c r="AG635" s="61"/>
      <c r="AH635" s="62"/>
      <c r="AI635" s="62"/>
      <c r="AJ635" s="61"/>
      <c r="AK635" s="61"/>
      <c r="AL635" s="61"/>
      <c r="AM635" s="58"/>
      <c r="AN635" s="58"/>
      <c r="AO635" s="58"/>
      <c r="AP635" s="58"/>
      <c r="AQ635" s="58"/>
      <c r="AR635" s="58"/>
      <c r="AS635" s="91"/>
      <c r="AT635" s="93"/>
      <c r="AU635" s="93"/>
      <c r="AV635" s="93"/>
      <c r="AW635" s="93"/>
    </row>
  </sheetData>
  <customSheetViews>
    <customSheetView guid="{FE60293F-D66D-444E-A1CD-0D97CF17EBD5}" showGridLines="0" showAutoFilter="1">
      <pane xSplit="2" ySplit="3" topLeftCell="C4" activePane="bottomRight" state="frozen"/>
      <selection pane="bottomRight" activeCell="G6" sqref="G6"/>
      <pageMargins left="0.75" right="0.75" top="1" bottom="1" header="0.511811023622047" footer="0.511811023622047"/>
      <pageSetup paperSize="9" orientation="portrait" horizontalDpi="300" verticalDpi="300"/>
      <autoFilter ref="A4:AP234" xr:uid="{3FEC2F65-1C0D-4BE2-B312-9B384C122940}"/>
    </customSheetView>
    <customSheetView guid="{3301D7ED-6574-40EB-BC76-168E5F04FB0F}" scale="90" showGridLines="0" showAutoFilter="1">
      <pane xSplit="5" ySplit="3" topLeftCell="F225" activePane="bottomRight" state="frozen"/>
      <selection pane="bottomRight" activeCell="G231" sqref="G231"/>
      <pageMargins left="0.75" right="0.75" top="1" bottom="1" header="0.511811023622047" footer="0.511811023622047"/>
      <pageSetup paperSize="9" orientation="portrait" horizontalDpi="300" verticalDpi="300"/>
      <autoFilter ref="A4:AI234" xr:uid="{00411744-70DA-4553-B5D1-6590C2F163ED}">
        <sortState xmlns:xlrd2="http://schemas.microsoft.com/office/spreadsheetml/2017/richdata2" ref="A6:AI234">
          <sortCondition ref="F4:F243"/>
        </sortState>
      </autoFilter>
    </customSheetView>
    <customSheetView guid="{747C58B5-1285-44D2-9D58-49973DC73188}" scale="130" showGridLines="0" showAutoFilter="1">
      <pane xSplit="3" ySplit="3" topLeftCell="D4" activePane="bottomRight" state="frozen"/>
      <selection pane="bottomRight" activeCell="A218" sqref="A218:XFD218"/>
      <pageMargins left="0.75" right="0.75" top="1" bottom="1" header="0.511811023622047" footer="0.511811023622047"/>
      <pageSetup paperSize="9" orientation="portrait" horizontalDpi="300" verticalDpi="300"/>
      <autoFilter ref="A4:AI217" xr:uid="{D70D039C-2718-41AA-8603-6FDF29B1234D}">
        <sortState xmlns:xlrd2="http://schemas.microsoft.com/office/spreadsheetml/2017/richdata2" ref="A6:AI217">
          <sortCondition ref="G4:G217"/>
        </sortState>
      </autoFilter>
    </customSheetView>
    <customSheetView guid="{BFC23A99-8068-4F7A-A3EF-B0436B22DBB2}" scale="130" showGridLines="0" filter="1" showAutoFilter="1">
      <pane xSplit="3" ySplit="3" topLeftCell="G4" activePane="bottomRight" state="frozen"/>
      <selection pane="bottomRight" activeCell="A4" sqref="A4:XFD4"/>
      <pageMargins left="0.75" right="0.75" top="1" bottom="1" header="0.511811023622047" footer="0.511811023622047"/>
      <pageSetup paperSize="9" orientation="portrait" horizontalDpi="300" verticalDpi="300"/>
      <autoFilter ref="A4:AP234" xr:uid="{2B52504E-BC30-4E9E-BCA7-86AC351CE5A7}">
        <filterColumn colId="7">
          <filters>
            <filter val="Microsoft"/>
          </filters>
        </filterColumn>
        <filterColumn colId="8">
          <filters>
            <filter val="Gaming Laptop"/>
            <filter val="Laptop"/>
          </filters>
        </filterColumn>
      </autoFilter>
    </customSheetView>
    <customSheetView guid="{051F7B8E-8887-4F7C-BE84-39381F59BBAB}" scale="56" showGridLines="0" showAutoFilter="1">
      <pane xSplit="3" ySplit="3" topLeftCell="D4" activePane="bottomRight" state="frozen"/>
      <selection pane="bottomRight" activeCell="C8" sqref="C8"/>
      <pageMargins left="0.75" right="0.75" top="1" bottom="1" header="0.511811023622047" footer="0.511811023622047"/>
      <pageSetup paperSize="9" orientation="portrait" horizontalDpi="300" verticalDpi="300"/>
      <autoFilter ref="A4:AI234" xr:uid="{2172D59F-F314-4CBC-8A2B-3ED3567A39AD}">
        <sortState xmlns:xlrd2="http://schemas.microsoft.com/office/spreadsheetml/2017/richdata2" ref="A6:AI234">
          <sortCondition ref="F4:F243"/>
        </sortState>
      </autoFilter>
    </customSheetView>
  </customSheetViews>
  <mergeCells count="7">
    <mergeCell ref="AT3:AW3"/>
    <mergeCell ref="A1:AL1"/>
    <mergeCell ref="A3:K3"/>
    <mergeCell ref="Y3:AE3"/>
    <mergeCell ref="AF3:AL3"/>
    <mergeCell ref="P3:X3"/>
    <mergeCell ref="A2:G2"/>
  </mergeCells>
  <conditionalFormatting sqref="Y4:Y635">
    <cfRule type="expression" dxfId="14" priority="27">
      <formula>LEFT(Y4,2)="🔴"</formula>
    </cfRule>
    <cfRule type="expression" dxfId="13" priority="28">
      <formula>LEFT(Y4,2)="🟡"</formula>
    </cfRule>
    <cfRule type="expression" dxfId="12" priority="29">
      <formula>LEFT(Y4,2)="🟢"</formula>
    </cfRule>
    <cfRule type="expression" dxfId="11" priority="30">
      <formula>LEFT(Y4,2)="🔵"</formula>
    </cfRule>
    <cfRule type="expression" dxfId="10" priority="31">
      <formula>LEFT(Y4,2)="🆕"</formula>
    </cfRule>
  </conditionalFormatting>
  <conditionalFormatting sqref="A1:A4 A16:A1048576">
    <cfRule type="duplicateValues" dxfId="9" priority="25"/>
  </conditionalFormatting>
  <conditionalFormatting sqref="A7:A15">
    <cfRule type="duplicateValues" dxfId="8" priority="2"/>
  </conditionalFormatting>
  <conditionalFormatting sqref="A5:A6">
    <cfRule type="duplicateValues" dxfId="7" priority="1"/>
  </conditionalFormatting>
  <conditionalFormatting sqref="K154:O154">
    <cfRule type="duplicateValues" dxfId="6" priority="32"/>
  </conditionalFormatting>
  <conditionalFormatting sqref="K60:O60">
    <cfRule type="duplicateValues" dxfId="5" priority="36"/>
  </conditionalFormatting>
  <conditionalFormatting sqref="K188:O188">
    <cfRule type="duplicateValues" dxfId="4" priority="40"/>
  </conditionalFormatting>
  <conditionalFormatting sqref="K136:O136">
    <cfRule type="duplicateValues" dxfId="3" priority="44"/>
  </conditionalFormatting>
  <conditionalFormatting sqref="K115:O115">
    <cfRule type="duplicateValues" dxfId="2" priority="48"/>
  </conditionalFormatting>
  <conditionalFormatting sqref="K37:O37">
    <cfRule type="duplicateValues" dxfId="1" priority="52"/>
  </conditionalFormatting>
  <conditionalFormatting sqref="K135:O135">
    <cfRule type="duplicateValues" dxfId="0" priority="56"/>
  </conditionalFormatting>
  <dataValidations disablePrompts="1" count="1">
    <dataValidation type="list" allowBlank="1" sqref="J4:J192" xr:uid="{00000000-0002-0000-0000-000000000000}">
      <formula1>"Active,Discontinued,New,Seasonal"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Button">
                <anchor moveWithCells="1" sizeWithCells="1">
                  <from>
                    <xdr:col>6</xdr:col>
                    <xdr:colOff>1028700</xdr:colOff>
                    <xdr:row>0</xdr:row>
                    <xdr:rowOff>66675</xdr:rowOff>
                  </from>
                  <to>
                    <xdr:col>6</xdr:col>
                    <xdr:colOff>2552700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WeeklyData">
                <anchor moveWithCells="1" sizeWithCells="1">
                  <from>
                    <xdr:col>6</xdr:col>
                    <xdr:colOff>2914650</xdr:colOff>
                    <xdr:row>0</xdr:row>
                    <xdr:rowOff>47625</xdr:rowOff>
                  </from>
                  <to>
                    <xdr:col>6</xdr:col>
                    <xdr:colOff>4448175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A5A1A"/>
  </sheetPr>
  <dimension ref="A1:P21"/>
  <sheetViews>
    <sheetView showGridLines="0" workbookViewId="0">
      <selection activeCell="A8" sqref="A8:A21"/>
    </sheetView>
  </sheetViews>
  <sheetFormatPr defaultColWidth="8.7109375" defaultRowHeight="15" x14ac:dyDescent="0.25"/>
  <cols>
    <col min="1" max="1" width="12.28515625" bestFit="1" customWidth="1"/>
    <col min="2" max="2" width="9.7109375" bestFit="1" customWidth="1"/>
    <col min="3" max="3" width="7" bestFit="1" customWidth="1"/>
    <col min="4" max="4" width="11.5703125" bestFit="1" customWidth="1"/>
    <col min="5" max="5" width="10.85546875" bestFit="1" customWidth="1"/>
    <col min="6" max="6" width="7.42578125" bestFit="1" customWidth="1"/>
    <col min="7" max="7" width="9.42578125" bestFit="1" customWidth="1"/>
    <col min="8" max="8" width="7.140625" bestFit="1" customWidth="1"/>
    <col min="9" max="9" width="10.28515625" bestFit="1" customWidth="1"/>
    <col min="10" max="10" width="13.42578125" bestFit="1" customWidth="1"/>
    <col min="11" max="11" width="7.7109375" bestFit="1" customWidth="1"/>
    <col min="12" max="12" width="18.7109375" bestFit="1" customWidth="1"/>
    <col min="13" max="13" width="13.42578125" bestFit="1" customWidth="1"/>
    <col min="14" max="14" width="12.28515625" bestFit="1" customWidth="1"/>
    <col min="15" max="16" width="15.140625" bestFit="1" customWidth="1"/>
  </cols>
  <sheetData>
    <row r="1" spans="1:16" ht="30" customHeight="1" x14ac:dyDescent="0.25">
      <c r="A1" s="96" t="s">
        <v>36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</row>
    <row r="3" spans="1:16" ht="19.5" customHeight="1" x14ac:dyDescent="0.25">
      <c r="B3" s="14" t="s">
        <v>37</v>
      </c>
      <c r="C3" s="15" t="s">
        <v>34</v>
      </c>
      <c r="D3" s="16" t="s">
        <v>33</v>
      </c>
      <c r="E3" s="68" t="s">
        <v>43</v>
      </c>
      <c r="F3" s="17" t="s">
        <v>35</v>
      </c>
      <c r="G3" s="18" t="s">
        <v>38</v>
      </c>
      <c r="H3" s="19" t="s">
        <v>39</v>
      </c>
      <c r="I3" s="20" t="s">
        <v>40</v>
      </c>
      <c r="J3" s="69" t="s">
        <v>162</v>
      </c>
      <c r="K3" s="70" t="s">
        <v>163</v>
      </c>
      <c r="L3" s="71" t="s">
        <v>164</v>
      </c>
      <c r="M3" s="72" t="s">
        <v>17</v>
      </c>
      <c r="N3" s="72" t="s">
        <v>158</v>
      </c>
      <c r="O3" s="72" t="s">
        <v>159</v>
      </c>
      <c r="P3" s="72" t="s">
        <v>160</v>
      </c>
    </row>
    <row r="4" spans="1:16" ht="43.5" customHeight="1" x14ac:dyDescent="0.25">
      <c r="B4" s="21">
        <f>COUNTA('Master Assortment'!A5:A2460)</f>
        <v>0</v>
      </c>
      <c r="C4" s="22">
        <f>COUNTIF('Master Assortment'!J5:J2460,"Active")</f>
        <v>0</v>
      </c>
      <c r="D4" s="23">
        <f>COUNTIF('Master Assortment'!J5:J2460,"Discontinued")</f>
        <v>0</v>
      </c>
      <c r="E4" s="79" t="str">
        <f>IFERROR(AVERAGE(E8:E158),"")</f>
        <v/>
      </c>
      <c r="F4" s="24">
        <f>COUNTIF('Master Assortment'!J5:J2460,"New")</f>
        <v>0</v>
      </c>
      <c r="G4" s="25">
        <f>COUNTIF('Master Assortment'!Y5:Y2460,"🔴 Critical")</f>
        <v>0</v>
      </c>
      <c r="H4" s="26">
        <f>COUNTIF('Master Assortment'!Y5:Y2460,"🟡 Low")</f>
        <v>0</v>
      </c>
      <c r="I4" s="27">
        <f>COUNTIF('Master Assortment'!Y5:Y2460,"🟢 Healthy")</f>
        <v>0</v>
      </c>
      <c r="J4" s="73">
        <f>COUNTIF('Master Assortment'!Y5:Y2460,"🔵 Overstock")</f>
        <v>0</v>
      </c>
      <c r="K4" s="74">
        <f>COUNTIF('Master Assortment'!Y5:Y2460,"🔴 EOL")</f>
        <v>0</v>
      </c>
      <c r="L4" s="75" t="e">
        <f>AVERAGE(L8:L500)</f>
        <v>#DIV/0!</v>
      </c>
      <c r="M4" s="76">
        <f>SUM(M8:M30)</f>
        <v>0</v>
      </c>
      <c r="N4" s="76">
        <f t="shared" ref="N4:P4" si="0">SUM(N8:N30)</f>
        <v>0</v>
      </c>
      <c r="O4" s="76">
        <f t="shared" si="0"/>
        <v>0</v>
      </c>
      <c r="P4" s="76">
        <f t="shared" ca="1" si="0"/>
        <v>0</v>
      </c>
    </row>
    <row r="5" spans="1:16" ht="12" customHeight="1" x14ac:dyDescent="0.25"/>
    <row r="6" spans="1:16" ht="18" customHeight="1" x14ac:dyDescent="0.25">
      <c r="A6" s="103" t="s">
        <v>41</v>
      </c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1:16" ht="19.5" customHeight="1" x14ac:dyDescent="0.25">
      <c r="A7" s="28" t="s">
        <v>11</v>
      </c>
      <c r="B7" s="28" t="s">
        <v>42</v>
      </c>
      <c r="C7" s="28" t="s">
        <v>34</v>
      </c>
      <c r="D7" s="28" t="s">
        <v>33</v>
      </c>
      <c r="E7" s="28" t="s">
        <v>43</v>
      </c>
      <c r="F7" s="28" t="s">
        <v>161</v>
      </c>
      <c r="G7" s="28" t="s">
        <v>38</v>
      </c>
      <c r="H7" s="28" t="s">
        <v>39</v>
      </c>
      <c r="I7" s="28" t="s">
        <v>40</v>
      </c>
      <c r="J7" s="28" t="s">
        <v>162</v>
      </c>
      <c r="K7" s="28" t="s">
        <v>163</v>
      </c>
      <c r="L7" s="28" t="s">
        <v>164</v>
      </c>
      <c r="M7" s="28" t="s">
        <v>17</v>
      </c>
      <c r="N7" s="28" t="s">
        <v>158</v>
      </c>
      <c r="O7" s="28" t="s">
        <v>159</v>
      </c>
      <c r="P7" s="28" t="s">
        <v>160</v>
      </c>
    </row>
    <row r="8" spans="1:16" ht="15.75" customHeight="1" x14ac:dyDescent="0.25">
      <c r="A8" s="29"/>
      <c r="B8" s="30">
        <f>COUNTIF('Master Assortment'!$H$5:$H$2460,A8)</f>
        <v>0</v>
      </c>
      <c r="C8" s="30">
        <f>COUNTIFS('Master Assortment'!$H$5:$H$2460,A8,'Master Assortment'!$J$5:$J$2460,"Active")</f>
        <v>0</v>
      </c>
      <c r="D8" s="30">
        <f>COUNTIFS('Master Assortment'!$H$5:$H$2460,A8,'Master Assortment'!$J$5:$J$2460,"Discontinued")</f>
        <v>0</v>
      </c>
      <c r="E8" s="31" t="str">
        <f>IFERROR(AVERAGEIF('Master Assortment'!$H$5:$H$2460,A8,'Master Assortment'!$W$5:$W$2460),"0")</f>
        <v>0</v>
      </c>
      <c r="F8" s="30">
        <f>IFERROR(COUNTIFS('Master Assortment'!H$5:H$2460,A8,'Master Assortment'!Y$5:Y$2460,"🆕 New"),"")</f>
        <v>0</v>
      </c>
      <c r="G8" s="30">
        <f>COUNTIFS('Master Assortment'!$H$5:$H$2460,A8,'Master Assortment'!$Y$5:$Y$2460,"🔴 Critical")</f>
        <v>0</v>
      </c>
      <c r="H8" s="30">
        <f>COUNTIFS('Master Assortment'!$H$5:$H$2460,A8,'Master Assortment'!$Y$5:$Y$2460,"🟡 Low")</f>
        <v>0</v>
      </c>
      <c r="I8" s="77">
        <f>COUNTIFS('Master Assortment'!$H$5:$H$2460,A8,'Master Assortment'!$Y$5:$Y$2460,"🟢 Healthy")</f>
        <v>0</v>
      </c>
      <c r="J8" s="77">
        <f>IFERROR(COUNTIFS('Master Assortment'!$H$5:$H$2460,A8,'Master Assortment'!$Y$5:$Y$2460,"🔵 Overstock"),"")</f>
        <v>0</v>
      </c>
      <c r="K8" s="30">
        <f>IFERROR(COUNTIFS('Master Assortment'!$H$5:$H$2460,A8,'Master Assortment'!$Y$5:$Y$2460,"🔴 EOL"),"")</f>
        <v>0</v>
      </c>
      <c r="L8" s="78" t="str" cm="1">
        <f t="array" ref="L8">IFERROR(SUMPRODUCT(('Master Assortment'!$H$5:$H$2494=A8)*IFERROR(VALUE('Master Assortment'!$U$5:$U$2494),0)*IFERROR(VALUE('Master Assortment'!$P$5:$P$2494),0))/SUMPRODUCT(('Master Assortment'!$H$5:$H$2494=A8)*IFERROR(VALUE('Master Assortment'!$U$5:$U$2494),0)),"")</f>
        <v/>
      </c>
      <c r="M8" s="30">
        <f>IFERROR(SUMIF('Master Assortment'!$H$5:$H$2458,A8,'Master Assortment'!$S$5:$S$2458),"")</f>
        <v>0</v>
      </c>
      <c r="N8" s="30">
        <f>IFERROR(SUMIF('Master Assortment'!$H$5:$H$2458,A8,'Master Assortment'!$T$5:$T$2458),"")</f>
        <v>0</v>
      </c>
      <c r="O8" s="30">
        <f>IFERROR(SUMIF('Master Assortment'!$H$5:$H$2458,A8,'Master Assortment'!$U$5:$U$2458),"")</f>
        <v>0</v>
      </c>
      <c r="P8" s="30">
        <f ca="1">IFERROR(SUMIF('Master Assortment'!$H$5:HJ$2458,A8,'Master Assortment'!$V$5:$V$2458),"")</f>
        <v>0</v>
      </c>
    </row>
    <row r="9" spans="1:16" ht="15.75" customHeight="1" x14ac:dyDescent="0.25">
      <c r="A9" s="32"/>
      <c r="B9" s="30">
        <f>COUNTIF('Master Assortment'!$H$5:$H$2460,A9)</f>
        <v>0</v>
      </c>
      <c r="C9" s="30">
        <f>COUNTIFS('Master Assortment'!$H$5:$H$2460,A9,'Master Assortment'!$J$5:$J$2460,"Active")</f>
        <v>0</v>
      </c>
      <c r="D9" s="30">
        <f>COUNTIFS('Master Assortment'!$H$5:$H$2460,A9,'Master Assortment'!$J$5:$J$2460,"Discontinued")</f>
        <v>0</v>
      </c>
      <c r="E9" s="31" t="str">
        <f>IFERROR(AVERAGEIF('Master Assortment'!$H$5:$H$2460,A9,'Master Assortment'!$W$5:$W$2460),"0")</f>
        <v>0</v>
      </c>
      <c r="F9" s="30">
        <f>IFERROR(COUNTIFS('Master Assortment'!H$5:H$2460,A9,'Master Assortment'!Y$5:Y$2460,"🆕 New"),"")</f>
        <v>0</v>
      </c>
      <c r="G9" s="30">
        <f>COUNTIFS('Master Assortment'!$H$5:$H$2460,A9,'Master Assortment'!$Y$5:$Y$2460,"🔴 Critical")</f>
        <v>0</v>
      </c>
      <c r="H9" s="30">
        <f>COUNTIFS('Master Assortment'!$H$5:$H$2460,A9,'Master Assortment'!$Y$5:$Y$2460,"🟡 Low")</f>
        <v>0</v>
      </c>
      <c r="I9" s="77">
        <f>COUNTIFS('Master Assortment'!$H$5:$H$2460,A9,'Master Assortment'!$Y$5:$Y$2460,"🟢 Healthy")</f>
        <v>0</v>
      </c>
      <c r="J9" s="77">
        <f>IFERROR(COUNTIFS('Master Assortment'!$H$5:$H$2460,A9,'Master Assortment'!$Y$5:$Y$2460,"🔵 Overstock"),"")</f>
        <v>0</v>
      </c>
      <c r="K9" s="30">
        <f>IFERROR(COUNTIFS('Master Assortment'!$H$5:$H$2460,A9,'Master Assortment'!$Y$5:$Y$2460,"🔴 EOL"),"")</f>
        <v>0</v>
      </c>
      <c r="L9" s="78" t="str" cm="1">
        <f t="array" ref="L9">IFERROR(SUMPRODUCT(('Master Assortment'!$H$5:$H$2494=A9)*IFERROR(VALUE('Master Assortment'!$U$5:$U$2494),0)*IFERROR(VALUE('Master Assortment'!$P$5:$P$2494),0))/SUMPRODUCT(('Master Assortment'!$H$5:$H$2494=A9)*IFERROR(VALUE('Master Assortment'!$U$5:$U$2494),0)),"")</f>
        <v/>
      </c>
      <c r="M9" s="30">
        <f>IFERROR(SUMIF('Master Assortment'!$H$5:$H$2458,A9,'Master Assortment'!$S$5:$S$2458),"")</f>
        <v>0</v>
      </c>
      <c r="N9" s="30">
        <f>IFERROR(SUMIF('Master Assortment'!$H$5:$H$2458,A9,'Master Assortment'!$T$5:$T$2458),"")</f>
        <v>0</v>
      </c>
      <c r="O9" s="30">
        <f>IFERROR(SUMIF('Master Assortment'!$H$5:$H$2458,A9,'Master Assortment'!$U$5:$U$2458),"")</f>
        <v>0</v>
      </c>
      <c r="P9" s="30">
        <f ca="1">IFERROR(SUMIF('Master Assortment'!$H$5:HJ$2458,A9,'Master Assortment'!$V$5:$V$2458),"")</f>
        <v>0</v>
      </c>
    </row>
    <row r="10" spans="1:16" ht="15.75" customHeight="1" x14ac:dyDescent="0.25">
      <c r="A10" s="29"/>
      <c r="B10" s="30">
        <f>COUNTIF('Master Assortment'!$H$5:$H$2460,A10)</f>
        <v>0</v>
      </c>
      <c r="C10" s="30">
        <f>COUNTIFS('Master Assortment'!$H$5:$H$2460,A10,'Master Assortment'!$J$5:$J$2460,"Active")</f>
        <v>0</v>
      </c>
      <c r="D10" s="30">
        <f>COUNTIFS('Master Assortment'!$H$5:$H$2460,A10,'Master Assortment'!$J$5:$J$2460,"Discontinued")</f>
        <v>0</v>
      </c>
      <c r="E10" s="31" t="str">
        <f>IFERROR(AVERAGEIF('Master Assortment'!$H$5:$H$2460,A10,'Master Assortment'!$W$5:$W$2460),"0")</f>
        <v>0</v>
      </c>
      <c r="F10" s="30">
        <f>IFERROR(COUNTIFS('Master Assortment'!H$5:H$2460,A10,'Master Assortment'!Y$5:Y$2460,"🆕 New"),"")</f>
        <v>0</v>
      </c>
      <c r="G10" s="30">
        <f>COUNTIFS('Master Assortment'!$H$5:$H$2460,A10,'Master Assortment'!$Y$5:$Y$2460,"🔴 Critical")</f>
        <v>0</v>
      </c>
      <c r="H10" s="30">
        <f>COUNTIFS('Master Assortment'!$H$5:$H$2460,A10,'Master Assortment'!$Y$5:$Y$2460,"🟡 Low")</f>
        <v>0</v>
      </c>
      <c r="I10" s="77">
        <f>COUNTIFS('Master Assortment'!$H$5:$H$2460,A10,'Master Assortment'!$Y$5:$Y$2460,"🟢 Healthy")</f>
        <v>0</v>
      </c>
      <c r="J10" s="77">
        <f>IFERROR(COUNTIFS('Master Assortment'!$H$5:$H$2460,A10,'Master Assortment'!$Y$5:$Y$2460,"🔵 Overstock"),"")</f>
        <v>0</v>
      </c>
      <c r="K10" s="30">
        <f>IFERROR(COUNTIFS('Master Assortment'!$H$5:$H$2460,A10,'Master Assortment'!$Y$5:$Y$2460,"🔴 EOL"),"")</f>
        <v>0</v>
      </c>
      <c r="L10" s="78" t="str" cm="1">
        <f t="array" ref="L10">IFERROR(SUMPRODUCT(('Master Assortment'!$H$5:$H$2494=A10)*IFERROR(VALUE('Master Assortment'!$U$5:$U$2494),0)*IFERROR(VALUE('Master Assortment'!$P$5:$P$2494),0))/SUMPRODUCT(('Master Assortment'!$H$5:$H$2494=A10)*IFERROR(VALUE('Master Assortment'!$U$5:$U$2494),0)),"")</f>
        <v/>
      </c>
      <c r="M10" s="30">
        <f>IFERROR(SUMIF('Master Assortment'!$H$5:$H$2458,A10,'Master Assortment'!$S$5:$S$2458),"")</f>
        <v>0</v>
      </c>
      <c r="N10" s="30">
        <f>IFERROR(SUMIF('Master Assortment'!$H$5:$H$2458,A10,'Master Assortment'!$T$5:$T$2458),"")</f>
        <v>0</v>
      </c>
      <c r="O10" s="30">
        <f>IFERROR(SUMIF('Master Assortment'!$H$5:$H$2458,A10,'Master Assortment'!$U$5:$U$2458),"")</f>
        <v>0</v>
      </c>
      <c r="P10" s="30">
        <f ca="1">IFERROR(SUMIF('Master Assortment'!$H$5:HJ$2458,A10,'Master Assortment'!$V$5:$V$2458),"")</f>
        <v>0</v>
      </c>
    </row>
    <row r="11" spans="1:16" ht="15.75" customHeight="1" x14ac:dyDescent="0.25">
      <c r="A11" s="32"/>
      <c r="B11" s="30">
        <f>COUNTIF('Master Assortment'!$H$5:$H$2460,A11)</f>
        <v>0</v>
      </c>
      <c r="C11" s="30">
        <f>COUNTIFS('Master Assortment'!$H$5:$H$2460,A11,'Master Assortment'!$J$5:$J$2460,"Active")</f>
        <v>0</v>
      </c>
      <c r="D11" s="30">
        <f>COUNTIFS('Master Assortment'!$H$5:$H$2460,A11,'Master Assortment'!$J$5:$J$2460,"Discontinued")</f>
        <v>0</v>
      </c>
      <c r="E11" s="31" t="str">
        <f>IFERROR(AVERAGEIF('Master Assortment'!$H$5:$H$2460,A11,'Master Assortment'!$W$5:$W$2460),"0")</f>
        <v>0</v>
      </c>
      <c r="F11" s="30">
        <f>IFERROR(COUNTIFS('Master Assortment'!H$5:H$2460,A11,'Master Assortment'!Y$5:Y$2460,"🆕 New"),"")</f>
        <v>0</v>
      </c>
      <c r="G11" s="30">
        <f>COUNTIFS('Master Assortment'!$H$5:$H$2460,A11,'Master Assortment'!$Y$5:$Y$2460,"🔴 Critical")</f>
        <v>0</v>
      </c>
      <c r="H11" s="30">
        <f>COUNTIFS('Master Assortment'!$H$5:$H$2460,A11,'Master Assortment'!$Y$5:$Y$2460,"🟡 Low")</f>
        <v>0</v>
      </c>
      <c r="I11" s="77">
        <f>COUNTIFS('Master Assortment'!$H$5:$H$2460,A11,'Master Assortment'!$Y$5:$Y$2460,"🟢 Healthy")</f>
        <v>0</v>
      </c>
      <c r="J11" s="77">
        <f>IFERROR(COUNTIFS('Master Assortment'!$H$5:$H$2460,A11,'Master Assortment'!$Y$5:$Y$2460,"🔵 Overstock"),"")</f>
        <v>0</v>
      </c>
      <c r="K11" s="30">
        <f>IFERROR(COUNTIFS('Master Assortment'!$H$5:$H$2460,A11,'Master Assortment'!$Y$5:$Y$2460,"🔴 EOL"),"")</f>
        <v>0</v>
      </c>
      <c r="L11" s="78" t="str" cm="1">
        <f t="array" ref="L11">IFERROR(SUMPRODUCT(('Master Assortment'!$H$5:$H$2494=A11)*IFERROR(VALUE('Master Assortment'!$U$5:$U$2494),0)*IFERROR(VALUE('Master Assortment'!$P$5:$P$2494),0))/SUMPRODUCT(('Master Assortment'!$H$5:$H$2494=A11)*IFERROR(VALUE('Master Assortment'!$U$5:$U$2494),0)),"")</f>
        <v/>
      </c>
      <c r="M11" s="30">
        <f>IFERROR(SUMIF('Master Assortment'!$H$5:$H$2458,A11,'Master Assortment'!$S$5:$S$2458),"")</f>
        <v>0</v>
      </c>
      <c r="N11" s="30">
        <f>IFERROR(SUMIF('Master Assortment'!$H$5:$H$2458,A11,'Master Assortment'!$T$5:$T$2458),"")</f>
        <v>0</v>
      </c>
      <c r="O11" s="30">
        <f>IFERROR(SUMIF('Master Assortment'!$H$5:$H$2458,A11,'Master Assortment'!$U$5:$U$2458),"")</f>
        <v>0</v>
      </c>
      <c r="P11" s="30">
        <f ca="1">IFERROR(SUMIF('Master Assortment'!$H$5:HJ$2458,A11,'Master Assortment'!$V$5:$V$2458),"")</f>
        <v>0</v>
      </c>
    </row>
    <row r="12" spans="1:16" ht="15.75" customHeight="1" x14ac:dyDescent="0.25">
      <c r="A12" s="29"/>
      <c r="B12" s="30">
        <f>COUNTIF('Master Assortment'!$H$5:$H$2460,A12)</f>
        <v>0</v>
      </c>
      <c r="C12" s="30">
        <f>COUNTIFS('Master Assortment'!$H$5:$H$2460,A12,'Master Assortment'!$J$5:$J$2460,"Active")</f>
        <v>0</v>
      </c>
      <c r="D12" s="30">
        <f>COUNTIFS('Master Assortment'!$H$5:$H$2460,A12,'Master Assortment'!$J$5:$J$2460,"Discontinued")</f>
        <v>0</v>
      </c>
      <c r="E12" s="31" t="str">
        <f>IFERROR(AVERAGEIF('Master Assortment'!$H$5:$H$2460,A12,'Master Assortment'!$W$5:$W$2460),"0")</f>
        <v>0</v>
      </c>
      <c r="F12" s="30">
        <f>IFERROR(COUNTIFS('Master Assortment'!H$5:H$2460,A12,'Master Assortment'!Y$5:Y$2460,"🆕 New"),"")</f>
        <v>0</v>
      </c>
      <c r="G12" s="30">
        <f>COUNTIFS('Master Assortment'!$H$5:$H$2460,A12,'Master Assortment'!$Y$5:$Y$2460,"🔴 Critical")</f>
        <v>0</v>
      </c>
      <c r="H12" s="30">
        <f>COUNTIFS('Master Assortment'!$H$5:$H$2460,A12,'Master Assortment'!$Y$5:$Y$2460,"🟡 Low")</f>
        <v>0</v>
      </c>
      <c r="I12" s="77">
        <f>COUNTIFS('Master Assortment'!$H$5:$H$2460,A12,'Master Assortment'!$Y$5:$Y$2460,"🟢 Healthy")</f>
        <v>0</v>
      </c>
      <c r="J12" s="77">
        <f>IFERROR(COUNTIFS('Master Assortment'!$H$5:$H$2460,A12,'Master Assortment'!$Y$5:$Y$2460,"🔵 Overstock"),"")</f>
        <v>0</v>
      </c>
      <c r="K12" s="30">
        <f>IFERROR(COUNTIFS('Master Assortment'!$H$5:$H$2460,A12,'Master Assortment'!$Y$5:$Y$2460,"🔴 EOL"),"")</f>
        <v>0</v>
      </c>
      <c r="L12" s="78" t="str" cm="1">
        <f t="array" ref="L12">IFERROR(SUMPRODUCT(('Master Assortment'!$H$5:$H$2494=A12)*IFERROR(VALUE('Master Assortment'!$U$5:$U$2494),0)*IFERROR(VALUE('Master Assortment'!$P$5:$P$2494),0))/SUMPRODUCT(('Master Assortment'!$H$5:$H$2494=A12)*IFERROR(VALUE('Master Assortment'!$U$5:$U$2494),0)),"")</f>
        <v/>
      </c>
      <c r="M12" s="30">
        <f>IFERROR(SUMIF('Master Assortment'!$H$5:$H$2458,A12,'Master Assortment'!$S$5:$S$2458),"")</f>
        <v>0</v>
      </c>
      <c r="N12" s="30">
        <f>IFERROR(SUMIF('Master Assortment'!$H$5:$H$2458,A12,'Master Assortment'!$T$5:$T$2458),"")</f>
        <v>0</v>
      </c>
      <c r="O12" s="30">
        <f>IFERROR(SUMIF('Master Assortment'!$H$5:$H$2458,A12,'Master Assortment'!$U$5:$U$2458),"")</f>
        <v>0</v>
      </c>
      <c r="P12" s="30">
        <f ca="1">IFERROR(SUMIF('Master Assortment'!$H$5:HJ$2458,A12,'Master Assortment'!$V$5:$V$2458),"")</f>
        <v>0</v>
      </c>
    </row>
    <row r="13" spans="1:16" ht="15.75" customHeight="1" x14ac:dyDescent="0.25">
      <c r="A13" s="32"/>
      <c r="B13" s="30">
        <f>COUNTIF('Master Assortment'!$H$5:$H$2460,A13)</f>
        <v>0</v>
      </c>
      <c r="C13" s="30">
        <f>COUNTIFS('Master Assortment'!$H$5:$H$2460,A13,'Master Assortment'!$J$5:$J$2460,"Active")</f>
        <v>0</v>
      </c>
      <c r="D13" s="30">
        <f>COUNTIFS('Master Assortment'!$H$5:$H$2460,A13,'Master Assortment'!$J$5:$J$2460,"Discontinued")</f>
        <v>0</v>
      </c>
      <c r="E13" s="31" t="str">
        <f>IFERROR(AVERAGEIF('Master Assortment'!$H$5:$H$2460,A13,'Master Assortment'!$W$5:$W$2460),"0")</f>
        <v>0</v>
      </c>
      <c r="F13" s="30">
        <f>IFERROR(COUNTIFS('Master Assortment'!H$5:H$2460,A13,'Master Assortment'!Y$5:Y$2460,"🆕 New"),"")</f>
        <v>0</v>
      </c>
      <c r="G13" s="30">
        <f>COUNTIFS('Master Assortment'!$H$5:$H$2460,A13,'Master Assortment'!$Y$5:$Y$2460,"🔴 Critical")</f>
        <v>0</v>
      </c>
      <c r="H13" s="30">
        <f>COUNTIFS('Master Assortment'!$H$5:$H$2460,A13,'Master Assortment'!$Y$5:$Y$2460,"🟡 Low")</f>
        <v>0</v>
      </c>
      <c r="I13" s="77">
        <f>COUNTIFS('Master Assortment'!$H$5:$H$2460,A13,'Master Assortment'!$Y$5:$Y$2460,"🟢 Healthy")</f>
        <v>0</v>
      </c>
      <c r="J13" s="77">
        <f>IFERROR(COUNTIFS('Master Assortment'!$H$5:$H$2460,A13,'Master Assortment'!$Y$5:$Y$2460,"🔵 Overstock"),"")</f>
        <v>0</v>
      </c>
      <c r="K13" s="30">
        <f>IFERROR(COUNTIFS('Master Assortment'!$H$5:$H$2460,A13,'Master Assortment'!$Y$5:$Y$2460,"🔴 EOL"),"")</f>
        <v>0</v>
      </c>
      <c r="L13" s="78" t="str" cm="1">
        <f t="array" ref="L13">IFERROR(SUMPRODUCT(('Master Assortment'!$H$5:$H$2494=A13)*IFERROR(VALUE('Master Assortment'!$U$5:$U$2494),0)*IFERROR(VALUE('Master Assortment'!$P$5:$P$2494),0))/SUMPRODUCT(('Master Assortment'!$H$5:$H$2494=A13)*IFERROR(VALUE('Master Assortment'!$U$5:$U$2494),0)),"")</f>
        <v/>
      </c>
      <c r="M13" s="30">
        <f>IFERROR(SUMIF('Master Assortment'!$H$5:$H$2458,A13,'Master Assortment'!$S$5:$S$2458),"")</f>
        <v>0</v>
      </c>
      <c r="N13" s="30">
        <f>IFERROR(SUMIF('Master Assortment'!$H$5:$H$2458,A13,'Master Assortment'!$T$5:$T$2458),"")</f>
        <v>0</v>
      </c>
      <c r="O13" s="30">
        <f>IFERROR(SUMIF('Master Assortment'!$H$5:$H$2458,A13,'Master Assortment'!$U$5:$U$2458),"")</f>
        <v>0</v>
      </c>
      <c r="P13" s="30">
        <f ca="1">IFERROR(SUMIF('Master Assortment'!$H$5:HJ$2458,A13,'Master Assortment'!$V$5:$V$2458),"")</f>
        <v>0</v>
      </c>
    </row>
    <row r="14" spans="1:16" ht="15.75" customHeight="1" x14ac:dyDescent="0.25">
      <c r="A14" s="29"/>
      <c r="B14" s="30">
        <f>COUNTIF('Master Assortment'!$H$5:$H$2460,A14)</f>
        <v>0</v>
      </c>
      <c r="C14" s="30">
        <f>COUNTIFS('Master Assortment'!$H$5:$H$2460,A14,'Master Assortment'!$J$5:$J$2460,"Active")</f>
        <v>0</v>
      </c>
      <c r="D14" s="30">
        <f>COUNTIFS('Master Assortment'!$H$5:$H$2460,A14,'Master Assortment'!$J$5:$J$2460,"Discontinued")</f>
        <v>0</v>
      </c>
      <c r="E14" s="31" t="str">
        <f>IFERROR(AVERAGEIF('Master Assortment'!$H$5:$H$2460,A14,'Master Assortment'!$W$5:$W$2460),"0")</f>
        <v>0</v>
      </c>
      <c r="F14" s="30">
        <f>IFERROR(COUNTIFS('Master Assortment'!H$5:H$2460,A14,'Master Assortment'!Y$5:Y$2460,"🆕 New"),"")</f>
        <v>0</v>
      </c>
      <c r="G14" s="30">
        <f>COUNTIFS('Master Assortment'!$H$5:$H$2460,A14,'Master Assortment'!$Y$5:$Y$2460,"🔴 Critical")</f>
        <v>0</v>
      </c>
      <c r="H14" s="30">
        <f>COUNTIFS('Master Assortment'!$H$5:$H$2460,A14,'Master Assortment'!$Y$5:$Y$2460,"🟡 Low")</f>
        <v>0</v>
      </c>
      <c r="I14" s="77">
        <f>COUNTIFS('Master Assortment'!$H$5:$H$2460,A14,'Master Assortment'!$Y$5:$Y$2460,"🟢 Healthy")</f>
        <v>0</v>
      </c>
      <c r="J14" s="77">
        <f>IFERROR(COUNTIFS('Master Assortment'!$H$5:$H$2460,A14,'Master Assortment'!$Y$5:$Y$2460,"🔵 Overstock"),"")</f>
        <v>0</v>
      </c>
      <c r="K14" s="30">
        <f>IFERROR(COUNTIFS('Master Assortment'!$H$5:$H$2460,A14,'Master Assortment'!$Y$5:$Y$2460,"🔴 EOL"),"")</f>
        <v>0</v>
      </c>
      <c r="L14" s="78" t="str" cm="1">
        <f t="array" ref="L14">IFERROR(SUMPRODUCT(('Master Assortment'!$H$5:$H$2494=A14)*IFERROR(VALUE('Master Assortment'!$U$5:$U$2494),0)*IFERROR(VALUE('Master Assortment'!$P$5:$P$2494),0))/SUMPRODUCT(('Master Assortment'!$H$5:$H$2494=A14)*IFERROR(VALUE('Master Assortment'!$U$5:$U$2494),0)),"")</f>
        <v/>
      </c>
      <c r="M14" s="30">
        <f>IFERROR(SUMIF('Master Assortment'!$H$5:$H$2458,A14,'Master Assortment'!$S$5:$S$2458),"")</f>
        <v>0</v>
      </c>
      <c r="N14" s="30">
        <f>IFERROR(SUMIF('Master Assortment'!$H$5:$H$2458,A14,'Master Assortment'!$T$5:$T$2458),"")</f>
        <v>0</v>
      </c>
      <c r="O14" s="30">
        <f>IFERROR(SUMIF('Master Assortment'!$H$5:$H$2458,A14,'Master Assortment'!$U$5:$U$2458),"")</f>
        <v>0</v>
      </c>
      <c r="P14" s="30">
        <f ca="1">IFERROR(SUMIF('Master Assortment'!$H$5:HJ$2458,A14,'Master Assortment'!$V$5:$V$2458),"")</f>
        <v>0</v>
      </c>
    </row>
    <row r="15" spans="1:16" ht="15.75" customHeight="1" x14ac:dyDescent="0.25">
      <c r="A15" s="32"/>
      <c r="B15" s="30">
        <f>COUNTIF('Master Assortment'!$H$5:$H$2460,A15)</f>
        <v>0</v>
      </c>
      <c r="C15" s="30">
        <f>COUNTIFS('Master Assortment'!$H$5:$H$2460,A15,'Master Assortment'!$J$5:$J$2460,"Active")</f>
        <v>0</v>
      </c>
      <c r="D15" s="30">
        <f>COUNTIFS('Master Assortment'!$H$5:$H$2460,A15,'Master Assortment'!$J$5:$J$2460,"Discontinued")</f>
        <v>0</v>
      </c>
      <c r="E15" s="31" t="str">
        <f>IFERROR(AVERAGEIF('Master Assortment'!$H$5:$H$2460,A15,'Master Assortment'!$W$5:$W$2460),"0")</f>
        <v>0</v>
      </c>
      <c r="F15" s="30">
        <f>IFERROR(COUNTIFS('Master Assortment'!H$5:H$2460,A15,'Master Assortment'!Y$5:Y$2460,"🆕 New"),"")</f>
        <v>0</v>
      </c>
      <c r="G15" s="30">
        <f>COUNTIFS('Master Assortment'!$H$5:$H$2460,A15,'Master Assortment'!$Y$5:$Y$2460,"🔴 Critical")</f>
        <v>0</v>
      </c>
      <c r="H15" s="30">
        <f>COUNTIFS('Master Assortment'!$H$5:$H$2460,A15,'Master Assortment'!$Y$5:$Y$2460,"🟡 Low")</f>
        <v>0</v>
      </c>
      <c r="I15" s="77">
        <f>COUNTIFS('Master Assortment'!$H$5:$H$2460,A15,'Master Assortment'!$Y$5:$Y$2460,"🟢 Healthy")</f>
        <v>0</v>
      </c>
      <c r="J15" s="77">
        <f>IFERROR(COUNTIFS('Master Assortment'!$H$5:$H$2460,A15,'Master Assortment'!$Y$5:$Y$2460,"🔵 Overstock"),"")</f>
        <v>0</v>
      </c>
      <c r="K15" s="30">
        <f>IFERROR(COUNTIFS('Master Assortment'!$H$5:$H$2460,A15,'Master Assortment'!$Y$5:$Y$2460,"🔴 EOL"),"")</f>
        <v>0</v>
      </c>
      <c r="L15" s="78" t="str" cm="1">
        <f t="array" ref="L15">IFERROR(SUMPRODUCT(('Master Assortment'!$H$5:$H$2494=A15)*IFERROR(VALUE('Master Assortment'!$U$5:$U$2494),0)*IFERROR(VALUE('Master Assortment'!$P$5:$P$2494),0))/SUMPRODUCT(('Master Assortment'!$H$5:$H$2494=A15)*IFERROR(VALUE('Master Assortment'!$U$5:$U$2494),0)),"")</f>
        <v/>
      </c>
      <c r="M15" s="30">
        <f>IFERROR(SUMIF('Master Assortment'!$H$5:$H$2458,A15,'Master Assortment'!$S$5:$S$2458),"")</f>
        <v>0</v>
      </c>
      <c r="N15" s="30">
        <f>IFERROR(SUMIF('Master Assortment'!$H$5:$H$2458,A15,'Master Assortment'!$T$5:$T$2458),"")</f>
        <v>0</v>
      </c>
      <c r="O15" s="30">
        <f>IFERROR(SUMIF('Master Assortment'!$H$5:$H$2458,A15,'Master Assortment'!$U$5:$U$2458),"")</f>
        <v>0</v>
      </c>
      <c r="P15" s="30">
        <f ca="1">IFERROR(SUMIF('Master Assortment'!$H$5:HJ$2458,A15,'Master Assortment'!$V$5:$V$2458),"")</f>
        <v>0</v>
      </c>
    </row>
    <row r="16" spans="1:16" ht="15.75" customHeight="1" x14ac:dyDescent="0.25">
      <c r="A16" s="29"/>
      <c r="B16" s="30">
        <f>COUNTIF('Master Assortment'!$H$5:$H$2460,A16)</f>
        <v>0</v>
      </c>
      <c r="C16" s="30">
        <f>COUNTIFS('Master Assortment'!$H$5:$H$2460,A16,'Master Assortment'!$J$5:$J$2460,"Active")</f>
        <v>0</v>
      </c>
      <c r="D16" s="30">
        <f>COUNTIFS('Master Assortment'!$H$5:$H$2460,A16,'Master Assortment'!$J$5:$J$2460,"Discontinued")</f>
        <v>0</v>
      </c>
      <c r="E16" s="31" t="str">
        <f>IFERROR(AVERAGEIF('Master Assortment'!$H$5:$H$2460,A16,'Master Assortment'!$W$5:$W$2460),"0")</f>
        <v>0</v>
      </c>
      <c r="F16" s="30">
        <f>IFERROR(COUNTIFS('Master Assortment'!H$5:H$2460,A16,'Master Assortment'!Y$5:Y$2460,"🆕 New"),"")</f>
        <v>0</v>
      </c>
      <c r="G16" s="30">
        <f>COUNTIFS('Master Assortment'!$H$5:$H$2460,A16,'Master Assortment'!$Y$5:$Y$2460,"🔴 Critical")</f>
        <v>0</v>
      </c>
      <c r="H16" s="30">
        <f>COUNTIFS('Master Assortment'!$H$5:$H$2460,A16,'Master Assortment'!$Y$5:$Y$2460,"🟡 Low")</f>
        <v>0</v>
      </c>
      <c r="I16" s="77">
        <f>COUNTIFS('Master Assortment'!$H$5:$H$2460,A16,'Master Assortment'!$Y$5:$Y$2460,"🟢 Healthy")</f>
        <v>0</v>
      </c>
      <c r="J16" s="77">
        <f>IFERROR(COUNTIFS('Master Assortment'!$H$5:$H$2460,A16,'Master Assortment'!$Y$5:$Y$2460,"🔵 Overstock"),"")</f>
        <v>0</v>
      </c>
      <c r="K16" s="30">
        <f>IFERROR(COUNTIFS('Master Assortment'!$H$5:$H$2460,A16,'Master Assortment'!$Y$5:$Y$2460,"🔴 EOL"),"")</f>
        <v>0</v>
      </c>
      <c r="L16" s="78" t="str" cm="1">
        <f t="array" ref="L16">IFERROR(SUMPRODUCT(('Master Assortment'!$H$5:$H$2494=A16)*IFERROR(VALUE('Master Assortment'!$U$5:$U$2494),0)*IFERROR(VALUE('Master Assortment'!$P$5:$P$2494),0))/SUMPRODUCT(('Master Assortment'!$H$5:$H$2494=A16)*IFERROR(VALUE('Master Assortment'!$U$5:$U$2494),0)),"")</f>
        <v/>
      </c>
      <c r="M16" s="30">
        <f>IFERROR(SUMIF('Master Assortment'!$H$5:$H$2458,A16,'Master Assortment'!$S$5:$S$2458),"")</f>
        <v>0</v>
      </c>
      <c r="N16" s="30">
        <f>IFERROR(SUMIF('Master Assortment'!$H$5:$H$2458,A16,'Master Assortment'!$T$5:$T$2458),"")</f>
        <v>0</v>
      </c>
      <c r="O16" s="30">
        <f>IFERROR(SUMIF('Master Assortment'!$H$5:$H$2458,A16,'Master Assortment'!$U$5:$U$2458),"")</f>
        <v>0</v>
      </c>
      <c r="P16" s="30">
        <f ca="1">IFERROR(SUMIF('Master Assortment'!$H$5:HJ$2458,A16,'Master Assortment'!$V$5:$V$2458),"")</f>
        <v>0</v>
      </c>
    </row>
    <row r="17" spans="1:16" ht="15.75" customHeight="1" x14ac:dyDescent="0.25">
      <c r="A17" s="32"/>
      <c r="B17" s="30">
        <f>COUNTIF('Master Assortment'!$H$5:$H$2460,A17)</f>
        <v>0</v>
      </c>
      <c r="C17" s="30">
        <f>COUNTIFS('Master Assortment'!$H$5:$H$2460,A17,'Master Assortment'!$J$5:$J$2460,"Active")</f>
        <v>0</v>
      </c>
      <c r="D17" s="30">
        <f>COUNTIFS('Master Assortment'!$H$5:$H$2460,A17,'Master Assortment'!$J$5:$J$2460,"Discontinued")</f>
        <v>0</v>
      </c>
      <c r="E17" s="31" t="str">
        <f>IFERROR(AVERAGEIF('Master Assortment'!$H$5:$H$2460,A17,'Master Assortment'!$W$5:$W$2460),"0")</f>
        <v>0</v>
      </c>
      <c r="F17" s="30">
        <f>IFERROR(COUNTIFS('Master Assortment'!H$5:H$2460,A17,'Master Assortment'!Y$5:Y$2460,"🆕 New"),"")</f>
        <v>0</v>
      </c>
      <c r="G17" s="30">
        <f>COUNTIFS('Master Assortment'!$H$5:$H$2460,A17,'Master Assortment'!$Y$5:$Y$2460,"🔴 Critical")</f>
        <v>0</v>
      </c>
      <c r="H17" s="30">
        <f>COUNTIFS('Master Assortment'!$H$5:$H$2460,A17,'Master Assortment'!$Y$5:$Y$2460,"🟡 Low")</f>
        <v>0</v>
      </c>
      <c r="I17" s="77">
        <f>COUNTIFS('Master Assortment'!$H$5:$H$2460,A17,'Master Assortment'!$Y$5:$Y$2460,"🟢 Healthy")</f>
        <v>0</v>
      </c>
      <c r="J17" s="77">
        <f>IFERROR(COUNTIFS('Master Assortment'!$H$5:$H$2460,A17,'Master Assortment'!$Y$5:$Y$2460,"🔵 Overstock"),"")</f>
        <v>0</v>
      </c>
      <c r="K17" s="30">
        <f>IFERROR(COUNTIFS('Master Assortment'!$H$5:$H$2460,A17,'Master Assortment'!$Y$5:$Y$2460,"🔴 EOL"),"")</f>
        <v>0</v>
      </c>
      <c r="L17" s="78" t="str" cm="1">
        <f t="array" ref="L17">IFERROR(SUMPRODUCT(('Master Assortment'!$H$5:$H$2494=A17)*IFERROR(VALUE('Master Assortment'!$U$5:$U$2494),0)*IFERROR(VALUE('Master Assortment'!$P$5:$P$2494),0))/SUMPRODUCT(('Master Assortment'!$H$5:$H$2494=A17)*IFERROR(VALUE('Master Assortment'!$U$5:$U$2494),0)),"")</f>
        <v/>
      </c>
      <c r="M17" s="30">
        <f>IFERROR(SUMIF('Master Assortment'!$H$5:$H$2458,A17,'Master Assortment'!$S$5:$S$2458),"")</f>
        <v>0</v>
      </c>
      <c r="N17" s="30">
        <f>IFERROR(SUMIF('Master Assortment'!$H$5:$H$2458,A17,'Master Assortment'!$T$5:$T$2458),"")</f>
        <v>0</v>
      </c>
      <c r="O17" s="30">
        <f>IFERROR(SUMIF('Master Assortment'!$H$5:$H$2458,A17,'Master Assortment'!$U$5:$U$2458),"")</f>
        <v>0</v>
      </c>
      <c r="P17" s="30">
        <f ca="1">IFERROR(SUMIF('Master Assortment'!$H$5:HJ$2458,A17,'Master Assortment'!$V$5:$V$2458),"")</f>
        <v>0</v>
      </c>
    </row>
    <row r="18" spans="1:16" ht="15.75" customHeight="1" x14ac:dyDescent="0.25">
      <c r="A18" s="29"/>
      <c r="B18" s="30">
        <f>COUNTIF('Master Assortment'!$H$5:$H$2460,A18)</f>
        <v>0</v>
      </c>
      <c r="C18" s="30">
        <f>COUNTIFS('Master Assortment'!$H$5:$H$2460,A18,'Master Assortment'!$J$5:$J$2460,"Active")</f>
        <v>0</v>
      </c>
      <c r="D18" s="30">
        <f>COUNTIFS('Master Assortment'!$H$5:$H$2460,A18,'Master Assortment'!$J$5:$J$2460,"Discontinued")</f>
        <v>0</v>
      </c>
      <c r="E18" s="31" t="str">
        <f>IFERROR(AVERAGEIF('Master Assortment'!$H$5:$H$2460,A18,'Master Assortment'!$W$5:$W$2460),"0")</f>
        <v>0</v>
      </c>
      <c r="F18" s="30">
        <f>IFERROR(COUNTIFS('Master Assortment'!H$5:H$2460,A18,'Master Assortment'!Y$5:Y$2460,"🆕 New"),"")</f>
        <v>0</v>
      </c>
      <c r="G18" s="30">
        <f>COUNTIFS('Master Assortment'!$H$5:$H$2460,A18,'Master Assortment'!$Y$5:$Y$2460,"🔴 Critical")</f>
        <v>0</v>
      </c>
      <c r="H18" s="30">
        <f>COUNTIFS('Master Assortment'!$H$5:$H$2460,A18,'Master Assortment'!$Y$5:$Y$2460,"🟡 Low")</f>
        <v>0</v>
      </c>
      <c r="I18" s="77">
        <f>COUNTIFS('Master Assortment'!$H$5:$H$2460,A18,'Master Assortment'!$Y$5:$Y$2460,"🟢 Healthy")</f>
        <v>0</v>
      </c>
      <c r="J18" s="77">
        <f>IFERROR(COUNTIFS('Master Assortment'!$H$5:$H$2460,A18,'Master Assortment'!$Y$5:$Y$2460,"🔵 Overstock"),"")</f>
        <v>0</v>
      </c>
      <c r="K18" s="30">
        <f>IFERROR(COUNTIFS('Master Assortment'!$H$5:$H$2460,A18,'Master Assortment'!$Y$5:$Y$2460,"🔴 EOL"),"")</f>
        <v>0</v>
      </c>
      <c r="L18" s="78" t="str" cm="1">
        <f t="array" ref="L18">IFERROR(SUMPRODUCT(('Master Assortment'!$H$5:$H$2494=A18)*IFERROR(VALUE('Master Assortment'!$U$5:$U$2494),0)*IFERROR(VALUE('Master Assortment'!$P$5:$P$2494),0))/SUMPRODUCT(('Master Assortment'!$H$5:$H$2494=A18)*IFERROR(VALUE('Master Assortment'!$U$5:$U$2494),0)),"")</f>
        <v/>
      </c>
      <c r="M18" s="30">
        <f>IFERROR(SUMIF('Master Assortment'!$H$5:$H$2458,A18,'Master Assortment'!$S$5:$S$2458),"")</f>
        <v>0</v>
      </c>
      <c r="N18" s="30">
        <f>IFERROR(SUMIF('Master Assortment'!$H$5:$H$2458,A18,'Master Assortment'!$T$5:$T$2458),"")</f>
        <v>0</v>
      </c>
      <c r="O18" s="30">
        <f>IFERROR(SUMIF('Master Assortment'!$H$5:$H$2458,A18,'Master Assortment'!$U$5:$U$2458),"")</f>
        <v>0</v>
      </c>
      <c r="P18" s="30">
        <f ca="1">IFERROR(SUMIF('Master Assortment'!$H$5:HJ$2458,A18,'Master Assortment'!$V$5:$V$2458),"")</f>
        <v>0</v>
      </c>
    </row>
    <row r="19" spans="1:16" ht="15.75" customHeight="1" x14ac:dyDescent="0.25">
      <c r="A19" s="32"/>
      <c r="B19" s="30">
        <f>COUNTIF('Master Assortment'!$H$5:$H$2460,A19)</f>
        <v>0</v>
      </c>
      <c r="C19" s="30">
        <f>COUNTIFS('Master Assortment'!$H$5:$H$2460,A19,'Master Assortment'!$J$5:$J$2460,"Active")</f>
        <v>0</v>
      </c>
      <c r="D19" s="30">
        <f>COUNTIFS('Master Assortment'!$H$5:$H$2460,A19,'Master Assortment'!$J$5:$J$2460,"Discontinued")</f>
        <v>0</v>
      </c>
      <c r="E19" s="31" t="str">
        <f>IFERROR(AVERAGEIF('Master Assortment'!$H$5:$H$2460,A19,'Master Assortment'!$W$5:$W$2460),"0")</f>
        <v>0</v>
      </c>
      <c r="F19" s="30">
        <f>IFERROR(COUNTIFS('Master Assortment'!H$5:H$2460,A19,'Master Assortment'!Y$5:Y$2460,"🆕 New"),"")</f>
        <v>0</v>
      </c>
      <c r="G19" s="30">
        <f>COUNTIFS('Master Assortment'!$H$5:$H$2460,A19,'Master Assortment'!$Y$5:$Y$2460,"🔴 Critical")</f>
        <v>0</v>
      </c>
      <c r="H19" s="30">
        <f>COUNTIFS('Master Assortment'!$H$5:$H$2460,A19,'Master Assortment'!$Y$5:$Y$2460,"🟡 Low")</f>
        <v>0</v>
      </c>
      <c r="I19" s="77">
        <f>COUNTIFS('Master Assortment'!$H$5:$H$2460,A19,'Master Assortment'!$Y$5:$Y$2460,"🟢 Healthy")</f>
        <v>0</v>
      </c>
      <c r="J19" s="77">
        <f>IFERROR(COUNTIFS('Master Assortment'!$H$5:$H$2460,A19,'Master Assortment'!$Y$5:$Y$2460,"🔵 Overstock"),"")</f>
        <v>0</v>
      </c>
      <c r="K19" s="30">
        <f>IFERROR(COUNTIFS('Master Assortment'!$H$5:$H$2460,A19,'Master Assortment'!$Y$5:$Y$2460,"🔴 EOL"),"")</f>
        <v>0</v>
      </c>
      <c r="L19" s="78" t="str" cm="1">
        <f t="array" ref="L19">IFERROR(SUMPRODUCT(('Master Assortment'!$H$5:$H$2494=A19)*IFERROR(VALUE('Master Assortment'!$U$5:$U$2494),0)*IFERROR(VALUE('Master Assortment'!$P$5:$P$2494),0))/SUMPRODUCT(('Master Assortment'!$H$5:$H$2494=A19)*IFERROR(VALUE('Master Assortment'!$U$5:$U$2494),0)),"")</f>
        <v/>
      </c>
      <c r="M19" s="30">
        <f>IFERROR(SUMIF('Master Assortment'!$H$5:$H$2458,A19,'Master Assortment'!$S$5:$S$2458),"")</f>
        <v>0</v>
      </c>
      <c r="N19" s="30">
        <f>IFERROR(SUMIF('Master Assortment'!$H$5:$H$2458,A19,'Master Assortment'!$T$5:$T$2458),"")</f>
        <v>0</v>
      </c>
      <c r="O19" s="30">
        <f>IFERROR(SUMIF('Master Assortment'!$H$5:$H$2458,A19,'Master Assortment'!$U$5:$U$2458),"")</f>
        <v>0</v>
      </c>
      <c r="P19" s="30">
        <f ca="1">IFERROR(SUMIF('Master Assortment'!$H$5:HJ$2458,A19,'Master Assortment'!$V$5:$V$2458),"")</f>
        <v>0</v>
      </c>
    </row>
    <row r="20" spans="1:16" ht="15.75" customHeight="1" x14ac:dyDescent="0.25">
      <c r="A20" s="29"/>
      <c r="B20" s="30">
        <f>COUNTIF('Master Assortment'!$H$5:$H$2460,A20)</f>
        <v>0</v>
      </c>
      <c r="C20" s="30">
        <f>COUNTIFS('Master Assortment'!$H$5:$H$2460,A20,'Master Assortment'!$J$5:$J$2460,"Active")</f>
        <v>0</v>
      </c>
      <c r="D20" s="30">
        <f>COUNTIFS('Master Assortment'!$H$5:$H$2460,A20,'Master Assortment'!$J$5:$J$2460,"Discontinued")</f>
        <v>0</v>
      </c>
      <c r="E20" s="31" t="str">
        <f>IFERROR(AVERAGEIF('Master Assortment'!$H$5:$H$2460,A20,'Master Assortment'!$W$5:$W$2460),"0")</f>
        <v>0</v>
      </c>
      <c r="F20" s="30">
        <f>IFERROR(COUNTIFS('Master Assortment'!H$5:H$2460,A20,'Master Assortment'!Y$5:Y$2460,"🆕 New"),"")</f>
        <v>0</v>
      </c>
      <c r="G20" s="30">
        <f>COUNTIFS('Master Assortment'!$H$5:$H$2460,A20,'Master Assortment'!$Y$5:$Y$2460,"🔴 Critical")</f>
        <v>0</v>
      </c>
      <c r="H20" s="30">
        <f>COUNTIFS('Master Assortment'!$H$5:$H$2460,A20,'Master Assortment'!$Y$5:$Y$2460,"🟡 Low")</f>
        <v>0</v>
      </c>
      <c r="I20" s="77">
        <f>COUNTIFS('Master Assortment'!$H$5:$H$2460,A20,'Master Assortment'!$Y$5:$Y$2460,"🟢 Healthy")</f>
        <v>0</v>
      </c>
      <c r="J20" s="77">
        <f>IFERROR(COUNTIFS('Master Assortment'!$H$5:$H$2460,A20,'Master Assortment'!$Y$5:$Y$2460,"🔵 Overstock"),"")</f>
        <v>0</v>
      </c>
      <c r="K20" s="30">
        <f>IFERROR(COUNTIFS('Master Assortment'!$H$5:$H$2460,A20,'Master Assortment'!$Y$5:$Y$2460,"🔴 EOL"),"")</f>
        <v>0</v>
      </c>
      <c r="L20" s="78" t="str" cm="1">
        <f t="array" ref="L20">IFERROR(SUMPRODUCT(('Master Assortment'!$H$5:$H$2494=A20)*IFERROR(VALUE('Master Assortment'!$U$5:$U$2494),0)*IFERROR(VALUE('Master Assortment'!$P$5:$P$2494),0))/SUMPRODUCT(('Master Assortment'!$H$5:$H$2494=A20)*IFERROR(VALUE('Master Assortment'!$U$5:$U$2494),0)),"")</f>
        <v/>
      </c>
      <c r="M20" s="30">
        <f>IFERROR(SUMIF('Master Assortment'!$H$5:$H$2458,A20,'Master Assortment'!$S$5:$S$2458),"")</f>
        <v>0</v>
      </c>
      <c r="N20" s="30">
        <f>IFERROR(SUMIF('Master Assortment'!$H$5:$H$2458,A20,'Master Assortment'!$T$5:$T$2458),"")</f>
        <v>0</v>
      </c>
      <c r="O20" s="30">
        <f>IFERROR(SUMIF('Master Assortment'!$H$5:$H$2458,A20,'Master Assortment'!$U$5:$U$2458),"")</f>
        <v>0</v>
      </c>
      <c r="P20" s="30">
        <f ca="1">IFERROR(SUMIF('Master Assortment'!$H$5:HJ$2458,A20,'Master Assortment'!$V$5:$V$2458),"")</f>
        <v>0</v>
      </c>
    </row>
    <row r="21" spans="1:16" ht="15.75" customHeight="1" x14ac:dyDescent="0.25">
      <c r="A21" s="32"/>
      <c r="B21" s="30">
        <f>COUNTIF('Master Assortment'!$H$5:$H$2460,A21)</f>
        <v>0</v>
      </c>
      <c r="C21" s="30">
        <f>COUNTIFS('Master Assortment'!$H$5:$H$2460,A21,'Master Assortment'!$J$5:$J$2460,"Active")</f>
        <v>0</v>
      </c>
      <c r="D21" s="30">
        <f>COUNTIFS('Master Assortment'!$H$5:$H$2460,A21,'Master Assortment'!$J$5:$J$2460,"Discontinued")</f>
        <v>0</v>
      </c>
      <c r="E21" s="31" t="str">
        <f>IFERROR(AVERAGEIF('Master Assortment'!$H$5:$H$2460,A21,'Master Assortment'!$W$5:$W$2460),"0")</f>
        <v>0</v>
      </c>
      <c r="F21" s="30">
        <f>IFERROR(COUNTIFS('Master Assortment'!H$5:H$2460,A21,'Master Assortment'!Y$5:Y$2460,"🆕 New"),"")</f>
        <v>0</v>
      </c>
      <c r="G21" s="30">
        <f>COUNTIFS('Master Assortment'!$H$5:$H$2460,A21,'Master Assortment'!$Y$5:$Y$2460,"🔴 Critical")</f>
        <v>0</v>
      </c>
      <c r="H21" s="30">
        <f>COUNTIFS('Master Assortment'!$H$5:$H$2460,A21,'Master Assortment'!$Y$5:$Y$2460,"🟡 Low")</f>
        <v>0</v>
      </c>
      <c r="I21" s="77">
        <f>COUNTIFS('Master Assortment'!$H$5:$H$2460,A21,'Master Assortment'!$Y$5:$Y$2460,"🟢 Healthy")</f>
        <v>0</v>
      </c>
      <c r="J21" s="77">
        <f>IFERROR(COUNTIFS('Master Assortment'!$H$5:$H$2460,A21,'Master Assortment'!$Y$5:$Y$2460,"🔵 Overstock"),"")</f>
        <v>0</v>
      </c>
      <c r="K21" s="30">
        <f>IFERROR(COUNTIFS('Master Assortment'!$H$5:$H$2460,A21,'Master Assortment'!$Y$5:$Y$2460,"🔴 EOL"),"")</f>
        <v>0</v>
      </c>
      <c r="L21" s="78" t="str" cm="1">
        <f t="array" ref="L21">IFERROR(SUMPRODUCT(('Master Assortment'!$H$5:$H$2494=A21)*IFERROR(VALUE('Master Assortment'!$U$5:$U$2494),0)*IFERROR(VALUE('Master Assortment'!$P$5:$P$2494),0))/SUMPRODUCT(('Master Assortment'!$H$5:$H$2494=A21)*IFERROR(VALUE('Master Assortment'!$U$5:$U$2494),0)),"")</f>
        <v/>
      </c>
      <c r="M21" s="30">
        <f>IFERROR(SUMIF('Master Assortment'!$H$5:$H$2458,A21,'Master Assortment'!$S$5:$S$2458),"")</f>
        <v>0</v>
      </c>
      <c r="N21" s="30">
        <f>IFERROR(SUMIF('Master Assortment'!$H$5:$H$2458,A21,'Master Assortment'!$T$5:$T$2458),"")</f>
        <v>0</v>
      </c>
      <c r="O21" s="30">
        <f>IFERROR(SUMIF('Master Assortment'!$H$5:$H$2458,A21,'Master Assortment'!$U$5:$U$2458),"")</f>
        <v>0</v>
      </c>
      <c r="P21" s="30">
        <f ca="1">IFERROR(SUMIF('Master Assortment'!$H$5:HJ$2458,A21,'Master Assortment'!$V$5:$V$2458),"")</f>
        <v>0</v>
      </c>
    </row>
  </sheetData>
  <customSheetViews>
    <customSheetView guid="{FE60293F-D66D-444E-A1CD-0D97CF17EBD5}" showGridLines="0">
      <selection activeCell="E8" sqref="E8"/>
      <pageMargins left="0.75" right="0.75" top="1" bottom="1" header="0.511811023622047" footer="0.511811023622047"/>
      <pageSetup paperSize="9" orientation="portrait" horizontalDpi="300" verticalDpi="300"/>
    </customSheetView>
    <customSheetView guid="{3301D7ED-6574-40EB-BC76-168E5F04FB0F}" showGridLines="0">
      <selection activeCell="C51" sqref="C51"/>
      <pageMargins left="0.75" right="0.75" top="1" bottom="1" header="0.511811023622047" footer="0.511811023622047"/>
      <pageSetup paperSize="9" orientation="portrait" horizontalDpi="300" verticalDpi="300"/>
    </customSheetView>
    <customSheetView guid="{747C58B5-1285-44D2-9D58-49973DC73188}" showGridLines="0">
      <selection activeCell="C51" sqref="C51"/>
      <pageMargins left="0.75" right="0.75" top="1" bottom="1" header="0.511811023622047" footer="0.511811023622047"/>
      <pageSetup paperSize="9" orientation="portrait" horizontalDpi="300" verticalDpi="300"/>
    </customSheetView>
    <customSheetView guid="{BFC23A99-8068-4F7A-A3EF-B0436B22DBB2}" showGridLines="0">
      <selection activeCell="C51" sqref="C51"/>
      <pageMargins left="0.75" right="0.75" top="1" bottom="1" header="0.511811023622047" footer="0.511811023622047"/>
      <pageSetup paperSize="9" orientation="portrait" horizontalDpi="300" verticalDpi="300"/>
    </customSheetView>
    <customSheetView guid="{051F7B8E-8887-4F7C-BE84-39381F59BBAB}" showGridLines="0">
      <selection activeCell="C51" sqref="C51"/>
      <pageMargins left="0.75" right="0.75" top="1" bottom="1" header="0.511811023622047" footer="0.511811023622047"/>
      <pageSetup paperSize="9" orientation="portrait" horizontalDpi="300" verticalDpi="300"/>
    </customSheetView>
  </customSheetViews>
  <mergeCells count="2">
    <mergeCell ref="A1:P1"/>
    <mergeCell ref="A6:P6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A4A6A"/>
  </sheetPr>
  <dimension ref="A1:K190"/>
  <sheetViews>
    <sheetView showGridLines="0" workbookViewId="0">
      <pane ySplit="2" topLeftCell="A3" activePane="bottomLeft" state="frozen"/>
      <selection pane="bottomLeft" activeCell="E20" sqref="E20"/>
    </sheetView>
  </sheetViews>
  <sheetFormatPr defaultColWidth="8.7109375" defaultRowHeight="15" x14ac:dyDescent="0.25"/>
  <cols>
    <col min="1" max="1" width="12" customWidth="1"/>
    <col min="2" max="2" width="18" customWidth="1"/>
    <col min="3" max="3" width="16" customWidth="1"/>
    <col min="4" max="4" width="13" customWidth="1"/>
    <col min="5" max="5" width="17" customWidth="1"/>
    <col min="6" max="6" width="44" customWidth="1"/>
    <col min="7" max="7" width="13" customWidth="1"/>
    <col min="8" max="8" width="11" customWidth="1"/>
    <col min="9" max="9" width="12" customWidth="1"/>
    <col min="10" max="10" width="18" customWidth="1"/>
    <col min="11" max="11" width="13" customWidth="1"/>
  </cols>
  <sheetData>
    <row r="1" spans="1:11" ht="25.5" customHeight="1" x14ac:dyDescent="0.25">
      <c r="A1" s="104" t="s">
        <v>44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ht="19.5" customHeight="1" x14ac:dyDescent="0.25">
      <c r="A2" s="33" t="s">
        <v>45</v>
      </c>
      <c r="B2" s="33" t="s">
        <v>6</v>
      </c>
      <c r="C2" s="33" t="s">
        <v>7</v>
      </c>
      <c r="D2" s="33" t="s">
        <v>11</v>
      </c>
      <c r="E2" s="33" t="s">
        <v>12</v>
      </c>
      <c r="F2" s="33" t="s">
        <v>10</v>
      </c>
      <c r="G2" s="33" t="s">
        <v>13</v>
      </c>
      <c r="H2" s="33" t="s">
        <v>9</v>
      </c>
      <c r="I2" s="33" t="s">
        <v>46</v>
      </c>
      <c r="J2" s="33" t="s">
        <v>24</v>
      </c>
      <c r="K2" s="33" t="s">
        <v>47</v>
      </c>
    </row>
    <row r="3" spans="1:11" ht="15" customHeight="1" x14ac:dyDescent="0.25">
      <c r="A3" s="34">
        <f>'Master Assortment'!A93</f>
        <v>0</v>
      </c>
      <c r="B3" s="34">
        <f>'Master Assortment'!C93</f>
        <v>0</v>
      </c>
      <c r="C3" s="34">
        <f>'Master Assortment'!D93</f>
        <v>0</v>
      </c>
      <c r="D3" s="34" t="str">
        <f>'Master Assortment'!H93</f>
        <v/>
      </c>
      <c r="E3" s="34" t="str">
        <f>'Master Assortment'!I93</f>
        <v/>
      </c>
      <c r="F3" s="34">
        <f>'Master Assortment'!G93</f>
        <v>0</v>
      </c>
      <c r="G3" s="34">
        <f>'Master Assortment'!J93</f>
        <v>0</v>
      </c>
      <c r="H3" s="35">
        <f>'Master Assortment'!F93</f>
        <v>0</v>
      </c>
      <c r="I3" s="36" t="str">
        <f>'Master Assortment'!P93</f>
        <v/>
      </c>
      <c r="J3" s="34">
        <f>'Master Assortment'!AD93</f>
        <v>0</v>
      </c>
      <c r="K3" s="34" t="str">
        <f>'Master Assortment'!Y93</f>
        <v>—</v>
      </c>
    </row>
    <row r="4" spans="1:11" ht="15" customHeight="1" x14ac:dyDescent="0.25">
      <c r="A4" s="34">
        <f>'Master Assortment'!A47</f>
        <v>0</v>
      </c>
      <c r="B4" s="34">
        <f>'Master Assortment'!C47</f>
        <v>0</v>
      </c>
      <c r="C4" s="34">
        <f>'Master Assortment'!D47</f>
        <v>0</v>
      </c>
      <c r="D4" s="34" t="str">
        <f>'Master Assortment'!H47</f>
        <v/>
      </c>
      <c r="E4" s="34" t="str">
        <f>'Master Assortment'!I47</f>
        <v/>
      </c>
      <c r="F4" s="34">
        <f>'Master Assortment'!G47</f>
        <v>0</v>
      </c>
      <c r="G4" s="34">
        <f>'Master Assortment'!J47</f>
        <v>0</v>
      </c>
      <c r="H4" s="35">
        <f>'Master Assortment'!F47</f>
        <v>0</v>
      </c>
      <c r="I4" s="36" t="str">
        <f>'Master Assortment'!P47</f>
        <v/>
      </c>
      <c r="J4" s="34">
        <f>'Master Assortment'!AD47</f>
        <v>0</v>
      </c>
      <c r="K4" s="34" t="str">
        <f>'Master Assortment'!Y47</f>
        <v>—</v>
      </c>
    </row>
    <row r="5" spans="1:11" ht="15" customHeight="1" x14ac:dyDescent="0.25">
      <c r="A5" s="37">
        <f>'Master Assortment'!A122</f>
        <v>0</v>
      </c>
      <c r="B5" s="37">
        <f>'Master Assortment'!C122</f>
        <v>0</v>
      </c>
      <c r="C5" s="37">
        <f>'Master Assortment'!D122</f>
        <v>0</v>
      </c>
      <c r="D5" s="37" t="str">
        <f>'Master Assortment'!H122</f>
        <v/>
      </c>
      <c r="E5" s="37" t="str">
        <f>'Master Assortment'!I122</f>
        <v/>
      </c>
      <c r="F5" s="37">
        <f>'Master Assortment'!G122</f>
        <v>0</v>
      </c>
      <c r="G5" s="37">
        <f>'Master Assortment'!J122</f>
        <v>0</v>
      </c>
      <c r="H5" s="38">
        <f>'Master Assortment'!F122</f>
        <v>0</v>
      </c>
      <c r="I5" s="39" t="str">
        <f>'Master Assortment'!P122</f>
        <v/>
      </c>
      <c r="J5" s="37">
        <f>'Master Assortment'!AD122</f>
        <v>0</v>
      </c>
      <c r="K5" s="37" t="str">
        <f>'Master Assortment'!Y122</f>
        <v>—</v>
      </c>
    </row>
    <row r="6" spans="1:11" ht="15" customHeight="1" x14ac:dyDescent="0.25">
      <c r="A6" s="37">
        <f>'Master Assortment'!A106</f>
        <v>0</v>
      </c>
      <c r="B6" s="37">
        <f>'Master Assortment'!C106</f>
        <v>0</v>
      </c>
      <c r="C6" s="37">
        <f>'Master Assortment'!D106</f>
        <v>0</v>
      </c>
      <c r="D6" s="37" t="str">
        <f>'Master Assortment'!H106</f>
        <v/>
      </c>
      <c r="E6" s="37" t="str">
        <f>'Master Assortment'!I106</f>
        <v/>
      </c>
      <c r="F6" s="37">
        <f>'Master Assortment'!G106</f>
        <v>0</v>
      </c>
      <c r="G6" s="37">
        <f>'Master Assortment'!J106</f>
        <v>0</v>
      </c>
      <c r="H6" s="38">
        <f>'Master Assortment'!F106</f>
        <v>0</v>
      </c>
      <c r="I6" s="39" t="str">
        <f>'Master Assortment'!P106</f>
        <v/>
      </c>
      <c r="J6" s="37">
        <f>'Master Assortment'!AD106</f>
        <v>0</v>
      </c>
      <c r="K6" s="37" t="str">
        <f>'Master Assortment'!Y106</f>
        <v>—</v>
      </c>
    </row>
    <row r="7" spans="1:11" ht="15" customHeight="1" x14ac:dyDescent="0.25">
      <c r="A7" s="34">
        <f>'Master Assortment'!A8</f>
        <v>0</v>
      </c>
      <c r="B7" s="34">
        <f>'Master Assortment'!C8</f>
        <v>0</v>
      </c>
      <c r="C7" s="34">
        <f>'Master Assortment'!D8</f>
        <v>0</v>
      </c>
      <c r="D7" s="34" t="str">
        <f>'Master Assortment'!H8</f>
        <v/>
      </c>
      <c r="E7" s="34" t="str">
        <f>'Master Assortment'!I8</f>
        <v/>
      </c>
      <c r="F7" s="34">
        <f>'Master Assortment'!G8</f>
        <v>0</v>
      </c>
      <c r="G7" s="34">
        <f>'Master Assortment'!J8</f>
        <v>0</v>
      </c>
      <c r="H7" s="35">
        <f>'Master Assortment'!F8</f>
        <v>0</v>
      </c>
      <c r="I7" s="36" t="str">
        <f>'Master Assortment'!P8</f>
        <v/>
      </c>
      <c r="J7" s="34">
        <f>'Master Assortment'!AD8</f>
        <v>0</v>
      </c>
      <c r="K7" s="34" t="str">
        <f>'Master Assortment'!Y8</f>
        <v>—</v>
      </c>
    </row>
    <row r="8" spans="1:11" ht="15" customHeight="1" x14ac:dyDescent="0.25">
      <c r="A8" s="37">
        <f>'Master Assortment'!A68</f>
        <v>0</v>
      </c>
      <c r="B8" s="37">
        <f>'Master Assortment'!C68</f>
        <v>0</v>
      </c>
      <c r="C8" s="37">
        <f>'Master Assortment'!D68</f>
        <v>0</v>
      </c>
      <c r="D8" s="37" t="str">
        <f>'Master Assortment'!H68</f>
        <v/>
      </c>
      <c r="E8" s="37" t="str">
        <f>'Master Assortment'!I68</f>
        <v/>
      </c>
      <c r="F8" s="37">
        <f>'Master Assortment'!G68</f>
        <v>0</v>
      </c>
      <c r="G8" s="37">
        <f>'Master Assortment'!J68</f>
        <v>0</v>
      </c>
      <c r="H8" s="38">
        <f>'Master Assortment'!F68</f>
        <v>0</v>
      </c>
      <c r="I8" s="39" t="str">
        <f>'Master Assortment'!P68</f>
        <v/>
      </c>
      <c r="J8" s="37">
        <f>'Master Assortment'!AD68</f>
        <v>0</v>
      </c>
      <c r="K8" s="37" t="str">
        <f>'Master Assortment'!Y68</f>
        <v>—</v>
      </c>
    </row>
    <row r="9" spans="1:11" ht="15" customHeight="1" x14ac:dyDescent="0.25">
      <c r="A9" s="37">
        <f>'Master Assortment'!A75</f>
        <v>0</v>
      </c>
      <c r="B9" s="37">
        <f>'Master Assortment'!C75</f>
        <v>0</v>
      </c>
      <c r="C9" s="37">
        <f>'Master Assortment'!D75</f>
        <v>0</v>
      </c>
      <c r="D9" s="37" t="str">
        <f>'Master Assortment'!H75</f>
        <v/>
      </c>
      <c r="E9" s="37" t="str">
        <f>'Master Assortment'!I75</f>
        <v/>
      </c>
      <c r="F9" s="37">
        <f>'Master Assortment'!G75</f>
        <v>0</v>
      </c>
      <c r="G9" s="37">
        <f>'Master Assortment'!J75</f>
        <v>0</v>
      </c>
      <c r="H9" s="38">
        <f>'Master Assortment'!F75</f>
        <v>0</v>
      </c>
      <c r="I9" s="39" t="str">
        <f>'Master Assortment'!P75</f>
        <v/>
      </c>
      <c r="J9" s="37">
        <f>'Master Assortment'!AD75</f>
        <v>0</v>
      </c>
      <c r="K9" s="37" t="str">
        <f>'Master Assortment'!Y75</f>
        <v>—</v>
      </c>
    </row>
    <row r="10" spans="1:11" ht="15" customHeight="1" x14ac:dyDescent="0.25">
      <c r="A10" s="34">
        <f>'Master Assortment'!A43</f>
        <v>0</v>
      </c>
      <c r="B10" s="34">
        <f>'Master Assortment'!C43</f>
        <v>0</v>
      </c>
      <c r="C10" s="34">
        <f>'Master Assortment'!D43</f>
        <v>0</v>
      </c>
      <c r="D10" s="34" t="str">
        <f>'Master Assortment'!H43</f>
        <v/>
      </c>
      <c r="E10" s="34" t="str">
        <f>'Master Assortment'!I43</f>
        <v/>
      </c>
      <c r="F10" s="34">
        <f>'Master Assortment'!G43</f>
        <v>0</v>
      </c>
      <c r="G10" s="34">
        <f>'Master Assortment'!J43</f>
        <v>0</v>
      </c>
      <c r="H10" s="35">
        <f>'Master Assortment'!F43</f>
        <v>0</v>
      </c>
      <c r="I10" s="36" t="str">
        <f>'Master Assortment'!P43</f>
        <v/>
      </c>
      <c r="J10" s="34">
        <f>'Master Assortment'!AD43</f>
        <v>0</v>
      </c>
      <c r="K10" s="34" t="str">
        <f>'Master Assortment'!Y43</f>
        <v>—</v>
      </c>
    </row>
    <row r="11" spans="1:11" ht="15" customHeight="1" x14ac:dyDescent="0.25">
      <c r="A11" s="34">
        <f>'Master Assortment'!A129</f>
        <v>0</v>
      </c>
      <c r="B11" s="34">
        <f>'Master Assortment'!C129</f>
        <v>0</v>
      </c>
      <c r="C11" s="34">
        <f>'Master Assortment'!D129</f>
        <v>0</v>
      </c>
      <c r="D11" s="34" t="str">
        <f>'Master Assortment'!H129</f>
        <v/>
      </c>
      <c r="E11" s="34" t="str">
        <f>'Master Assortment'!I129</f>
        <v/>
      </c>
      <c r="F11" s="34">
        <f>'Master Assortment'!G129</f>
        <v>0</v>
      </c>
      <c r="G11" s="34">
        <f>'Master Assortment'!J129</f>
        <v>0</v>
      </c>
      <c r="H11" s="35">
        <f>'Master Assortment'!F129</f>
        <v>0</v>
      </c>
      <c r="I11" s="36" t="str">
        <f>'Master Assortment'!P129</f>
        <v/>
      </c>
      <c r="J11" s="34">
        <f>'Master Assortment'!AD129</f>
        <v>0</v>
      </c>
      <c r="K11" s="34" t="str">
        <f>'Master Assortment'!Y129</f>
        <v>—</v>
      </c>
    </row>
    <row r="12" spans="1:11" ht="15" customHeight="1" x14ac:dyDescent="0.25">
      <c r="A12" s="37">
        <f>'Master Assortment'!A52</f>
        <v>0</v>
      </c>
      <c r="B12" s="37">
        <f>'Master Assortment'!C52</f>
        <v>0</v>
      </c>
      <c r="C12" s="37">
        <f>'Master Assortment'!D52</f>
        <v>0</v>
      </c>
      <c r="D12" s="37" t="str">
        <f>'Master Assortment'!H52</f>
        <v/>
      </c>
      <c r="E12" s="37" t="str">
        <f>'Master Assortment'!I52</f>
        <v/>
      </c>
      <c r="F12" s="37">
        <f>'Master Assortment'!G52</f>
        <v>0</v>
      </c>
      <c r="G12" s="37">
        <f>'Master Assortment'!J52</f>
        <v>0</v>
      </c>
      <c r="H12" s="38">
        <f>'Master Assortment'!F52</f>
        <v>0</v>
      </c>
      <c r="I12" s="39" t="str">
        <f>'Master Assortment'!P52</f>
        <v/>
      </c>
      <c r="J12" s="37">
        <f>'Master Assortment'!AD52</f>
        <v>0</v>
      </c>
      <c r="K12" s="37" t="str">
        <f>'Master Assortment'!Y52</f>
        <v>—</v>
      </c>
    </row>
    <row r="13" spans="1:11" ht="15" customHeight="1" x14ac:dyDescent="0.25">
      <c r="A13" s="34">
        <f>'Master Assortment'!A20</f>
        <v>0</v>
      </c>
      <c r="B13" s="34">
        <f>'Master Assortment'!C20</f>
        <v>0</v>
      </c>
      <c r="C13" s="34">
        <f>'Master Assortment'!D20</f>
        <v>0</v>
      </c>
      <c r="D13" s="34" t="str">
        <f>'Master Assortment'!H20</f>
        <v/>
      </c>
      <c r="E13" s="34" t="str">
        <f>'Master Assortment'!I20</f>
        <v/>
      </c>
      <c r="F13" s="34">
        <f>'Master Assortment'!G20</f>
        <v>0</v>
      </c>
      <c r="G13" s="34">
        <f>'Master Assortment'!J20</f>
        <v>0</v>
      </c>
      <c r="H13" s="35">
        <f>'Master Assortment'!F20</f>
        <v>0</v>
      </c>
      <c r="I13" s="36" t="str">
        <f>'Master Assortment'!P20</f>
        <v/>
      </c>
      <c r="J13" s="34">
        <f>'Master Assortment'!AD20</f>
        <v>0</v>
      </c>
      <c r="K13" s="34" t="str">
        <f>'Master Assortment'!Y20</f>
        <v>—</v>
      </c>
    </row>
    <row r="14" spans="1:11" ht="15" customHeight="1" x14ac:dyDescent="0.25">
      <c r="A14" s="34">
        <f>'Master Assortment'!A12</f>
        <v>0</v>
      </c>
      <c r="B14" s="34">
        <f>'Master Assortment'!C12</f>
        <v>0</v>
      </c>
      <c r="C14" s="34">
        <f>'Master Assortment'!D12</f>
        <v>0</v>
      </c>
      <c r="D14" s="34" t="str">
        <f>'Master Assortment'!H12</f>
        <v/>
      </c>
      <c r="E14" s="34" t="str">
        <f>'Master Assortment'!I12</f>
        <v/>
      </c>
      <c r="F14" s="34">
        <f>'Master Assortment'!G12</f>
        <v>0</v>
      </c>
      <c r="G14" s="34">
        <f>'Master Assortment'!J12</f>
        <v>0</v>
      </c>
      <c r="H14" s="35">
        <f>'Master Assortment'!F12</f>
        <v>0</v>
      </c>
      <c r="I14" s="36" t="str">
        <f>'Master Assortment'!P12</f>
        <v/>
      </c>
      <c r="J14" s="34">
        <f>'Master Assortment'!AD12</f>
        <v>0</v>
      </c>
      <c r="K14" s="34" t="str">
        <f>'Master Assortment'!Y12</f>
        <v>—</v>
      </c>
    </row>
    <row r="15" spans="1:11" ht="15" customHeight="1" x14ac:dyDescent="0.25">
      <c r="A15" s="37">
        <f>'Master Assortment'!A108</f>
        <v>0</v>
      </c>
      <c r="B15" s="37">
        <f>'Master Assortment'!C108</f>
        <v>0</v>
      </c>
      <c r="C15" s="37">
        <f>'Master Assortment'!D108</f>
        <v>0</v>
      </c>
      <c r="D15" s="37" t="str">
        <f>'Master Assortment'!H108</f>
        <v/>
      </c>
      <c r="E15" s="37" t="str">
        <f>'Master Assortment'!I108</f>
        <v/>
      </c>
      <c r="F15" s="37">
        <f>'Master Assortment'!G108</f>
        <v>0</v>
      </c>
      <c r="G15" s="37">
        <f>'Master Assortment'!J108</f>
        <v>0</v>
      </c>
      <c r="H15" s="38">
        <f>'Master Assortment'!F108</f>
        <v>0</v>
      </c>
      <c r="I15" s="39" t="str">
        <f>'Master Assortment'!P108</f>
        <v/>
      </c>
      <c r="J15" s="37">
        <f>'Master Assortment'!AD108</f>
        <v>0</v>
      </c>
      <c r="K15" s="37" t="str">
        <f>'Master Assortment'!Y108</f>
        <v>—</v>
      </c>
    </row>
    <row r="16" spans="1:11" ht="15" customHeight="1" x14ac:dyDescent="0.25">
      <c r="A16" s="37">
        <f>'Master Assortment'!A90</f>
        <v>0</v>
      </c>
      <c r="B16" s="37">
        <f>'Master Assortment'!C90</f>
        <v>0</v>
      </c>
      <c r="C16" s="37">
        <f>'Master Assortment'!D90</f>
        <v>0</v>
      </c>
      <c r="D16" s="37" t="str">
        <f>'Master Assortment'!H90</f>
        <v/>
      </c>
      <c r="E16" s="37" t="str">
        <f>'Master Assortment'!I90</f>
        <v/>
      </c>
      <c r="F16" s="37">
        <f>'Master Assortment'!G90</f>
        <v>0</v>
      </c>
      <c r="G16" s="37">
        <f>'Master Assortment'!J90</f>
        <v>0</v>
      </c>
      <c r="H16" s="38">
        <f>'Master Assortment'!F90</f>
        <v>0</v>
      </c>
      <c r="I16" s="39" t="str">
        <f>'Master Assortment'!P90</f>
        <v/>
      </c>
      <c r="J16" s="37">
        <f>'Master Assortment'!AD90</f>
        <v>0</v>
      </c>
      <c r="K16" s="37" t="str">
        <f>'Master Assortment'!Y90</f>
        <v>—</v>
      </c>
    </row>
    <row r="17" spans="1:11" ht="15" customHeight="1" x14ac:dyDescent="0.25">
      <c r="A17" s="37">
        <f>'Master Assortment'!A48</f>
        <v>0</v>
      </c>
      <c r="B17" s="37">
        <f>'Master Assortment'!C48</f>
        <v>0</v>
      </c>
      <c r="C17" s="37">
        <f>'Master Assortment'!D48</f>
        <v>0</v>
      </c>
      <c r="D17" s="37" t="str">
        <f>'Master Assortment'!H48</f>
        <v/>
      </c>
      <c r="E17" s="37" t="str">
        <f>'Master Assortment'!I48</f>
        <v/>
      </c>
      <c r="F17" s="37">
        <f>'Master Assortment'!G48</f>
        <v>0</v>
      </c>
      <c r="G17" s="37">
        <f>'Master Assortment'!J48</f>
        <v>0</v>
      </c>
      <c r="H17" s="38">
        <f>'Master Assortment'!F48</f>
        <v>0</v>
      </c>
      <c r="I17" s="39" t="str">
        <f>'Master Assortment'!P48</f>
        <v/>
      </c>
      <c r="J17" s="37">
        <f>'Master Assortment'!AD48</f>
        <v>0</v>
      </c>
      <c r="K17" s="37" t="str">
        <f>'Master Assortment'!Y48</f>
        <v>—</v>
      </c>
    </row>
    <row r="18" spans="1:11" ht="15" customHeight="1" x14ac:dyDescent="0.25">
      <c r="A18" s="37">
        <f>'Master Assortment'!A73</f>
        <v>0</v>
      </c>
      <c r="B18" s="37">
        <f>'Master Assortment'!C73</f>
        <v>0</v>
      </c>
      <c r="C18" s="37">
        <f>'Master Assortment'!D73</f>
        <v>0</v>
      </c>
      <c r="D18" s="37" t="str">
        <f>'Master Assortment'!H73</f>
        <v/>
      </c>
      <c r="E18" s="37" t="str">
        <f>'Master Assortment'!I73</f>
        <v/>
      </c>
      <c r="F18" s="37">
        <f>'Master Assortment'!G73</f>
        <v>0</v>
      </c>
      <c r="G18" s="37">
        <f>'Master Assortment'!J73</f>
        <v>0</v>
      </c>
      <c r="H18" s="38">
        <f>'Master Assortment'!F73</f>
        <v>0</v>
      </c>
      <c r="I18" s="39" t="str">
        <f>'Master Assortment'!P73</f>
        <v/>
      </c>
      <c r="J18" s="37">
        <f>'Master Assortment'!AD73</f>
        <v>0</v>
      </c>
      <c r="K18" s="37" t="str">
        <f>'Master Assortment'!Y73</f>
        <v>—</v>
      </c>
    </row>
    <row r="19" spans="1:11" ht="15" customHeight="1" x14ac:dyDescent="0.25">
      <c r="A19" s="34">
        <f>'Master Assortment'!A72</f>
        <v>0</v>
      </c>
      <c r="B19" s="34">
        <f>'Master Assortment'!C72</f>
        <v>0</v>
      </c>
      <c r="C19" s="34">
        <f>'Master Assortment'!D72</f>
        <v>0</v>
      </c>
      <c r="D19" s="34" t="str">
        <f>'Master Assortment'!H72</f>
        <v/>
      </c>
      <c r="E19" s="34" t="str">
        <f>'Master Assortment'!I72</f>
        <v/>
      </c>
      <c r="F19" s="34">
        <f>'Master Assortment'!G72</f>
        <v>0</v>
      </c>
      <c r="G19" s="34">
        <f>'Master Assortment'!J72</f>
        <v>0</v>
      </c>
      <c r="H19" s="35">
        <f>'Master Assortment'!F72</f>
        <v>0</v>
      </c>
      <c r="I19" s="36" t="str">
        <f>'Master Assortment'!P72</f>
        <v/>
      </c>
      <c r="J19" s="34">
        <f>'Master Assortment'!AD72</f>
        <v>0</v>
      </c>
      <c r="K19" s="34" t="str">
        <f>'Master Assortment'!Y72</f>
        <v>—</v>
      </c>
    </row>
    <row r="20" spans="1:11" ht="15" customHeight="1" x14ac:dyDescent="0.25">
      <c r="A20" s="34">
        <f>'Master Assortment'!A95</f>
        <v>0</v>
      </c>
      <c r="B20" s="34">
        <f>'Master Assortment'!C95</f>
        <v>0</v>
      </c>
      <c r="C20" s="34">
        <f>'Master Assortment'!D95</f>
        <v>0</v>
      </c>
      <c r="D20" s="34" t="str">
        <f>'Master Assortment'!H95</f>
        <v/>
      </c>
      <c r="E20" s="34" t="str">
        <f>'Master Assortment'!I95</f>
        <v/>
      </c>
      <c r="F20" s="34">
        <f>'Master Assortment'!G95</f>
        <v>0</v>
      </c>
      <c r="G20" s="34">
        <f>'Master Assortment'!J95</f>
        <v>0</v>
      </c>
      <c r="H20" s="35">
        <f>'Master Assortment'!F95</f>
        <v>0</v>
      </c>
      <c r="I20" s="36" t="str">
        <f>'Master Assortment'!P95</f>
        <v/>
      </c>
      <c r="J20" s="34">
        <f>'Master Assortment'!AD95</f>
        <v>0</v>
      </c>
      <c r="K20" s="34" t="str">
        <f>'Master Assortment'!Y95</f>
        <v>—</v>
      </c>
    </row>
    <row r="21" spans="1:11" ht="15" customHeight="1" x14ac:dyDescent="0.25">
      <c r="A21" s="34">
        <f>'Master Assortment'!A99</f>
        <v>0</v>
      </c>
      <c r="B21" s="34">
        <f>'Master Assortment'!C99</f>
        <v>0</v>
      </c>
      <c r="C21" s="34">
        <f>'Master Assortment'!D99</f>
        <v>0</v>
      </c>
      <c r="D21" s="34" t="str">
        <f>'Master Assortment'!H99</f>
        <v/>
      </c>
      <c r="E21" s="34" t="str">
        <f>'Master Assortment'!I99</f>
        <v/>
      </c>
      <c r="F21" s="34">
        <f>'Master Assortment'!G99</f>
        <v>0</v>
      </c>
      <c r="G21" s="34">
        <f>'Master Assortment'!J99</f>
        <v>0</v>
      </c>
      <c r="H21" s="35">
        <f>'Master Assortment'!F99</f>
        <v>0</v>
      </c>
      <c r="I21" s="36" t="str">
        <f>'Master Assortment'!P99</f>
        <v/>
      </c>
      <c r="J21" s="34">
        <f>'Master Assortment'!AD99</f>
        <v>0</v>
      </c>
      <c r="K21" s="34" t="str">
        <f>'Master Assortment'!Y99</f>
        <v>—</v>
      </c>
    </row>
    <row r="22" spans="1:11" ht="15" customHeight="1" x14ac:dyDescent="0.25">
      <c r="A22" s="37">
        <f>'Master Assortment'!A21</f>
        <v>0</v>
      </c>
      <c r="B22" s="37">
        <f>'Master Assortment'!C21</f>
        <v>0</v>
      </c>
      <c r="C22" s="37">
        <f>'Master Assortment'!D21</f>
        <v>0</v>
      </c>
      <c r="D22" s="37" t="str">
        <f>'Master Assortment'!H21</f>
        <v/>
      </c>
      <c r="E22" s="37" t="str">
        <f>'Master Assortment'!I21</f>
        <v/>
      </c>
      <c r="F22" s="37">
        <f>'Master Assortment'!G21</f>
        <v>0</v>
      </c>
      <c r="G22" s="37">
        <f>'Master Assortment'!J21</f>
        <v>0</v>
      </c>
      <c r="H22" s="38">
        <f>'Master Assortment'!F21</f>
        <v>0</v>
      </c>
      <c r="I22" s="39" t="str">
        <f>'Master Assortment'!P21</f>
        <v/>
      </c>
      <c r="J22" s="37">
        <f>'Master Assortment'!AD21</f>
        <v>0</v>
      </c>
      <c r="K22" s="37" t="str">
        <f>'Master Assortment'!Y21</f>
        <v>—</v>
      </c>
    </row>
    <row r="23" spans="1:11" ht="15" customHeight="1" x14ac:dyDescent="0.25">
      <c r="A23" s="34">
        <f>'Master Assortment'!A49</f>
        <v>0</v>
      </c>
      <c r="B23" s="34">
        <f>'Master Assortment'!C49</f>
        <v>0</v>
      </c>
      <c r="C23" s="34">
        <f>'Master Assortment'!D49</f>
        <v>0</v>
      </c>
      <c r="D23" s="34" t="str">
        <f>'Master Assortment'!H49</f>
        <v/>
      </c>
      <c r="E23" s="34" t="str">
        <f>'Master Assortment'!I49</f>
        <v/>
      </c>
      <c r="F23" s="34">
        <f>'Master Assortment'!G49</f>
        <v>0</v>
      </c>
      <c r="G23" s="34">
        <f>'Master Assortment'!J49</f>
        <v>0</v>
      </c>
      <c r="H23" s="35">
        <f>'Master Assortment'!F49</f>
        <v>0</v>
      </c>
      <c r="I23" s="36" t="str">
        <f>'Master Assortment'!P49</f>
        <v/>
      </c>
      <c r="J23" s="34">
        <f>'Master Assortment'!AD49</f>
        <v>0</v>
      </c>
      <c r="K23" s="34" t="str">
        <f>'Master Assortment'!Y49</f>
        <v>—</v>
      </c>
    </row>
    <row r="24" spans="1:11" ht="15" customHeight="1" x14ac:dyDescent="0.25">
      <c r="A24" s="34">
        <f>'Master Assortment'!A30</f>
        <v>0</v>
      </c>
      <c r="B24" s="34">
        <f>'Master Assortment'!C30</f>
        <v>0</v>
      </c>
      <c r="C24" s="34">
        <f>'Master Assortment'!D30</f>
        <v>0</v>
      </c>
      <c r="D24" s="34" t="str">
        <f>'Master Assortment'!H30</f>
        <v/>
      </c>
      <c r="E24" s="34" t="str">
        <f>'Master Assortment'!I30</f>
        <v/>
      </c>
      <c r="F24" s="34">
        <f>'Master Assortment'!G30</f>
        <v>0</v>
      </c>
      <c r="G24" s="34">
        <f>'Master Assortment'!J30</f>
        <v>0</v>
      </c>
      <c r="H24" s="35">
        <f>'Master Assortment'!F30</f>
        <v>0</v>
      </c>
      <c r="I24" s="36" t="str">
        <f>'Master Assortment'!P30</f>
        <v/>
      </c>
      <c r="J24" s="34">
        <f>'Master Assortment'!AD30</f>
        <v>0</v>
      </c>
      <c r="K24" s="34" t="str">
        <f>'Master Assortment'!Y30</f>
        <v>—</v>
      </c>
    </row>
    <row r="25" spans="1:11" ht="15" customHeight="1" x14ac:dyDescent="0.25">
      <c r="A25" s="37">
        <f>'Master Assortment'!A62</f>
        <v>0</v>
      </c>
      <c r="B25" s="37">
        <f>'Master Assortment'!C62</f>
        <v>0</v>
      </c>
      <c r="C25" s="37">
        <f>'Master Assortment'!D62</f>
        <v>0</v>
      </c>
      <c r="D25" s="37" t="str">
        <f>'Master Assortment'!H62</f>
        <v/>
      </c>
      <c r="E25" s="37" t="str">
        <f>'Master Assortment'!I62</f>
        <v/>
      </c>
      <c r="F25" s="37">
        <f>'Master Assortment'!G62</f>
        <v>0</v>
      </c>
      <c r="G25" s="37">
        <f>'Master Assortment'!J62</f>
        <v>0</v>
      </c>
      <c r="H25" s="38">
        <f>'Master Assortment'!F62</f>
        <v>0</v>
      </c>
      <c r="I25" s="39" t="str">
        <f>'Master Assortment'!P62</f>
        <v/>
      </c>
      <c r="J25" s="37">
        <f>'Master Assortment'!AD62</f>
        <v>0</v>
      </c>
      <c r="K25" s="37" t="str">
        <f>'Master Assortment'!Y62</f>
        <v>—</v>
      </c>
    </row>
    <row r="26" spans="1:11" ht="15" customHeight="1" x14ac:dyDescent="0.25">
      <c r="A26" s="37">
        <f>'Master Assortment'!A69</f>
        <v>0</v>
      </c>
      <c r="B26" s="37">
        <f>'Master Assortment'!C69</f>
        <v>0</v>
      </c>
      <c r="C26" s="37">
        <f>'Master Assortment'!D69</f>
        <v>0</v>
      </c>
      <c r="D26" s="37" t="str">
        <f>'Master Assortment'!H69</f>
        <v/>
      </c>
      <c r="E26" s="37" t="str">
        <f>'Master Assortment'!I69</f>
        <v/>
      </c>
      <c r="F26" s="37">
        <f>'Master Assortment'!G69</f>
        <v>0</v>
      </c>
      <c r="G26" s="37">
        <f>'Master Assortment'!J69</f>
        <v>0</v>
      </c>
      <c r="H26" s="38">
        <f>'Master Assortment'!F69</f>
        <v>0</v>
      </c>
      <c r="I26" s="39" t="str">
        <f>'Master Assortment'!P69</f>
        <v/>
      </c>
      <c r="J26" s="37">
        <f>'Master Assortment'!AD69</f>
        <v>0</v>
      </c>
      <c r="K26" s="37" t="str">
        <f>'Master Assortment'!Y69</f>
        <v>—</v>
      </c>
    </row>
    <row r="27" spans="1:11" ht="15" customHeight="1" x14ac:dyDescent="0.25">
      <c r="A27" s="37">
        <f>'Master Assortment'!A92</f>
        <v>0</v>
      </c>
      <c r="B27" s="37">
        <f>'Master Assortment'!C92</f>
        <v>0</v>
      </c>
      <c r="C27" s="37">
        <f>'Master Assortment'!D92</f>
        <v>0</v>
      </c>
      <c r="D27" s="37" t="str">
        <f>'Master Assortment'!H92</f>
        <v/>
      </c>
      <c r="E27" s="37" t="str">
        <f>'Master Assortment'!I92</f>
        <v/>
      </c>
      <c r="F27" s="37">
        <f>'Master Assortment'!G92</f>
        <v>0</v>
      </c>
      <c r="G27" s="37">
        <f>'Master Assortment'!J92</f>
        <v>0</v>
      </c>
      <c r="H27" s="38">
        <f>'Master Assortment'!F92</f>
        <v>0</v>
      </c>
      <c r="I27" s="39" t="str">
        <f>'Master Assortment'!P92</f>
        <v/>
      </c>
      <c r="J27" s="37">
        <f>'Master Assortment'!AD92</f>
        <v>0</v>
      </c>
      <c r="K27" s="37" t="str">
        <f>'Master Assortment'!Y92</f>
        <v>—</v>
      </c>
    </row>
    <row r="28" spans="1:11" ht="15" customHeight="1" x14ac:dyDescent="0.25">
      <c r="A28" s="34">
        <f>'Master Assortment'!A53</f>
        <v>0</v>
      </c>
      <c r="B28" s="34">
        <f>'Master Assortment'!C53</f>
        <v>0</v>
      </c>
      <c r="C28" s="34">
        <f>'Master Assortment'!D53</f>
        <v>0</v>
      </c>
      <c r="D28" s="34" t="str">
        <f>'Master Assortment'!H53</f>
        <v/>
      </c>
      <c r="E28" s="34" t="str">
        <f>'Master Assortment'!I53</f>
        <v/>
      </c>
      <c r="F28" s="34">
        <f>'Master Assortment'!G53</f>
        <v>0</v>
      </c>
      <c r="G28" s="34">
        <f>'Master Assortment'!J53</f>
        <v>0</v>
      </c>
      <c r="H28" s="35">
        <f>'Master Assortment'!F53</f>
        <v>0</v>
      </c>
      <c r="I28" s="36" t="str">
        <f>'Master Assortment'!P53</f>
        <v/>
      </c>
      <c r="J28" s="34">
        <f>'Master Assortment'!AD53</f>
        <v>0</v>
      </c>
      <c r="K28" s="34" t="str">
        <f>'Master Assortment'!Y53</f>
        <v>—</v>
      </c>
    </row>
    <row r="29" spans="1:11" ht="15" customHeight="1" x14ac:dyDescent="0.25">
      <c r="A29" s="34">
        <f>'Master Assortment'!A61</f>
        <v>0</v>
      </c>
      <c r="B29" s="34">
        <f>'Master Assortment'!C61</f>
        <v>0</v>
      </c>
      <c r="C29" s="34">
        <f>'Master Assortment'!D61</f>
        <v>0</v>
      </c>
      <c r="D29" s="34" t="str">
        <f>'Master Assortment'!H61</f>
        <v/>
      </c>
      <c r="E29" s="34" t="str">
        <f>'Master Assortment'!I61</f>
        <v/>
      </c>
      <c r="F29" s="34">
        <f>'Master Assortment'!G61</f>
        <v>0</v>
      </c>
      <c r="G29" s="34">
        <f>'Master Assortment'!J61</f>
        <v>0</v>
      </c>
      <c r="H29" s="35">
        <f>'Master Assortment'!F61</f>
        <v>0</v>
      </c>
      <c r="I29" s="36" t="str">
        <f>'Master Assortment'!P61</f>
        <v/>
      </c>
      <c r="J29" s="34">
        <f>'Master Assortment'!AD61</f>
        <v>0</v>
      </c>
      <c r="K29" s="34" t="str">
        <f>'Master Assortment'!Y61</f>
        <v>—</v>
      </c>
    </row>
    <row r="30" spans="1:11" ht="15" customHeight="1" x14ac:dyDescent="0.25">
      <c r="A30" s="34">
        <f>'Master Assortment'!A151</f>
        <v>0</v>
      </c>
      <c r="B30" s="34">
        <f>'Master Assortment'!C151</f>
        <v>0</v>
      </c>
      <c r="C30" s="34">
        <f>'Master Assortment'!D151</f>
        <v>0</v>
      </c>
      <c r="D30" s="34" t="str">
        <f>'Master Assortment'!H151</f>
        <v/>
      </c>
      <c r="E30" s="34" t="str">
        <f>'Master Assortment'!I151</f>
        <v/>
      </c>
      <c r="F30" s="34">
        <f>'Master Assortment'!G151</f>
        <v>0</v>
      </c>
      <c r="G30" s="34">
        <f>'Master Assortment'!J151</f>
        <v>0</v>
      </c>
      <c r="H30" s="35">
        <f>'Master Assortment'!F151</f>
        <v>0</v>
      </c>
      <c r="I30" s="36" t="str">
        <f>'Master Assortment'!P151</f>
        <v/>
      </c>
      <c r="J30" s="34">
        <f>'Master Assortment'!AD151</f>
        <v>0</v>
      </c>
      <c r="K30" s="34" t="str">
        <f>'Master Assortment'!Y151</f>
        <v>—</v>
      </c>
    </row>
    <row r="31" spans="1:11" ht="15" customHeight="1" x14ac:dyDescent="0.25">
      <c r="A31" s="37">
        <f>'Master Assortment'!A34</f>
        <v>0</v>
      </c>
      <c r="B31" s="37">
        <f>'Master Assortment'!C34</f>
        <v>0</v>
      </c>
      <c r="C31" s="37">
        <f>'Master Assortment'!D34</f>
        <v>0</v>
      </c>
      <c r="D31" s="37" t="str">
        <f>'Master Assortment'!H34</f>
        <v/>
      </c>
      <c r="E31" s="37" t="str">
        <f>'Master Assortment'!I34</f>
        <v/>
      </c>
      <c r="F31" s="37">
        <f>'Master Assortment'!G34</f>
        <v>0</v>
      </c>
      <c r="G31" s="37">
        <f>'Master Assortment'!J34</f>
        <v>0</v>
      </c>
      <c r="H31" s="38">
        <f>'Master Assortment'!F34</f>
        <v>0</v>
      </c>
      <c r="I31" s="39" t="str">
        <f>'Master Assortment'!P34</f>
        <v/>
      </c>
      <c r="J31" s="37">
        <f>'Master Assortment'!AD34</f>
        <v>0</v>
      </c>
      <c r="K31" s="37" t="str">
        <f>'Master Assortment'!Y34</f>
        <v>—</v>
      </c>
    </row>
    <row r="32" spans="1:11" ht="15" customHeight="1" x14ac:dyDescent="0.25">
      <c r="A32" s="34">
        <f>'Master Assortment'!A83</f>
        <v>0</v>
      </c>
      <c r="B32" s="34">
        <f>'Master Assortment'!C83</f>
        <v>0</v>
      </c>
      <c r="C32" s="34">
        <f>'Master Assortment'!D83</f>
        <v>0</v>
      </c>
      <c r="D32" s="34" t="str">
        <f>'Master Assortment'!H83</f>
        <v/>
      </c>
      <c r="E32" s="34" t="str">
        <f>'Master Assortment'!I83</f>
        <v/>
      </c>
      <c r="F32" s="34">
        <f>'Master Assortment'!G83</f>
        <v>0</v>
      </c>
      <c r="G32" s="34">
        <f>'Master Assortment'!J83</f>
        <v>0</v>
      </c>
      <c r="H32" s="35">
        <f>'Master Assortment'!F83</f>
        <v>0</v>
      </c>
      <c r="I32" s="36" t="str">
        <f>'Master Assortment'!P83</f>
        <v/>
      </c>
      <c r="J32" s="34">
        <f>'Master Assortment'!AD83</f>
        <v>0</v>
      </c>
      <c r="K32" s="34" t="str">
        <f>'Master Assortment'!Y83</f>
        <v>—</v>
      </c>
    </row>
    <row r="33" spans="1:11" ht="15" customHeight="1" x14ac:dyDescent="0.25">
      <c r="A33" s="34">
        <f>'Master Assortment'!A74</f>
        <v>0</v>
      </c>
      <c r="B33" s="34">
        <f>'Master Assortment'!C74</f>
        <v>0</v>
      </c>
      <c r="C33" s="34">
        <f>'Master Assortment'!D74</f>
        <v>0</v>
      </c>
      <c r="D33" s="34" t="str">
        <f>'Master Assortment'!H74</f>
        <v/>
      </c>
      <c r="E33" s="34" t="str">
        <f>'Master Assortment'!I74</f>
        <v/>
      </c>
      <c r="F33" s="34">
        <f>'Master Assortment'!G74</f>
        <v>0</v>
      </c>
      <c r="G33" s="34">
        <f>'Master Assortment'!J74</f>
        <v>0</v>
      </c>
      <c r="H33" s="35">
        <f>'Master Assortment'!F74</f>
        <v>0</v>
      </c>
      <c r="I33" s="36" t="str">
        <f>'Master Assortment'!P74</f>
        <v/>
      </c>
      <c r="J33" s="34">
        <f>'Master Assortment'!AD74</f>
        <v>0</v>
      </c>
      <c r="K33" s="34" t="str">
        <f>'Master Assortment'!Y74</f>
        <v>—</v>
      </c>
    </row>
    <row r="34" spans="1:11" ht="15" customHeight="1" x14ac:dyDescent="0.25">
      <c r="A34" s="34">
        <f>'Master Assortment'!A135</f>
        <v>0</v>
      </c>
      <c r="B34" s="34">
        <f>'Master Assortment'!C135</f>
        <v>0</v>
      </c>
      <c r="C34" s="34">
        <f>'Master Assortment'!D135</f>
        <v>0</v>
      </c>
      <c r="D34" s="34" t="str">
        <f>'Master Assortment'!H135</f>
        <v/>
      </c>
      <c r="E34" s="34" t="str">
        <f>'Master Assortment'!I135</f>
        <v/>
      </c>
      <c r="F34" s="34">
        <f>'Master Assortment'!G135</f>
        <v>0</v>
      </c>
      <c r="G34" s="34">
        <f>'Master Assortment'!J135</f>
        <v>0</v>
      </c>
      <c r="H34" s="35">
        <f>'Master Assortment'!F135</f>
        <v>0</v>
      </c>
      <c r="I34" s="36" t="str">
        <f>'Master Assortment'!P135</f>
        <v/>
      </c>
      <c r="J34" s="34">
        <f>'Master Assortment'!AD135</f>
        <v>0</v>
      </c>
      <c r="K34" s="34" t="str">
        <f>'Master Assortment'!Y135</f>
        <v>—</v>
      </c>
    </row>
    <row r="35" spans="1:11" ht="15" customHeight="1" x14ac:dyDescent="0.25">
      <c r="A35" s="37">
        <f>'Master Assortment'!A132</f>
        <v>0</v>
      </c>
      <c r="B35" s="37">
        <f>'Master Assortment'!C132</f>
        <v>0</v>
      </c>
      <c r="C35" s="37">
        <f>'Master Assortment'!D132</f>
        <v>0</v>
      </c>
      <c r="D35" s="37" t="str">
        <f>'Master Assortment'!H132</f>
        <v/>
      </c>
      <c r="E35" s="37" t="str">
        <f>'Master Assortment'!I132</f>
        <v/>
      </c>
      <c r="F35" s="37">
        <f>'Master Assortment'!G132</f>
        <v>0</v>
      </c>
      <c r="G35" s="37">
        <f>'Master Assortment'!J132</f>
        <v>0</v>
      </c>
      <c r="H35" s="38">
        <f>'Master Assortment'!F132</f>
        <v>0</v>
      </c>
      <c r="I35" s="39" t="str">
        <f>'Master Assortment'!P132</f>
        <v/>
      </c>
      <c r="J35" s="37">
        <f>'Master Assortment'!AD132</f>
        <v>0</v>
      </c>
      <c r="K35" s="37" t="str">
        <f>'Master Assortment'!Y132</f>
        <v>—</v>
      </c>
    </row>
    <row r="36" spans="1:11" ht="15" customHeight="1" x14ac:dyDescent="0.25">
      <c r="A36" s="34">
        <f>'Master Assortment'!A70</f>
        <v>0</v>
      </c>
      <c r="B36" s="34">
        <f>'Master Assortment'!C70</f>
        <v>0</v>
      </c>
      <c r="C36" s="34">
        <f>'Master Assortment'!D70</f>
        <v>0</v>
      </c>
      <c r="D36" s="34" t="str">
        <f>'Master Assortment'!H70</f>
        <v/>
      </c>
      <c r="E36" s="34" t="str">
        <f>'Master Assortment'!I70</f>
        <v/>
      </c>
      <c r="F36" s="34">
        <f>'Master Assortment'!G70</f>
        <v>0</v>
      </c>
      <c r="G36" s="34">
        <f>'Master Assortment'!J70</f>
        <v>0</v>
      </c>
      <c r="H36" s="35">
        <f>'Master Assortment'!F70</f>
        <v>0</v>
      </c>
      <c r="I36" s="36" t="str">
        <f>'Master Assortment'!P70</f>
        <v/>
      </c>
      <c r="J36" s="34">
        <f>'Master Assortment'!AD70</f>
        <v>0</v>
      </c>
      <c r="K36" s="34" t="str">
        <f>'Master Assortment'!Y70</f>
        <v>—</v>
      </c>
    </row>
    <row r="37" spans="1:11" ht="15" customHeight="1" x14ac:dyDescent="0.25">
      <c r="A37" s="34">
        <f>'Master Assortment'!A105</f>
        <v>0</v>
      </c>
      <c r="B37" s="34">
        <f>'Master Assortment'!C105</f>
        <v>0</v>
      </c>
      <c r="C37" s="34">
        <f>'Master Assortment'!D105</f>
        <v>0</v>
      </c>
      <c r="D37" s="34" t="str">
        <f>'Master Assortment'!H105</f>
        <v/>
      </c>
      <c r="E37" s="34" t="str">
        <f>'Master Assortment'!I105</f>
        <v/>
      </c>
      <c r="F37" s="34">
        <f>'Master Assortment'!G105</f>
        <v>0</v>
      </c>
      <c r="G37" s="34">
        <f>'Master Assortment'!J105</f>
        <v>0</v>
      </c>
      <c r="H37" s="35">
        <f>'Master Assortment'!F105</f>
        <v>0</v>
      </c>
      <c r="I37" s="36" t="str">
        <f>'Master Assortment'!P105</f>
        <v/>
      </c>
      <c r="J37" s="34">
        <f>'Master Assortment'!AD105</f>
        <v>0</v>
      </c>
      <c r="K37" s="34" t="str">
        <f>'Master Assortment'!Y105</f>
        <v>—</v>
      </c>
    </row>
    <row r="38" spans="1:11" ht="15" customHeight="1" x14ac:dyDescent="0.25">
      <c r="A38" s="37">
        <f>'Master Assortment'!A134</f>
        <v>0</v>
      </c>
      <c r="B38" s="37">
        <f>'Master Assortment'!C134</f>
        <v>0</v>
      </c>
      <c r="C38" s="37">
        <f>'Master Assortment'!D134</f>
        <v>0</v>
      </c>
      <c r="D38" s="37" t="str">
        <f>'Master Assortment'!H134</f>
        <v/>
      </c>
      <c r="E38" s="37" t="str">
        <f>'Master Assortment'!I134</f>
        <v/>
      </c>
      <c r="F38" s="37">
        <f>'Master Assortment'!G134</f>
        <v>0</v>
      </c>
      <c r="G38" s="37">
        <f>'Master Assortment'!J134</f>
        <v>0</v>
      </c>
      <c r="H38" s="38">
        <f>'Master Assortment'!F134</f>
        <v>0</v>
      </c>
      <c r="I38" s="39" t="str">
        <f>'Master Assortment'!P134</f>
        <v/>
      </c>
      <c r="J38" s="37">
        <f>'Master Assortment'!AD134</f>
        <v>0</v>
      </c>
      <c r="K38" s="37" t="str">
        <f>'Master Assortment'!Y134</f>
        <v>—</v>
      </c>
    </row>
    <row r="39" spans="1:11" ht="15" customHeight="1" x14ac:dyDescent="0.25">
      <c r="A39" s="37">
        <f>'Master Assortment'!A42</f>
        <v>0</v>
      </c>
      <c r="B39" s="37">
        <f>'Master Assortment'!C42</f>
        <v>0</v>
      </c>
      <c r="C39" s="37">
        <f>'Master Assortment'!D42</f>
        <v>0</v>
      </c>
      <c r="D39" s="37" t="str">
        <f>'Master Assortment'!H42</f>
        <v/>
      </c>
      <c r="E39" s="37" t="str">
        <f>'Master Assortment'!I42</f>
        <v/>
      </c>
      <c r="F39" s="37">
        <f>'Master Assortment'!G42</f>
        <v>0</v>
      </c>
      <c r="G39" s="37">
        <f>'Master Assortment'!J42</f>
        <v>0</v>
      </c>
      <c r="H39" s="38">
        <f>'Master Assortment'!F42</f>
        <v>0</v>
      </c>
      <c r="I39" s="39" t="str">
        <f>'Master Assortment'!P42</f>
        <v/>
      </c>
      <c r="J39" s="37">
        <f>'Master Assortment'!AD42</f>
        <v>0</v>
      </c>
      <c r="K39" s="37" t="str">
        <f>'Master Assortment'!Y42</f>
        <v>—</v>
      </c>
    </row>
    <row r="40" spans="1:11" ht="15" customHeight="1" x14ac:dyDescent="0.25">
      <c r="A40" s="37">
        <f>'Master Assortment'!A23</f>
        <v>0</v>
      </c>
      <c r="B40" s="37">
        <f>'Master Assortment'!C23</f>
        <v>0</v>
      </c>
      <c r="C40" s="37">
        <f>'Master Assortment'!D23</f>
        <v>0</v>
      </c>
      <c r="D40" s="37" t="str">
        <f>'Master Assortment'!H23</f>
        <v/>
      </c>
      <c r="E40" s="37" t="str">
        <f>'Master Assortment'!I23</f>
        <v/>
      </c>
      <c r="F40" s="37">
        <f>'Master Assortment'!G23</f>
        <v>0</v>
      </c>
      <c r="G40" s="37">
        <f>'Master Assortment'!J23</f>
        <v>0</v>
      </c>
      <c r="H40" s="38">
        <f>'Master Assortment'!F23</f>
        <v>0</v>
      </c>
      <c r="I40" s="39" t="str">
        <f>'Master Assortment'!P23</f>
        <v/>
      </c>
      <c r="J40" s="37">
        <f>'Master Assortment'!AD23</f>
        <v>0</v>
      </c>
      <c r="K40" s="37" t="str">
        <f>'Master Assortment'!Y23</f>
        <v>—</v>
      </c>
    </row>
    <row r="41" spans="1:11" ht="15" customHeight="1" x14ac:dyDescent="0.25">
      <c r="A41" s="34">
        <f>'Master Assortment'!A45</f>
        <v>0</v>
      </c>
      <c r="B41" s="34">
        <f>'Master Assortment'!C45</f>
        <v>0</v>
      </c>
      <c r="C41" s="34">
        <f>'Master Assortment'!D45</f>
        <v>0</v>
      </c>
      <c r="D41" s="34" t="str">
        <f>'Master Assortment'!H45</f>
        <v/>
      </c>
      <c r="E41" s="34" t="str">
        <f>'Master Assortment'!I45</f>
        <v/>
      </c>
      <c r="F41" s="34">
        <f>'Master Assortment'!G45</f>
        <v>0</v>
      </c>
      <c r="G41" s="34">
        <f>'Master Assortment'!J45</f>
        <v>0</v>
      </c>
      <c r="H41" s="35">
        <f>'Master Assortment'!F45</f>
        <v>0</v>
      </c>
      <c r="I41" s="36" t="str">
        <f>'Master Assortment'!P45</f>
        <v/>
      </c>
      <c r="J41" s="34">
        <f>'Master Assortment'!AD45</f>
        <v>0</v>
      </c>
      <c r="K41" s="34" t="str">
        <f>'Master Assortment'!Y45</f>
        <v>—</v>
      </c>
    </row>
    <row r="42" spans="1:11" ht="15" customHeight="1" x14ac:dyDescent="0.25">
      <c r="A42" s="37">
        <f>'Master Assortment'!A54</f>
        <v>0</v>
      </c>
      <c r="B42" s="37">
        <f>'Master Assortment'!C54</f>
        <v>0</v>
      </c>
      <c r="C42" s="37">
        <f>'Master Assortment'!D54</f>
        <v>0</v>
      </c>
      <c r="D42" s="37" t="str">
        <f>'Master Assortment'!H54</f>
        <v/>
      </c>
      <c r="E42" s="37" t="str">
        <f>'Master Assortment'!I54</f>
        <v/>
      </c>
      <c r="F42" s="37">
        <f>'Master Assortment'!G54</f>
        <v>0</v>
      </c>
      <c r="G42" s="37">
        <f>'Master Assortment'!J54</f>
        <v>0</v>
      </c>
      <c r="H42" s="38">
        <f>'Master Assortment'!F54</f>
        <v>0</v>
      </c>
      <c r="I42" s="39" t="str">
        <f>'Master Assortment'!P54</f>
        <v/>
      </c>
      <c r="J42" s="37">
        <f>'Master Assortment'!AD54</f>
        <v>0</v>
      </c>
      <c r="K42" s="37" t="str">
        <f>'Master Assortment'!Y54</f>
        <v>—</v>
      </c>
    </row>
    <row r="43" spans="1:11" ht="15" customHeight="1" x14ac:dyDescent="0.25">
      <c r="A43" s="37">
        <f>'Master Assortment'!A55</f>
        <v>0</v>
      </c>
      <c r="B43" s="37">
        <f>'Master Assortment'!C55</f>
        <v>0</v>
      </c>
      <c r="C43" s="37">
        <f>'Master Assortment'!D55</f>
        <v>0</v>
      </c>
      <c r="D43" s="37" t="str">
        <f>'Master Assortment'!H55</f>
        <v/>
      </c>
      <c r="E43" s="37" t="str">
        <f>'Master Assortment'!I55</f>
        <v/>
      </c>
      <c r="F43" s="37">
        <f>'Master Assortment'!G55</f>
        <v>0</v>
      </c>
      <c r="G43" s="37">
        <f>'Master Assortment'!J55</f>
        <v>0</v>
      </c>
      <c r="H43" s="38">
        <f>'Master Assortment'!F55</f>
        <v>0</v>
      </c>
      <c r="I43" s="39" t="str">
        <f>'Master Assortment'!P55</f>
        <v/>
      </c>
      <c r="J43" s="37">
        <f>'Master Assortment'!AD55</f>
        <v>0</v>
      </c>
      <c r="K43" s="37" t="str">
        <f>'Master Assortment'!Y55</f>
        <v>—</v>
      </c>
    </row>
    <row r="44" spans="1:11" ht="15" customHeight="1" x14ac:dyDescent="0.25">
      <c r="A44" s="37">
        <f>'Master Assortment'!A64</f>
        <v>0</v>
      </c>
      <c r="B44" s="37">
        <f>'Master Assortment'!C64</f>
        <v>0</v>
      </c>
      <c r="C44" s="37">
        <f>'Master Assortment'!D64</f>
        <v>0</v>
      </c>
      <c r="D44" s="37" t="str">
        <f>'Master Assortment'!H64</f>
        <v/>
      </c>
      <c r="E44" s="37" t="str">
        <f>'Master Assortment'!I64</f>
        <v/>
      </c>
      <c r="F44" s="37">
        <f>'Master Assortment'!G64</f>
        <v>0</v>
      </c>
      <c r="G44" s="37">
        <f>'Master Assortment'!J64</f>
        <v>0</v>
      </c>
      <c r="H44" s="38">
        <f>'Master Assortment'!F64</f>
        <v>0</v>
      </c>
      <c r="I44" s="39" t="str">
        <f>'Master Assortment'!P64</f>
        <v/>
      </c>
      <c r="J44" s="37">
        <f>'Master Assortment'!AD64</f>
        <v>0</v>
      </c>
      <c r="K44" s="37" t="str">
        <f>'Master Assortment'!Y64</f>
        <v>—</v>
      </c>
    </row>
    <row r="45" spans="1:11" ht="15" customHeight="1" x14ac:dyDescent="0.25">
      <c r="A45" s="34">
        <f>'Master Assortment'!A140</f>
        <v>0</v>
      </c>
      <c r="B45" s="34">
        <f>'Master Assortment'!C140</f>
        <v>0</v>
      </c>
      <c r="C45" s="34">
        <f>'Master Assortment'!D140</f>
        <v>0</v>
      </c>
      <c r="D45" s="34" t="str">
        <f>'Master Assortment'!H140</f>
        <v/>
      </c>
      <c r="E45" s="34" t="str">
        <f>'Master Assortment'!I140</f>
        <v/>
      </c>
      <c r="F45" s="34">
        <f>'Master Assortment'!G140</f>
        <v>0</v>
      </c>
      <c r="G45" s="34">
        <f>'Master Assortment'!J140</f>
        <v>0</v>
      </c>
      <c r="H45" s="35">
        <f>'Master Assortment'!F140</f>
        <v>0</v>
      </c>
      <c r="I45" s="36" t="str">
        <f>'Master Assortment'!P140</f>
        <v/>
      </c>
      <c r="J45" s="34">
        <f>'Master Assortment'!AD140</f>
        <v>0</v>
      </c>
      <c r="K45" s="34" t="str">
        <f>'Master Assortment'!Y140</f>
        <v>—</v>
      </c>
    </row>
    <row r="46" spans="1:11" ht="15" customHeight="1" x14ac:dyDescent="0.25">
      <c r="A46" s="37">
        <f>'Master Assortment'!A116</f>
        <v>0</v>
      </c>
      <c r="B46" s="37">
        <f>'Master Assortment'!C116</f>
        <v>0</v>
      </c>
      <c r="C46" s="37">
        <f>'Master Assortment'!D116</f>
        <v>0</v>
      </c>
      <c r="D46" s="37" t="str">
        <f>'Master Assortment'!H116</f>
        <v/>
      </c>
      <c r="E46" s="37" t="str">
        <f>'Master Assortment'!I116</f>
        <v/>
      </c>
      <c r="F46" s="37">
        <f>'Master Assortment'!G116</f>
        <v>0</v>
      </c>
      <c r="G46" s="37">
        <f>'Master Assortment'!J116</f>
        <v>0</v>
      </c>
      <c r="H46" s="38">
        <f>'Master Assortment'!F116</f>
        <v>0</v>
      </c>
      <c r="I46" s="39" t="str">
        <f>'Master Assortment'!P116</f>
        <v/>
      </c>
      <c r="J46" s="37">
        <f>'Master Assortment'!AD116</f>
        <v>0</v>
      </c>
      <c r="K46" s="37" t="str">
        <f>'Master Assortment'!Y116</f>
        <v>—</v>
      </c>
    </row>
    <row r="47" spans="1:11" ht="15" customHeight="1" x14ac:dyDescent="0.25">
      <c r="A47" s="37">
        <f>'Master Assortment'!A80</f>
        <v>0</v>
      </c>
      <c r="B47" s="37">
        <f>'Master Assortment'!C80</f>
        <v>0</v>
      </c>
      <c r="C47" s="37">
        <f>'Master Assortment'!D80</f>
        <v>0</v>
      </c>
      <c r="D47" s="37" t="str">
        <f>'Master Assortment'!H80</f>
        <v/>
      </c>
      <c r="E47" s="37" t="str">
        <f>'Master Assortment'!I80</f>
        <v/>
      </c>
      <c r="F47" s="37">
        <f>'Master Assortment'!G80</f>
        <v>0</v>
      </c>
      <c r="G47" s="37">
        <f>'Master Assortment'!J80</f>
        <v>0</v>
      </c>
      <c r="H47" s="38">
        <f>'Master Assortment'!F80</f>
        <v>0</v>
      </c>
      <c r="I47" s="39" t="str">
        <f>'Master Assortment'!P80</f>
        <v/>
      </c>
      <c r="J47" s="37">
        <f>'Master Assortment'!AD80</f>
        <v>0</v>
      </c>
      <c r="K47" s="37" t="str">
        <f>'Master Assortment'!Y80</f>
        <v>—</v>
      </c>
    </row>
    <row r="48" spans="1:11" ht="15" customHeight="1" x14ac:dyDescent="0.25">
      <c r="A48" s="34">
        <f>'Master Assortment'!A79</f>
        <v>0</v>
      </c>
      <c r="B48" s="34">
        <f>'Master Assortment'!C79</f>
        <v>0</v>
      </c>
      <c r="C48" s="34">
        <f>'Master Assortment'!D79</f>
        <v>0</v>
      </c>
      <c r="D48" s="34" t="str">
        <f>'Master Assortment'!H79</f>
        <v/>
      </c>
      <c r="E48" s="34" t="str">
        <f>'Master Assortment'!I79</f>
        <v/>
      </c>
      <c r="F48" s="34">
        <f>'Master Assortment'!G79</f>
        <v>0</v>
      </c>
      <c r="G48" s="34">
        <f>'Master Assortment'!J79</f>
        <v>0</v>
      </c>
      <c r="H48" s="35">
        <f>'Master Assortment'!F79</f>
        <v>0</v>
      </c>
      <c r="I48" s="36" t="str">
        <f>'Master Assortment'!P79</f>
        <v/>
      </c>
      <c r="J48" s="34">
        <f>'Master Assortment'!AD79</f>
        <v>0</v>
      </c>
      <c r="K48" s="34" t="str">
        <f>'Master Assortment'!Y79</f>
        <v>—</v>
      </c>
    </row>
    <row r="49" spans="1:11" ht="15" customHeight="1" x14ac:dyDescent="0.25">
      <c r="A49" s="37">
        <f>'Master Assortment'!A96</f>
        <v>0</v>
      </c>
      <c r="B49" s="37">
        <f>'Master Assortment'!C96</f>
        <v>0</v>
      </c>
      <c r="C49" s="37">
        <f>'Master Assortment'!D96</f>
        <v>0</v>
      </c>
      <c r="D49" s="37" t="str">
        <f>'Master Assortment'!H96</f>
        <v/>
      </c>
      <c r="E49" s="37" t="str">
        <f>'Master Assortment'!I96</f>
        <v/>
      </c>
      <c r="F49" s="37">
        <f>'Master Assortment'!G96</f>
        <v>0</v>
      </c>
      <c r="G49" s="37">
        <f>'Master Assortment'!J96</f>
        <v>0</v>
      </c>
      <c r="H49" s="38">
        <f>'Master Assortment'!F96</f>
        <v>0</v>
      </c>
      <c r="I49" s="39" t="str">
        <f>'Master Assortment'!P96</f>
        <v/>
      </c>
      <c r="J49" s="37">
        <f>'Master Assortment'!AD96</f>
        <v>0</v>
      </c>
      <c r="K49" s="37" t="str">
        <f>'Master Assortment'!Y96</f>
        <v>—</v>
      </c>
    </row>
    <row r="50" spans="1:11" ht="15" customHeight="1" x14ac:dyDescent="0.25">
      <c r="A50" s="37">
        <f>'Master Assortment'!A17</f>
        <v>0</v>
      </c>
      <c r="B50" s="37">
        <f>'Master Assortment'!C17</f>
        <v>0</v>
      </c>
      <c r="C50" s="37">
        <f>'Master Assortment'!D17</f>
        <v>0</v>
      </c>
      <c r="D50" s="37" t="str">
        <f>'Master Assortment'!H17</f>
        <v/>
      </c>
      <c r="E50" s="37" t="str">
        <f>'Master Assortment'!I17</f>
        <v/>
      </c>
      <c r="F50" s="37">
        <f>'Master Assortment'!G17</f>
        <v>0</v>
      </c>
      <c r="G50" s="37">
        <f>'Master Assortment'!J17</f>
        <v>0</v>
      </c>
      <c r="H50" s="38">
        <f>'Master Assortment'!F17</f>
        <v>0</v>
      </c>
      <c r="I50" s="39" t="str">
        <f>'Master Assortment'!P17</f>
        <v/>
      </c>
      <c r="J50" s="37">
        <f>'Master Assortment'!AD17</f>
        <v>0</v>
      </c>
      <c r="K50" s="37" t="str">
        <f>'Master Assortment'!Y17</f>
        <v>—</v>
      </c>
    </row>
    <row r="51" spans="1:11" ht="15" customHeight="1" x14ac:dyDescent="0.25">
      <c r="A51" s="37">
        <f>'Master Assortment'!A168</f>
        <v>0</v>
      </c>
      <c r="B51" s="37">
        <f>'Master Assortment'!C168</f>
        <v>0</v>
      </c>
      <c r="C51" s="37">
        <f>'Master Assortment'!D168</f>
        <v>0</v>
      </c>
      <c r="D51" s="37" t="str">
        <f>'Master Assortment'!H168</f>
        <v/>
      </c>
      <c r="E51" s="37" t="str">
        <f>'Master Assortment'!I168</f>
        <v/>
      </c>
      <c r="F51" s="37">
        <f>'Master Assortment'!G168</f>
        <v>0</v>
      </c>
      <c r="G51" s="37">
        <f>'Master Assortment'!J168</f>
        <v>0</v>
      </c>
      <c r="H51" s="38">
        <f>'Master Assortment'!F168</f>
        <v>0</v>
      </c>
      <c r="I51" s="39" t="str">
        <f>'Master Assortment'!P168</f>
        <v/>
      </c>
      <c r="J51" s="37">
        <f>'Master Assortment'!AD168</f>
        <v>0</v>
      </c>
      <c r="K51" s="37" t="str">
        <f>'Master Assortment'!Y168</f>
        <v>—</v>
      </c>
    </row>
    <row r="52" spans="1:11" ht="15" customHeight="1" x14ac:dyDescent="0.25">
      <c r="A52" s="34">
        <f>'Master Assortment'!A81</f>
        <v>0</v>
      </c>
      <c r="B52" s="34">
        <f>'Master Assortment'!C81</f>
        <v>0</v>
      </c>
      <c r="C52" s="34">
        <f>'Master Assortment'!D81</f>
        <v>0</v>
      </c>
      <c r="D52" s="34" t="str">
        <f>'Master Assortment'!H81</f>
        <v/>
      </c>
      <c r="E52" s="34" t="str">
        <f>'Master Assortment'!I81</f>
        <v/>
      </c>
      <c r="F52" s="34">
        <f>'Master Assortment'!G81</f>
        <v>0</v>
      </c>
      <c r="G52" s="34">
        <f>'Master Assortment'!J81</f>
        <v>0</v>
      </c>
      <c r="H52" s="35">
        <f>'Master Assortment'!F81</f>
        <v>0</v>
      </c>
      <c r="I52" s="36" t="str">
        <f>'Master Assortment'!P81</f>
        <v/>
      </c>
      <c r="J52" s="34">
        <f>'Master Assortment'!AD81</f>
        <v>0</v>
      </c>
      <c r="K52" s="34" t="str">
        <f>'Master Assortment'!Y81</f>
        <v>—</v>
      </c>
    </row>
    <row r="53" spans="1:11" ht="15" customHeight="1" x14ac:dyDescent="0.25">
      <c r="A53" s="34">
        <f>'Master Assortment'!A138</f>
        <v>0</v>
      </c>
      <c r="B53" s="34">
        <f>'Master Assortment'!C138</f>
        <v>0</v>
      </c>
      <c r="C53" s="34">
        <f>'Master Assortment'!D138</f>
        <v>0</v>
      </c>
      <c r="D53" s="34" t="str">
        <f>'Master Assortment'!H138</f>
        <v/>
      </c>
      <c r="E53" s="34" t="str">
        <f>'Master Assortment'!I138</f>
        <v/>
      </c>
      <c r="F53" s="34">
        <f>'Master Assortment'!G138</f>
        <v>0</v>
      </c>
      <c r="G53" s="34">
        <f>'Master Assortment'!J138</f>
        <v>0</v>
      </c>
      <c r="H53" s="35">
        <f>'Master Assortment'!F138</f>
        <v>0</v>
      </c>
      <c r="I53" s="36" t="str">
        <f>'Master Assortment'!P138</f>
        <v/>
      </c>
      <c r="J53" s="34">
        <f>'Master Assortment'!AD138</f>
        <v>0</v>
      </c>
      <c r="K53" s="34" t="str">
        <f>'Master Assortment'!Y138</f>
        <v>—</v>
      </c>
    </row>
    <row r="54" spans="1:11" ht="15" customHeight="1" x14ac:dyDescent="0.25">
      <c r="A54" s="37">
        <f>'Master Assortment'!A88</f>
        <v>0</v>
      </c>
      <c r="B54" s="37">
        <f>'Master Assortment'!C88</f>
        <v>0</v>
      </c>
      <c r="C54" s="37">
        <f>'Master Assortment'!D88</f>
        <v>0</v>
      </c>
      <c r="D54" s="37" t="str">
        <f>'Master Assortment'!H88</f>
        <v/>
      </c>
      <c r="E54" s="37" t="str">
        <f>'Master Assortment'!I88</f>
        <v/>
      </c>
      <c r="F54" s="37">
        <f>'Master Assortment'!G88</f>
        <v>0</v>
      </c>
      <c r="G54" s="37">
        <f>'Master Assortment'!J88</f>
        <v>0</v>
      </c>
      <c r="H54" s="38">
        <f>'Master Assortment'!F88</f>
        <v>0</v>
      </c>
      <c r="I54" s="39" t="str">
        <f>'Master Assortment'!P88</f>
        <v/>
      </c>
      <c r="J54" s="37">
        <f>'Master Assortment'!AD88</f>
        <v>0</v>
      </c>
      <c r="K54" s="37" t="str">
        <f>'Master Assortment'!Y88</f>
        <v>—</v>
      </c>
    </row>
    <row r="55" spans="1:11" ht="15" customHeight="1" x14ac:dyDescent="0.25">
      <c r="A55" s="37">
        <f>'Master Assortment'!A86</f>
        <v>0</v>
      </c>
      <c r="B55" s="37">
        <f>'Master Assortment'!C86</f>
        <v>0</v>
      </c>
      <c r="C55" s="37">
        <f>'Master Assortment'!D86</f>
        <v>0</v>
      </c>
      <c r="D55" s="37" t="str">
        <f>'Master Assortment'!H86</f>
        <v/>
      </c>
      <c r="E55" s="37" t="str">
        <f>'Master Assortment'!I86</f>
        <v/>
      </c>
      <c r="F55" s="37">
        <f>'Master Assortment'!G86</f>
        <v>0</v>
      </c>
      <c r="G55" s="37">
        <f>'Master Assortment'!J86</f>
        <v>0</v>
      </c>
      <c r="H55" s="38">
        <f>'Master Assortment'!F86</f>
        <v>0</v>
      </c>
      <c r="I55" s="39" t="str">
        <f>'Master Assortment'!P86</f>
        <v/>
      </c>
      <c r="J55" s="37">
        <f>'Master Assortment'!AD86</f>
        <v>0</v>
      </c>
      <c r="K55" s="37" t="str">
        <f>'Master Assortment'!Y86</f>
        <v>—</v>
      </c>
    </row>
    <row r="56" spans="1:11" ht="15" customHeight="1" x14ac:dyDescent="0.25">
      <c r="A56" s="34">
        <f>'Master Assortment'!A97</f>
        <v>0</v>
      </c>
      <c r="B56" s="34">
        <f>'Master Assortment'!C97</f>
        <v>0</v>
      </c>
      <c r="C56" s="34">
        <f>'Master Assortment'!D97</f>
        <v>0</v>
      </c>
      <c r="D56" s="34" t="str">
        <f>'Master Assortment'!H97</f>
        <v/>
      </c>
      <c r="E56" s="34" t="str">
        <f>'Master Assortment'!I97</f>
        <v/>
      </c>
      <c r="F56" s="34">
        <f>'Master Assortment'!G97</f>
        <v>0</v>
      </c>
      <c r="G56" s="34">
        <f>'Master Assortment'!J97</f>
        <v>0</v>
      </c>
      <c r="H56" s="35">
        <f>'Master Assortment'!F97</f>
        <v>0</v>
      </c>
      <c r="I56" s="36" t="str">
        <f>'Master Assortment'!P97</f>
        <v/>
      </c>
      <c r="J56" s="34">
        <f>'Master Assortment'!AD97</f>
        <v>0</v>
      </c>
      <c r="K56" s="34" t="str">
        <f>'Master Assortment'!Y97</f>
        <v>—</v>
      </c>
    </row>
    <row r="57" spans="1:11" ht="15" customHeight="1" x14ac:dyDescent="0.25">
      <c r="A57" s="34">
        <f>'Master Assortment'!A24</f>
        <v>0</v>
      </c>
      <c r="B57" s="34">
        <f>'Master Assortment'!C24</f>
        <v>0</v>
      </c>
      <c r="C57" s="34">
        <f>'Master Assortment'!D24</f>
        <v>0</v>
      </c>
      <c r="D57" s="34" t="str">
        <f>'Master Assortment'!H24</f>
        <v/>
      </c>
      <c r="E57" s="34" t="str">
        <f>'Master Assortment'!I24</f>
        <v/>
      </c>
      <c r="F57" s="34">
        <f>'Master Assortment'!G24</f>
        <v>0</v>
      </c>
      <c r="G57" s="34">
        <f>'Master Assortment'!J24</f>
        <v>0</v>
      </c>
      <c r="H57" s="35">
        <f>'Master Assortment'!F24</f>
        <v>0</v>
      </c>
      <c r="I57" s="36" t="str">
        <f>'Master Assortment'!P24</f>
        <v/>
      </c>
      <c r="J57" s="34">
        <f>'Master Assortment'!AD24</f>
        <v>0</v>
      </c>
      <c r="K57" s="34" t="str">
        <f>'Master Assortment'!Y24</f>
        <v>—</v>
      </c>
    </row>
    <row r="58" spans="1:11" ht="15" customHeight="1" x14ac:dyDescent="0.25">
      <c r="A58" s="34">
        <f>'Master Assortment'!A76</f>
        <v>0</v>
      </c>
      <c r="B58" s="34">
        <f>'Master Assortment'!C76</f>
        <v>0</v>
      </c>
      <c r="C58" s="34">
        <f>'Master Assortment'!D76</f>
        <v>0</v>
      </c>
      <c r="D58" s="34" t="str">
        <f>'Master Assortment'!H76</f>
        <v/>
      </c>
      <c r="E58" s="34" t="str">
        <f>'Master Assortment'!I76</f>
        <v/>
      </c>
      <c r="F58" s="34">
        <f>'Master Assortment'!G76</f>
        <v>0</v>
      </c>
      <c r="G58" s="34">
        <f>'Master Assortment'!J76</f>
        <v>0</v>
      </c>
      <c r="H58" s="35">
        <f>'Master Assortment'!F76</f>
        <v>0</v>
      </c>
      <c r="I58" s="36" t="str">
        <f>'Master Assortment'!P76</f>
        <v/>
      </c>
      <c r="J58" s="34">
        <f>'Master Assortment'!AD76</f>
        <v>0</v>
      </c>
      <c r="K58" s="34" t="str">
        <f>'Master Assortment'!Y76</f>
        <v>—</v>
      </c>
    </row>
    <row r="59" spans="1:11" ht="15" customHeight="1" x14ac:dyDescent="0.25">
      <c r="A59" s="37">
        <f>'Master Assortment'!A98</f>
        <v>0</v>
      </c>
      <c r="B59" s="37">
        <f>'Master Assortment'!C98</f>
        <v>0</v>
      </c>
      <c r="C59" s="37">
        <f>'Master Assortment'!D98</f>
        <v>0</v>
      </c>
      <c r="D59" s="37" t="str">
        <f>'Master Assortment'!H98</f>
        <v/>
      </c>
      <c r="E59" s="37" t="str">
        <f>'Master Assortment'!I98</f>
        <v/>
      </c>
      <c r="F59" s="37">
        <f>'Master Assortment'!G98</f>
        <v>0</v>
      </c>
      <c r="G59" s="37">
        <f>'Master Assortment'!J98</f>
        <v>0</v>
      </c>
      <c r="H59" s="38">
        <f>'Master Assortment'!F98</f>
        <v>0</v>
      </c>
      <c r="I59" s="39" t="str">
        <f>'Master Assortment'!P98</f>
        <v/>
      </c>
      <c r="J59" s="37">
        <f>'Master Assortment'!AD98</f>
        <v>0</v>
      </c>
      <c r="K59" s="37" t="str">
        <f>'Master Assortment'!Y98</f>
        <v>—</v>
      </c>
    </row>
    <row r="60" spans="1:11" ht="15" customHeight="1" x14ac:dyDescent="0.25">
      <c r="A60" s="37">
        <f>'Master Assortment'!A94</f>
        <v>0</v>
      </c>
      <c r="B60" s="37">
        <f>'Master Assortment'!C94</f>
        <v>0</v>
      </c>
      <c r="C60" s="37">
        <f>'Master Assortment'!D94</f>
        <v>0</v>
      </c>
      <c r="D60" s="37" t="str">
        <f>'Master Assortment'!H94</f>
        <v/>
      </c>
      <c r="E60" s="37" t="str">
        <f>'Master Assortment'!I94</f>
        <v/>
      </c>
      <c r="F60" s="37">
        <f>'Master Assortment'!G94</f>
        <v>0</v>
      </c>
      <c r="G60" s="37">
        <f>'Master Assortment'!J94</f>
        <v>0</v>
      </c>
      <c r="H60" s="38">
        <f>'Master Assortment'!F94</f>
        <v>0</v>
      </c>
      <c r="I60" s="39" t="str">
        <f>'Master Assortment'!P94</f>
        <v/>
      </c>
      <c r="J60" s="37">
        <f>'Master Assortment'!AD94</f>
        <v>0</v>
      </c>
      <c r="K60" s="37" t="str">
        <f>'Master Assortment'!Y94</f>
        <v>—</v>
      </c>
    </row>
    <row r="61" spans="1:11" ht="15" customHeight="1" x14ac:dyDescent="0.25">
      <c r="A61" s="37">
        <f>'Master Assortment'!A58</f>
        <v>0</v>
      </c>
      <c r="B61" s="37">
        <f>'Master Assortment'!C58</f>
        <v>0</v>
      </c>
      <c r="C61" s="37">
        <f>'Master Assortment'!D58</f>
        <v>0</v>
      </c>
      <c r="D61" s="37" t="str">
        <f>'Master Assortment'!H58</f>
        <v/>
      </c>
      <c r="E61" s="37" t="str">
        <f>'Master Assortment'!I58</f>
        <v/>
      </c>
      <c r="F61" s="37">
        <f>'Master Assortment'!G58</f>
        <v>0</v>
      </c>
      <c r="G61" s="37">
        <f>'Master Assortment'!J58</f>
        <v>0</v>
      </c>
      <c r="H61" s="38">
        <f>'Master Assortment'!F58</f>
        <v>0</v>
      </c>
      <c r="I61" s="39" t="str">
        <f>'Master Assortment'!P58</f>
        <v/>
      </c>
      <c r="J61" s="37">
        <f>'Master Assortment'!AD58</f>
        <v>0</v>
      </c>
      <c r="K61" s="37" t="str">
        <f>'Master Assortment'!Y58</f>
        <v>—</v>
      </c>
    </row>
    <row r="62" spans="1:11" ht="15" customHeight="1" x14ac:dyDescent="0.25">
      <c r="A62" s="34">
        <f>'Master Assortment'!A87</f>
        <v>0</v>
      </c>
      <c r="B62" s="34">
        <f>'Master Assortment'!C87</f>
        <v>0</v>
      </c>
      <c r="C62" s="34">
        <f>'Master Assortment'!D87</f>
        <v>0</v>
      </c>
      <c r="D62" s="34" t="str">
        <f>'Master Assortment'!H87</f>
        <v/>
      </c>
      <c r="E62" s="34" t="str">
        <f>'Master Assortment'!I87</f>
        <v/>
      </c>
      <c r="F62" s="34">
        <f>'Master Assortment'!G87</f>
        <v>0</v>
      </c>
      <c r="G62" s="34">
        <f>'Master Assortment'!J87</f>
        <v>0</v>
      </c>
      <c r="H62" s="35">
        <f>'Master Assortment'!F87</f>
        <v>0</v>
      </c>
      <c r="I62" s="36" t="str">
        <f>'Master Assortment'!P87</f>
        <v/>
      </c>
      <c r="J62" s="34">
        <f>'Master Assortment'!AD87</f>
        <v>0</v>
      </c>
      <c r="K62" s="34" t="str">
        <f>'Master Assortment'!Y87</f>
        <v>—</v>
      </c>
    </row>
    <row r="63" spans="1:11" ht="15" customHeight="1" x14ac:dyDescent="0.25">
      <c r="A63" s="34">
        <f>'Master Assortment'!A142</f>
        <v>0</v>
      </c>
      <c r="B63" s="34">
        <f>'Master Assortment'!C142</f>
        <v>0</v>
      </c>
      <c r="C63" s="34">
        <f>'Master Assortment'!D142</f>
        <v>0</v>
      </c>
      <c r="D63" s="34" t="str">
        <f>'Master Assortment'!H142</f>
        <v/>
      </c>
      <c r="E63" s="34" t="str">
        <f>'Master Assortment'!I142</f>
        <v/>
      </c>
      <c r="F63" s="34">
        <f>'Master Assortment'!G142</f>
        <v>0</v>
      </c>
      <c r="G63" s="34">
        <f>'Master Assortment'!J142</f>
        <v>0</v>
      </c>
      <c r="H63" s="35">
        <f>'Master Assortment'!F142</f>
        <v>0</v>
      </c>
      <c r="I63" s="36" t="str">
        <f>'Master Assortment'!P142</f>
        <v/>
      </c>
      <c r="J63" s="34">
        <f>'Master Assortment'!AD142</f>
        <v>0</v>
      </c>
      <c r="K63" s="34" t="str">
        <f>'Master Assortment'!Y142</f>
        <v>—</v>
      </c>
    </row>
    <row r="64" spans="1:11" ht="15" customHeight="1" x14ac:dyDescent="0.25">
      <c r="A64" s="37">
        <f>'Master Assortment'!A82</f>
        <v>0</v>
      </c>
      <c r="B64" s="37">
        <f>'Master Assortment'!C82</f>
        <v>0</v>
      </c>
      <c r="C64" s="37">
        <f>'Master Assortment'!D82</f>
        <v>0</v>
      </c>
      <c r="D64" s="37" t="str">
        <f>'Master Assortment'!H82</f>
        <v/>
      </c>
      <c r="E64" s="37" t="str">
        <f>'Master Assortment'!I82</f>
        <v/>
      </c>
      <c r="F64" s="37">
        <f>'Master Assortment'!G82</f>
        <v>0</v>
      </c>
      <c r="G64" s="37">
        <f>'Master Assortment'!J82</f>
        <v>0</v>
      </c>
      <c r="H64" s="38">
        <f>'Master Assortment'!F82</f>
        <v>0</v>
      </c>
      <c r="I64" s="39" t="str">
        <f>'Master Assortment'!P82</f>
        <v/>
      </c>
      <c r="J64" s="37">
        <f>'Master Assortment'!AD82</f>
        <v>0</v>
      </c>
      <c r="K64" s="37" t="str">
        <f>'Master Assortment'!Y82</f>
        <v>—</v>
      </c>
    </row>
    <row r="65" spans="1:11" ht="15" customHeight="1" x14ac:dyDescent="0.25">
      <c r="A65" s="34">
        <f>'Master Assortment'!A123</f>
        <v>0</v>
      </c>
      <c r="B65" s="34">
        <f>'Master Assortment'!C123</f>
        <v>0</v>
      </c>
      <c r="C65" s="34">
        <f>'Master Assortment'!D123</f>
        <v>0</v>
      </c>
      <c r="D65" s="34" t="str">
        <f>'Master Assortment'!H123</f>
        <v/>
      </c>
      <c r="E65" s="34" t="str">
        <f>'Master Assortment'!I123</f>
        <v/>
      </c>
      <c r="F65" s="34">
        <f>'Master Assortment'!G123</f>
        <v>0</v>
      </c>
      <c r="G65" s="34">
        <f>'Master Assortment'!J123</f>
        <v>0</v>
      </c>
      <c r="H65" s="35">
        <f>'Master Assortment'!F123</f>
        <v>0</v>
      </c>
      <c r="I65" s="36" t="str">
        <f>'Master Assortment'!P123</f>
        <v/>
      </c>
      <c r="J65" s="34">
        <f>'Master Assortment'!AD123</f>
        <v>0</v>
      </c>
      <c r="K65" s="34" t="str">
        <f>'Master Assortment'!Y123</f>
        <v>—</v>
      </c>
    </row>
    <row r="66" spans="1:11" ht="15" customHeight="1" x14ac:dyDescent="0.25">
      <c r="A66" s="37">
        <f>'Master Assortment'!A102</f>
        <v>0</v>
      </c>
      <c r="B66" s="37">
        <f>'Master Assortment'!C102</f>
        <v>0</v>
      </c>
      <c r="C66" s="37">
        <f>'Master Assortment'!D102</f>
        <v>0</v>
      </c>
      <c r="D66" s="37" t="str">
        <f>'Master Assortment'!H102</f>
        <v/>
      </c>
      <c r="E66" s="37" t="str">
        <f>'Master Assortment'!I102</f>
        <v/>
      </c>
      <c r="F66" s="37">
        <f>'Master Assortment'!G102</f>
        <v>0</v>
      </c>
      <c r="G66" s="37">
        <f>'Master Assortment'!J102</f>
        <v>0</v>
      </c>
      <c r="H66" s="38">
        <f>'Master Assortment'!F102</f>
        <v>0</v>
      </c>
      <c r="I66" s="39" t="str">
        <f>'Master Assortment'!P102</f>
        <v/>
      </c>
      <c r="J66" s="37">
        <f>'Master Assortment'!AD102</f>
        <v>0</v>
      </c>
      <c r="K66" s="37" t="str">
        <f>'Master Assortment'!Y102</f>
        <v>—</v>
      </c>
    </row>
    <row r="67" spans="1:11" ht="15" customHeight="1" x14ac:dyDescent="0.25">
      <c r="A67" s="37">
        <f>'Master Assortment'!A84</f>
        <v>0</v>
      </c>
      <c r="B67" s="37">
        <f>'Master Assortment'!C84</f>
        <v>0</v>
      </c>
      <c r="C67" s="37">
        <f>'Master Assortment'!D84</f>
        <v>0</v>
      </c>
      <c r="D67" s="37" t="str">
        <f>'Master Assortment'!H84</f>
        <v/>
      </c>
      <c r="E67" s="37" t="str">
        <f>'Master Assortment'!I84</f>
        <v/>
      </c>
      <c r="F67" s="37">
        <f>'Master Assortment'!G84</f>
        <v>0</v>
      </c>
      <c r="G67" s="37">
        <f>'Master Assortment'!J84</f>
        <v>0</v>
      </c>
      <c r="H67" s="38">
        <f>'Master Assortment'!F84</f>
        <v>0</v>
      </c>
      <c r="I67" s="39" t="str">
        <f>'Master Assortment'!P84</f>
        <v/>
      </c>
      <c r="J67" s="37">
        <f>'Master Assortment'!AD84</f>
        <v>0</v>
      </c>
      <c r="K67" s="37" t="str">
        <f>'Master Assortment'!Y84</f>
        <v>—</v>
      </c>
    </row>
    <row r="68" spans="1:11" ht="15" customHeight="1" x14ac:dyDescent="0.25">
      <c r="A68" s="34">
        <f>'Master Assortment'!A188</f>
        <v>0</v>
      </c>
      <c r="B68" s="34">
        <f>'Master Assortment'!C188</f>
        <v>0</v>
      </c>
      <c r="C68" s="34">
        <f>'Master Assortment'!D188</f>
        <v>0</v>
      </c>
      <c r="D68" s="34" t="str">
        <f>'Master Assortment'!H188</f>
        <v/>
      </c>
      <c r="E68" s="34" t="str">
        <f>'Master Assortment'!I188</f>
        <v/>
      </c>
      <c r="F68" s="34">
        <f>'Master Assortment'!G188</f>
        <v>0</v>
      </c>
      <c r="G68" s="34">
        <f>'Master Assortment'!J188</f>
        <v>0</v>
      </c>
      <c r="H68" s="35">
        <f>'Master Assortment'!F188</f>
        <v>0</v>
      </c>
      <c r="I68" s="36" t="str">
        <f>'Master Assortment'!P188</f>
        <v/>
      </c>
      <c r="J68" s="34">
        <f>'Master Assortment'!AD188</f>
        <v>0</v>
      </c>
      <c r="K68" s="34" t="str">
        <f>'Master Assortment'!Y188</f>
        <v>—</v>
      </c>
    </row>
    <row r="69" spans="1:11" ht="15" customHeight="1" x14ac:dyDescent="0.25">
      <c r="A69" s="37">
        <f>'Master Assortment'!A187</f>
        <v>0</v>
      </c>
      <c r="B69" s="37">
        <f>'Master Assortment'!C187</f>
        <v>0</v>
      </c>
      <c r="C69" s="37">
        <f>'Master Assortment'!D187</f>
        <v>0</v>
      </c>
      <c r="D69" s="37" t="str">
        <f>'Master Assortment'!H187</f>
        <v/>
      </c>
      <c r="E69" s="37" t="str">
        <f>'Master Assortment'!I187</f>
        <v/>
      </c>
      <c r="F69" s="37">
        <f>'Master Assortment'!G187</f>
        <v>0</v>
      </c>
      <c r="G69" s="37">
        <f>'Master Assortment'!J187</f>
        <v>0</v>
      </c>
      <c r="H69" s="38">
        <f>'Master Assortment'!F187</f>
        <v>0</v>
      </c>
      <c r="I69" s="39" t="str">
        <f>'Master Assortment'!P187</f>
        <v/>
      </c>
      <c r="J69" s="37">
        <f>'Master Assortment'!AD187</f>
        <v>0</v>
      </c>
      <c r="K69" s="37" t="str">
        <f>'Master Assortment'!Y187</f>
        <v>—</v>
      </c>
    </row>
    <row r="70" spans="1:11" ht="15" customHeight="1" x14ac:dyDescent="0.25">
      <c r="A70" s="34">
        <f>'Master Assortment'!A186</f>
        <v>0</v>
      </c>
      <c r="B70" s="34">
        <f>'Master Assortment'!C186</f>
        <v>0</v>
      </c>
      <c r="C70" s="34">
        <f>'Master Assortment'!D186</f>
        <v>0</v>
      </c>
      <c r="D70" s="34" t="str">
        <f>'Master Assortment'!H186</f>
        <v/>
      </c>
      <c r="E70" s="34" t="str">
        <f>'Master Assortment'!I186</f>
        <v/>
      </c>
      <c r="F70" s="34">
        <f>'Master Assortment'!G186</f>
        <v>0</v>
      </c>
      <c r="G70" s="34">
        <f>'Master Assortment'!J186</f>
        <v>0</v>
      </c>
      <c r="H70" s="35">
        <f>'Master Assortment'!F186</f>
        <v>0</v>
      </c>
      <c r="I70" s="36" t="str">
        <f>'Master Assortment'!P186</f>
        <v/>
      </c>
      <c r="J70" s="34">
        <f>'Master Assortment'!AD186</f>
        <v>0</v>
      </c>
      <c r="K70" s="34" t="str">
        <f>'Master Assortment'!Y186</f>
        <v>—</v>
      </c>
    </row>
    <row r="71" spans="1:11" ht="15" customHeight="1" x14ac:dyDescent="0.25">
      <c r="A71" s="37">
        <f>'Master Assortment'!A25</f>
        <v>0</v>
      </c>
      <c r="B71" s="37">
        <f>'Master Assortment'!C25</f>
        <v>0</v>
      </c>
      <c r="C71" s="37">
        <f>'Master Assortment'!D25</f>
        <v>0</v>
      </c>
      <c r="D71" s="37" t="str">
        <f>'Master Assortment'!H25</f>
        <v/>
      </c>
      <c r="E71" s="37" t="str">
        <f>'Master Assortment'!I25</f>
        <v/>
      </c>
      <c r="F71" s="37">
        <f>'Master Assortment'!G25</f>
        <v>0</v>
      </c>
      <c r="G71" s="37">
        <f>'Master Assortment'!J25</f>
        <v>0</v>
      </c>
      <c r="H71" s="38">
        <f>'Master Assortment'!F25</f>
        <v>0</v>
      </c>
      <c r="I71" s="39" t="str">
        <f>'Master Assortment'!P25</f>
        <v/>
      </c>
      <c r="J71" s="37">
        <f>'Master Assortment'!AD25</f>
        <v>0</v>
      </c>
      <c r="K71" s="37" t="str">
        <f>'Master Assortment'!Y25</f>
        <v>—</v>
      </c>
    </row>
    <row r="72" spans="1:11" ht="15" customHeight="1" x14ac:dyDescent="0.25">
      <c r="A72" s="34">
        <f>'Master Assortment'!A111</f>
        <v>0</v>
      </c>
      <c r="B72" s="34">
        <f>'Master Assortment'!C111</f>
        <v>0</v>
      </c>
      <c r="C72" s="34">
        <f>'Master Assortment'!D111</f>
        <v>0</v>
      </c>
      <c r="D72" s="34" t="str">
        <f>'Master Assortment'!H111</f>
        <v/>
      </c>
      <c r="E72" s="34" t="str">
        <f>'Master Assortment'!I111</f>
        <v/>
      </c>
      <c r="F72" s="34">
        <f>'Master Assortment'!G111</f>
        <v>0</v>
      </c>
      <c r="G72" s="34">
        <f>'Master Assortment'!J111</f>
        <v>0</v>
      </c>
      <c r="H72" s="35">
        <f>'Master Assortment'!F111</f>
        <v>0</v>
      </c>
      <c r="I72" s="36" t="str">
        <f>'Master Assortment'!P111</f>
        <v/>
      </c>
      <c r="J72" s="34">
        <f>'Master Assortment'!AD111</f>
        <v>0</v>
      </c>
      <c r="K72" s="34" t="str">
        <f>'Master Assortment'!Y111</f>
        <v>—</v>
      </c>
    </row>
    <row r="73" spans="1:11" ht="15" customHeight="1" x14ac:dyDescent="0.25">
      <c r="A73" s="37">
        <f>'Master Assortment'!A38</f>
        <v>0</v>
      </c>
      <c r="B73" s="37">
        <f>'Master Assortment'!C38</f>
        <v>0</v>
      </c>
      <c r="C73" s="37">
        <f>'Master Assortment'!D38</f>
        <v>0</v>
      </c>
      <c r="D73" s="37" t="str">
        <f>'Master Assortment'!H38</f>
        <v/>
      </c>
      <c r="E73" s="37" t="str">
        <f>'Master Assortment'!I38</f>
        <v/>
      </c>
      <c r="F73" s="37">
        <f>'Master Assortment'!G38</f>
        <v>0</v>
      </c>
      <c r="G73" s="37">
        <f>'Master Assortment'!J38</f>
        <v>0</v>
      </c>
      <c r="H73" s="38">
        <f>'Master Assortment'!F38</f>
        <v>0</v>
      </c>
      <c r="I73" s="39" t="str">
        <f>'Master Assortment'!P38</f>
        <v/>
      </c>
      <c r="J73" s="37">
        <f>'Master Assortment'!AD38</f>
        <v>0</v>
      </c>
      <c r="K73" s="37" t="str">
        <f>'Master Assortment'!Y38</f>
        <v>—</v>
      </c>
    </row>
    <row r="74" spans="1:11" ht="15" customHeight="1" x14ac:dyDescent="0.25">
      <c r="A74" s="34">
        <f>'Master Assortment'!A121</f>
        <v>0</v>
      </c>
      <c r="B74" s="34">
        <f>'Master Assortment'!C121</f>
        <v>0</v>
      </c>
      <c r="C74" s="34">
        <f>'Master Assortment'!D121</f>
        <v>0</v>
      </c>
      <c r="D74" s="34" t="str">
        <f>'Master Assortment'!H121</f>
        <v/>
      </c>
      <c r="E74" s="34" t="str">
        <f>'Master Assortment'!I121</f>
        <v/>
      </c>
      <c r="F74" s="34">
        <f>'Master Assortment'!G121</f>
        <v>0</v>
      </c>
      <c r="G74" s="34">
        <f>'Master Assortment'!J121</f>
        <v>0</v>
      </c>
      <c r="H74" s="35">
        <f>'Master Assortment'!F121</f>
        <v>0</v>
      </c>
      <c r="I74" s="36" t="str">
        <f>'Master Assortment'!P121</f>
        <v/>
      </c>
      <c r="J74" s="34">
        <f>'Master Assortment'!AD121</f>
        <v>0</v>
      </c>
      <c r="K74" s="34" t="str">
        <f>'Master Assortment'!Y121</f>
        <v>—</v>
      </c>
    </row>
    <row r="75" spans="1:11" ht="15" customHeight="1" x14ac:dyDescent="0.25">
      <c r="A75" s="34">
        <f>'Master Assortment'!A117</f>
        <v>0</v>
      </c>
      <c r="B75" s="34">
        <f>'Master Assortment'!C117</f>
        <v>0</v>
      </c>
      <c r="C75" s="34">
        <f>'Master Assortment'!D117</f>
        <v>0</v>
      </c>
      <c r="D75" s="34" t="str">
        <f>'Master Assortment'!H117</f>
        <v/>
      </c>
      <c r="E75" s="34" t="str">
        <f>'Master Assortment'!I117</f>
        <v/>
      </c>
      <c r="F75" s="34">
        <f>'Master Assortment'!G117</f>
        <v>0</v>
      </c>
      <c r="G75" s="34">
        <f>'Master Assortment'!J117</f>
        <v>0</v>
      </c>
      <c r="H75" s="35">
        <f>'Master Assortment'!F117</f>
        <v>0</v>
      </c>
      <c r="I75" s="36" t="str">
        <f>'Master Assortment'!P117</f>
        <v/>
      </c>
      <c r="J75" s="34">
        <f>'Master Assortment'!AD117</f>
        <v>0</v>
      </c>
      <c r="K75" s="34" t="str">
        <f>'Master Assortment'!Y117</f>
        <v>—</v>
      </c>
    </row>
    <row r="76" spans="1:11" ht="15" customHeight="1" x14ac:dyDescent="0.25">
      <c r="A76" s="34">
        <f>'Master Assortment'!A41</f>
        <v>0</v>
      </c>
      <c r="B76" s="34">
        <f>'Master Assortment'!C41</f>
        <v>0</v>
      </c>
      <c r="C76" s="34">
        <f>'Master Assortment'!D41</f>
        <v>0</v>
      </c>
      <c r="D76" s="34" t="str">
        <f>'Master Assortment'!H41</f>
        <v/>
      </c>
      <c r="E76" s="34" t="str">
        <f>'Master Assortment'!I41</f>
        <v/>
      </c>
      <c r="F76" s="34">
        <f>'Master Assortment'!G41</f>
        <v>0</v>
      </c>
      <c r="G76" s="34">
        <f>'Master Assortment'!J41</f>
        <v>0</v>
      </c>
      <c r="H76" s="35">
        <f>'Master Assortment'!F41</f>
        <v>0</v>
      </c>
      <c r="I76" s="36" t="str">
        <f>'Master Assortment'!P41</f>
        <v/>
      </c>
      <c r="J76" s="34">
        <f>'Master Assortment'!AD41</f>
        <v>0</v>
      </c>
      <c r="K76" s="34" t="str">
        <f>'Master Assortment'!Y41</f>
        <v>—</v>
      </c>
    </row>
    <row r="77" spans="1:11" ht="15" customHeight="1" x14ac:dyDescent="0.25">
      <c r="A77" s="34">
        <f>'Master Assortment'!A22</f>
        <v>0</v>
      </c>
      <c r="B77" s="34">
        <f>'Master Assortment'!C22</f>
        <v>0</v>
      </c>
      <c r="C77" s="34">
        <f>'Master Assortment'!D22</f>
        <v>0</v>
      </c>
      <c r="D77" s="34" t="str">
        <f>'Master Assortment'!H22</f>
        <v/>
      </c>
      <c r="E77" s="34" t="str">
        <f>'Master Assortment'!I22</f>
        <v/>
      </c>
      <c r="F77" s="34">
        <f>'Master Assortment'!G22</f>
        <v>0</v>
      </c>
      <c r="G77" s="34">
        <f>'Master Assortment'!J22</f>
        <v>0</v>
      </c>
      <c r="H77" s="35">
        <f>'Master Assortment'!F22</f>
        <v>0</v>
      </c>
      <c r="I77" s="36" t="str">
        <f>'Master Assortment'!P22</f>
        <v/>
      </c>
      <c r="J77" s="34">
        <f>'Master Assortment'!AD22</f>
        <v>0</v>
      </c>
      <c r="K77" s="34" t="str">
        <f>'Master Assortment'!Y22</f>
        <v>—</v>
      </c>
    </row>
    <row r="78" spans="1:11" ht="15" customHeight="1" x14ac:dyDescent="0.25">
      <c r="A78" s="37">
        <f>'Master Assortment'!A170</f>
        <v>0</v>
      </c>
      <c r="B78" s="37">
        <f>'Master Assortment'!C170</f>
        <v>0</v>
      </c>
      <c r="C78" s="37">
        <f>'Master Assortment'!D170</f>
        <v>0</v>
      </c>
      <c r="D78" s="37" t="str">
        <f>'Master Assortment'!H170</f>
        <v/>
      </c>
      <c r="E78" s="37" t="str">
        <f>'Master Assortment'!I170</f>
        <v/>
      </c>
      <c r="F78" s="37">
        <f>'Master Assortment'!G170</f>
        <v>0</v>
      </c>
      <c r="G78" s="37">
        <f>'Master Assortment'!J170</f>
        <v>0</v>
      </c>
      <c r="H78" s="38">
        <f>'Master Assortment'!F170</f>
        <v>0</v>
      </c>
      <c r="I78" s="39" t="str">
        <f>'Master Assortment'!P170</f>
        <v/>
      </c>
      <c r="J78" s="37">
        <f>'Master Assortment'!AD170</f>
        <v>0</v>
      </c>
      <c r="K78" s="37" t="str">
        <f>'Master Assortment'!Y170</f>
        <v>—</v>
      </c>
    </row>
    <row r="79" spans="1:11" ht="15" customHeight="1" x14ac:dyDescent="0.25">
      <c r="A79" s="34">
        <f>'Master Assortment'!A192</f>
        <v>0</v>
      </c>
      <c r="B79" s="34">
        <f>'Master Assortment'!C192</f>
        <v>0</v>
      </c>
      <c r="C79" s="34">
        <f>'Master Assortment'!D192</f>
        <v>0</v>
      </c>
      <c r="D79" s="34" t="str">
        <f>'Master Assortment'!H192</f>
        <v/>
      </c>
      <c r="E79" s="34" t="str">
        <f>'Master Assortment'!I192</f>
        <v/>
      </c>
      <c r="F79" s="34">
        <f>'Master Assortment'!G192</f>
        <v>0</v>
      </c>
      <c r="G79" s="34">
        <f>'Master Assortment'!J192</f>
        <v>0</v>
      </c>
      <c r="H79" s="35">
        <f>'Master Assortment'!F192</f>
        <v>0</v>
      </c>
      <c r="I79" s="36" t="str">
        <f>'Master Assortment'!P192</f>
        <v/>
      </c>
      <c r="J79" s="34">
        <f>'Master Assortment'!AD192</f>
        <v>0</v>
      </c>
      <c r="K79" s="34" t="str">
        <f>'Master Assortment'!Y192</f>
        <v>—</v>
      </c>
    </row>
    <row r="80" spans="1:11" ht="15" customHeight="1" x14ac:dyDescent="0.25">
      <c r="A80" s="34">
        <f>'Master Assortment'!A109</f>
        <v>0</v>
      </c>
      <c r="B80" s="34">
        <f>'Master Assortment'!C109</f>
        <v>0</v>
      </c>
      <c r="C80" s="34">
        <f>'Master Assortment'!D109</f>
        <v>0</v>
      </c>
      <c r="D80" s="34" t="str">
        <f>'Master Assortment'!H109</f>
        <v/>
      </c>
      <c r="E80" s="34" t="str">
        <f>'Master Assortment'!I109</f>
        <v/>
      </c>
      <c r="F80" s="34">
        <f>'Master Assortment'!G109</f>
        <v>0</v>
      </c>
      <c r="G80" s="34">
        <f>'Master Assortment'!J109</f>
        <v>0</v>
      </c>
      <c r="H80" s="35">
        <f>'Master Assortment'!F109</f>
        <v>0</v>
      </c>
      <c r="I80" s="36" t="str">
        <f>'Master Assortment'!P109</f>
        <v/>
      </c>
      <c r="J80" s="34">
        <f>'Master Assortment'!AD109</f>
        <v>0</v>
      </c>
      <c r="K80" s="34" t="str">
        <f>'Master Assortment'!Y109</f>
        <v>—</v>
      </c>
    </row>
    <row r="81" spans="1:11" ht="15" customHeight="1" x14ac:dyDescent="0.25">
      <c r="A81" s="37">
        <f>'Master Assortment'!A44</f>
        <v>0</v>
      </c>
      <c r="B81" s="37">
        <f>'Master Assortment'!C44</f>
        <v>0</v>
      </c>
      <c r="C81" s="37">
        <f>'Master Assortment'!D44</f>
        <v>0</v>
      </c>
      <c r="D81" s="37" t="str">
        <f>'Master Assortment'!H44</f>
        <v/>
      </c>
      <c r="E81" s="37" t="str">
        <f>'Master Assortment'!I44</f>
        <v/>
      </c>
      <c r="F81" s="37">
        <f>'Master Assortment'!G44</f>
        <v>0</v>
      </c>
      <c r="G81" s="37">
        <f>'Master Assortment'!J44</f>
        <v>0</v>
      </c>
      <c r="H81" s="38">
        <f>'Master Assortment'!F44</f>
        <v>0</v>
      </c>
      <c r="I81" s="39" t="str">
        <f>'Master Assortment'!P44</f>
        <v/>
      </c>
      <c r="J81" s="37">
        <f>'Master Assortment'!AD44</f>
        <v>0</v>
      </c>
      <c r="K81" s="37" t="str">
        <f>'Master Assortment'!Y44</f>
        <v>—</v>
      </c>
    </row>
    <row r="82" spans="1:11" ht="15" customHeight="1" x14ac:dyDescent="0.25">
      <c r="A82" s="34">
        <f>'Master Assortment'!A33</f>
        <v>0</v>
      </c>
      <c r="B82" s="34">
        <f>'Master Assortment'!C33</f>
        <v>0</v>
      </c>
      <c r="C82" s="34">
        <f>'Master Assortment'!D33</f>
        <v>0</v>
      </c>
      <c r="D82" s="34" t="str">
        <f>'Master Assortment'!H33</f>
        <v/>
      </c>
      <c r="E82" s="34" t="str">
        <f>'Master Assortment'!I33</f>
        <v/>
      </c>
      <c r="F82" s="34">
        <f>'Master Assortment'!G33</f>
        <v>0</v>
      </c>
      <c r="G82" s="34">
        <f>'Master Assortment'!J33</f>
        <v>0</v>
      </c>
      <c r="H82" s="35">
        <f>'Master Assortment'!F33</f>
        <v>0</v>
      </c>
      <c r="I82" s="36" t="str">
        <f>'Master Assortment'!P33</f>
        <v/>
      </c>
      <c r="J82" s="34">
        <f>'Master Assortment'!AD33</f>
        <v>0</v>
      </c>
      <c r="K82" s="34" t="str">
        <f>'Master Assortment'!Y33</f>
        <v>—</v>
      </c>
    </row>
    <row r="83" spans="1:11" ht="15" customHeight="1" x14ac:dyDescent="0.25">
      <c r="A83" s="34">
        <f>'Master Assortment'!A115</f>
        <v>0</v>
      </c>
      <c r="B83" s="34">
        <f>'Master Assortment'!C115</f>
        <v>0</v>
      </c>
      <c r="C83" s="34">
        <f>'Master Assortment'!D115</f>
        <v>0</v>
      </c>
      <c r="D83" s="34" t="str">
        <f>'Master Assortment'!H115</f>
        <v/>
      </c>
      <c r="E83" s="34" t="str">
        <f>'Master Assortment'!I115</f>
        <v/>
      </c>
      <c r="F83" s="34">
        <f>'Master Assortment'!G115</f>
        <v>0</v>
      </c>
      <c r="G83" s="34">
        <f>'Master Assortment'!J115</f>
        <v>0</v>
      </c>
      <c r="H83" s="35">
        <f>'Master Assortment'!F115</f>
        <v>0</v>
      </c>
      <c r="I83" s="36" t="str">
        <f>'Master Assortment'!P115</f>
        <v/>
      </c>
      <c r="J83" s="34">
        <f>'Master Assortment'!AD115</f>
        <v>0</v>
      </c>
      <c r="K83" s="34" t="str">
        <f>'Master Assortment'!Y115</f>
        <v>—</v>
      </c>
    </row>
    <row r="84" spans="1:11" ht="15" customHeight="1" x14ac:dyDescent="0.25">
      <c r="A84" s="37">
        <f>'Master Assortment'!A100</f>
        <v>0</v>
      </c>
      <c r="B84" s="37">
        <f>'Master Assortment'!C100</f>
        <v>0</v>
      </c>
      <c r="C84" s="37">
        <f>'Master Assortment'!D100</f>
        <v>0</v>
      </c>
      <c r="D84" s="37" t="str">
        <f>'Master Assortment'!H100</f>
        <v/>
      </c>
      <c r="E84" s="37" t="str">
        <f>'Master Assortment'!I100</f>
        <v/>
      </c>
      <c r="F84" s="37">
        <f>'Master Assortment'!G100</f>
        <v>0</v>
      </c>
      <c r="G84" s="37">
        <f>'Master Assortment'!J100</f>
        <v>0</v>
      </c>
      <c r="H84" s="38">
        <f>'Master Assortment'!F100</f>
        <v>0</v>
      </c>
      <c r="I84" s="39" t="str">
        <f>'Master Assortment'!P100</f>
        <v/>
      </c>
      <c r="J84" s="37">
        <f>'Master Assortment'!AD100</f>
        <v>0</v>
      </c>
      <c r="K84" s="37" t="str">
        <f>'Master Assortment'!Y100</f>
        <v>—</v>
      </c>
    </row>
    <row r="85" spans="1:11" ht="15" customHeight="1" x14ac:dyDescent="0.25">
      <c r="A85" s="34">
        <f>'Master Assortment'!A103</f>
        <v>0</v>
      </c>
      <c r="B85" s="34">
        <f>'Master Assortment'!C103</f>
        <v>0</v>
      </c>
      <c r="C85" s="34">
        <f>'Master Assortment'!D103</f>
        <v>0</v>
      </c>
      <c r="D85" s="34" t="str">
        <f>'Master Assortment'!H103</f>
        <v/>
      </c>
      <c r="E85" s="34" t="str">
        <f>'Master Assortment'!I103</f>
        <v/>
      </c>
      <c r="F85" s="34">
        <f>'Master Assortment'!G103</f>
        <v>0</v>
      </c>
      <c r="G85" s="34">
        <f>'Master Assortment'!J103</f>
        <v>0</v>
      </c>
      <c r="H85" s="35">
        <f>'Master Assortment'!F103</f>
        <v>0</v>
      </c>
      <c r="I85" s="36" t="str">
        <f>'Master Assortment'!P103</f>
        <v/>
      </c>
      <c r="J85" s="34">
        <f>'Master Assortment'!AD103</f>
        <v>0</v>
      </c>
      <c r="K85" s="34" t="str">
        <f>'Master Assortment'!Y103</f>
        <v>—</v>
      </c>
    </row>
    <row r="86" spans="1:11" ht="15" customHeight="1" x14ac:dyDescent="0.25">
      <c r="A86" s="34">
        <f>'Master Assortment'!A107</f>
        <v>0</v>
      </c>
      <c r="B86" s="34">
        <f>'Master Assortment'!C107</f>
        <v>0</v>
      </c>
      <c r="C86" s="34">
        <f>'Master Assortment'!D107</f>
        <v>0</v>
      </c>
      <c r="D86" s="34" t="str">
        <f>'Master Assortment'!H107</f>
        <v/>
      </c>
      <c r="E86" s="34" t="str">
        <f>'Master Assortment'!I107</f>
        <v/>
      </c>
      <c r="F86" s="34">
        <f>'Master Assortment'!G107</f>
        <v>0</v>
      </c>
      <c r="G86" s="34">
        <f>'Master Assortment'!J107</f>
        <v>0</v>
      </c>
      <c r="H86" s="35">
        <f>'Master Assortment'!F107</f>
        <v>0</v>
      </c>
      <c r="I86" s="36" t="str">
        <f>'Master Assortment'!P107</f>
        <v/>
      </c>
      <c r="J86" s="34">
        <f>'Master Assortment'!AD107</f>
        <v>0</v>
      </c>
      <c r="K86" s="34" t="str">
        <f>'Master Assortment'!Y107</f>
        <v>—</v>
      </c>
    </row>
    <row r="87" spans="1:11" ht="15" customHeight="1" x14ac:dyDescent="0.25">
      <c r="A87" s="34">
        <f>'Master Assortment'!A119</f>
        <v>0</v>
      </c>
      <c r="B87" s="34">
        <f>'Master Assortment'!C119</f>
        <v>0</v>
      </c>
      <c r="C87" s="34">
        <f>'Master Assortment'!D119</f>
        <v>0</v>
      </c>
      <c r="D87" s="34" t="str">
        <f>'Master Assortment'!H119</f>
        <v/>
      </c>
      <c r="E87" s="34" t="str">
        <f>'Master Assortment'!I119</f>
        <v/>
      </c>
      <c r="F87" s="34">
        <f>'Master Assortment'!G119</f>
        <v>0</v>
      </c>
      <c r="G87" s="34">
        <f>'Master Assortment'!J119</f>
        <v>0</v>
      </c>
      <c r="H87" s="35">
        <f>'Master Assortment'!F119</f>
        <v>0</v>
      </c>
      <c r="I87" s="36" t="str">
        <f>'Master Assortment'!P119</f>
        <v/>
      </c>
      <c r="J87" s="34">
        <f>'Master Assortment'!AD119</f>
        <v>0</v>
      </c>
      <c r="K87" s="34" t="str">
        <f>'Master Assortment'!Y119</f>
        <v>—</v>
      </c>
    </row>
    <row r="88" spans="1:11" ht="15" customHeight="1" x14ac:dyDescent="0.25">
      <c r="A88" s="34">
        <f>'Master Assortment'!A155</f>
        <v>0</v>
      </c>
      <c r="B88" s="34">
        <f>'Master Assortment'!C155</f>
        <v>0</v>
      </c>
      <c r="C88" s="34">
        <f>'Master Assortment'!D155</f>
        <v>0</v>
      </c>
      <c r="D88" s="34" t="str">
        <f>'Master Assortment'!H155</f>
        <v/>
      </c>
      <c r="E88" s="34" t="str">
        <f>'Master Assortment'!I155</f>
        <v/>
      </c>
      <c r="F88" s="34">
        <f>'Master Assortment'!G155</f>
        <v>0</v>
      </c>
      <c r="G88" s="34">
        <f>'Master Assortment'!J155</f>
        <v>0</v>
      </c>
      <c r="H88" s="35">
        <f>'Master Assortment'!F155</f>
        <v>0</v>
      </c>
      <c r="I88" s="36" t="str">
        <f>'Master Assortment'!P155</f>
        <v/>
      </c>
      <c r="J88" s="34">
        <f>'Master Assortment'!AD155</f>
        <v>0</v>
      </c>
      <c r="K88" s="34" t="str">
        <f>'Master Assortment'!Y155</f>
        <v>—</v>
      </c>
    </row>
    <row r="89" spans="1:11" ht="15" customHeight="1" x14ac:dyDescent="0.25">
      <c r="A89" s="37">
        <f>'Master Assortment'!A118</f>
        <v>0</v>
      </c>
      <c r="B89" s="37">
        <f>'Master Assortment'!C118</f>
        <v>0</v>
      </c>
      <c r="C89" s="37">
        <f>'Master Assortment'!D118</f>
        <v>0</v>
      </c>
      <c r="D89" s="37" t="str">
        <f>'Master Assortment'!H118</f>
        <v/>
      </c>
      <c r="E89" s="37" t="str">
        <f>'Master Assortment'!I118</f>
        <v/>
      </c>
      <c r="F89" s="37">
        <f>'Master Assortment'!G118</f>
        <v>0</v>
      </c>
      <c r="G89" s="37">
        <f>'Master Assortment'!J118</f>
        <v>0</v>
      </c>
      <c r="H89" s="38">
        <f>'Master Assortment'!F118</f>
        <v>0</v>
      </c>
      <c r="I89" s="39" t="str">
        <f>'Master Assortment'!P118</f>
        <v/>
      </c>
      <c r="J89" s="37">
        <f>'Master Assortment'!AD118</f>
        <v>0</v>
      </c>
      <c r="K89" s="37" t="str">
        <f>'Master Assortment'!Y118</f>
        <v>—</v>
      </c>
    </row>
    <row r="90" spans="1:11" ht="15" customHeight="1" x14ac:dyDescent="0.25">
      <c r="A90" s="37">
        <f>'Master Assortment'!A164</f>
        <v>0</v>
      </c>
      <c r="B90" s="37">
        <f>'Master Assortment'!C164</f>
        <v>0</v>
      </c>
      <c r="C90" s="37">
        <f>'Master Assortment'!D164</f>
        <v>0</v>
      </c>
      <c r="D90" s="37" t="str">
        <f>'Master Assortment'!H164</f>
        <v/>
      </c>
      <c r="E90" s="37" t="str">
        <f>'Master Assortment'!I164</f>
        <v/>
      </c>
      <c r="F90" s="37">
        <f>'Master Assortment'!G164</f>
        <v>0</v>
      </c>
      <c r="G90" s="37">
        <f>'Master Assortment'!J164</f>
        <v>0</v>
      </c>
      <c r="H90" s="38">
        <f>'Master Assortment'!F164</f>
        <v>0</v>
      </c>
      <c r="I90" s="39" t="str">
        <f>'Master Assortment'!P164</f>
        <v/>
      </c>
      <c r="J90" s="37">
        <f>'Master Assortment'!AD164</f>
        <v>0</v>
      </c>
      <c r="K90" s="37" t="str">
        <f>'Master Assortment'!Y164</f>
        <v>—</v>
      </c>
    </row>
    <row r="91" spans="1:11" ht="15" customHeight="1" x14ac:dyDescent="0.25">
      <c r="A91" s="37">
        <f>'Master Assortment'!A13</f>
        <v>0</v>
      </c>
      <c r="B91" s="37">
        <f>'Master Assortment'!C13</f>
        <v>0</v>
      </c>
      <c r="C91" s="37">
        <f>'Master Assortment'!D13</f>
        <v>0</v>
      </c>
      <c r="D91" s="37" t="str">
        <f>'Master Assortment'!H13</f>
        <v/>
      </c>
      <c r="E91" s="37" t="str">
        <f>'Master Assortment'!I13</f>
        <v/>
      </c>
      <c r="F91" s="37">
        <f>'Master Assortment'!G13</f>
        <v>0</v>
      </c>
      <c r="G91" s="37">
        <f>'Master Assortment'!J13</f>
        <v>0</v>
      </c>
      <c r="H91" s="38">
        <f>'Master Assortment'!F13</f>
        <v>0</v>
      </c>
      <c r="I91" s="39" t="str">
        <f>'Master Assortment'!P13</f>
        <v/>
      </c>
      <c r="J91" s="37">
        <f>'Master Assortment'!AD13</f>
        <v>0</v>
      </c>
      <c r="K91" s="37" t="str">
        <f>'Master Assortment'!Y13</f>
        <v>—</v>
      </c>
    </row>
    <row r="92" spans="1:11" ht="15" customHeight="1" x14ac:dyDescent="0.25">
      <c r="A92" s="34">
        <f>'Master Assortment'!A63</f>
        <v>0</v>
      </c>
      <c r="B92" s="34">
        <f>'Master Assortment'!C63</f>
        <v>0</v>
      </c>
      <c r="C92" s="34">
        <f>'Master Assortment'!D63</f>
        <v>0</v>
      </c>
      <c r="D92" s="34" t="str">
        <f>'Master Assortment'!H63</f>
        <v/>
      </c>
      <c r="E92" s="34" t="str">
        <f>'Master Assortment'!I63</f>
        <v/>
      </c>
      <c r="F92" s="34">
        <f>'Master Assortment'!G63</f>
        <v>0</v>
      </c>
      <c r="G92" s="34">
        <f>'Master Assortment'!J63</f>
        <v>0</v>
      </c>
      <c r="H92" s="35">
        <f>'Master Assortment'!F63</f>
        <v>0</v>
      </c>
      <c r="I92" s="36" t="str">
        <f>'Master Assortment'!P63</f>
        <v/>
      </c>
      <c r="J92" s="34">
        <f>'Master Assortment'!AD63</f>
        <v>0</v>
      </c>
      <c r="K92" s="34" t="str">
        <f>'Master Assortment'!Y63</f>
        <v>—</v>
      </c>
    </row>
    <row r="93" spans="1:11" ht="15" customHeight="1" x14ac:dyDescent="0.25">
      <c r="A93" s="37">
        <f>'Master Assortment'!A104</f>
        <v>0</v>
      </c>
      <c r="B93" s="37">
        <f>'Master Assortment'!C104</f>
        <v>0</v>
      </c>
      <c r="C93" s="37">
        <f>'Master Assortment'!D104</f>
        <v>0</v>
      </c>
      <c r="D93" s="37" t="str">
        <f>'Master Assortment'!H104</f>
        <v/>
      </c>
      <c r="E93" s="37" t="str">
        <f>'Master Assortment'!I104</f>
        <v/>
      </c>
      <c r="F93" s="37">
        <f>'Master Assortment'!G104</f>
        <v>0</v>
      </c>
      <c r="G93" s="37">
        <f>'Master Assortment'!J104</f>
        <v>0</v>
      </c>
      <c r="H93" s="38">
        <f>'Master Assortment'!F104</f>
        <v>0</v>
      </c>
      <c r="I93" s="39" t="str">
        <f>'Master Assortment'!P104</f>
        <v/>
      </c>
      <c r="J93" s="37">
        <f>'Master Assortment'!AD104</f>
        <v>0</v>
      </c>
      <c r="K93" s="37" t="str">
        <f>'Master Assortment'!Y104</f>
        <v>—</v>
      </c>
    </row>
    <row r="94" spans="1:11" ht="15" customHeight="1" x14ac:dyDescent="0.25">
      <c r="A94" s="34">
        <f>'Master Assortment'!A161</f>
        <v>0</v>
      </c>
      <c r="B94" s="34">
        <f>'Master Assortment'!C161</f>
        <v>0</v>
      </c>
      <c r="C94" s="34">
        <f>'Master Assortment'!D161</f>
        <v>0</v>
      </c>
      <c r="D94" s="34" t="str">
        <f>'Master Assortment'!H161</f>
        <v/>
      </c>
      <c r="E94" s="34" t="str">
        <f>'Master Assortment'!I161</f>
        <v/>
      </c>
      <c r="F94" s="34">
        <f>'Master Assortment'!G161</f>
        <v>0</v>
      </c>
      <c r="G94" s="34">
        <f>'Master Assortment'!J161</f>
        <v>0</v>
      </c>
      <c r="H94" s="35">
        <f>'Master Assortment'!F161</f>
        <v>0</v>
      </c>
      <c r="I94" s="36" t="str">
        <f>'Master Assortment'!P161</f>
        <v/>
      </c>
      <c r="J94" s="34">
        <f>'Master Assortment'!AD161</f>
        <v>0</v>
      </c>
      <c r="K94" s="34" t="str">
        <f>'Master Assortment'!Y161</f>
        <v>—</v>
      </c>
    </row>
    <row r="95" spans="1:11" ht="15" customHeight="1" x14ac:dyDescent="0.25">
      <c r="A95" s="34">
        <f>'Master Assortment'!A101</f>
        <v>0</v>
      </c>
      <c r="B95" s="34">
        <f>'Master Assortment'!C101</f>
        <v>0</v>
      </c>
      <c r="C95" s="34">
        <f>'Master Assortment'!D101</f>
        <v>0</v>
      </c>
      <c r="D95" s="34" t="str">
        <f>'Master Assortment'!H101</f>
        <v/>
      </c>
      <c r="E95" s="34" t="str">
        <f>'Master Assortment'!I101</f>
        <v/>
      </c>
      <c r="F95" s="34">
        <f>'Master Assortment'!G101</f>
        <v>0</v>
      </c>
      <c r="G95" s="34">
        <f>'Master Assortment'!J101</f>
        <v>0</v>
      </c>
      <c r="H95" s="35">
        <f>'Master Assortment'!F101</f>
        <v>0</v>
      </c>
      <c r="I95" s="36" t="str">
        <f>'Master Assortment'!P101</f>
        <v/>
      </c>
      <c r="J95" s="34">
        <f>'Master Assortment'!AD101</f>
        <v>0</v>
      </c>
      <c r="K95" s="34" t="str">
        <f>'Master Assortment'!Y101</f>
        <v>—</v>
      </c>
    </row>
    <row r="96" spans="1:11" ht="15" customHeight="1" x14ac:dyDescent="0.25">
      <c r="A96" s="37">
        <f>'Master Assortment'!A11</f>
        <v>0</v>
      </c>
      <c r="B96" s="37">
        <f>'Master Assortment'!C11</f>
        <v>0</v>
      </c>
      <c r="C96" s="37">
        <f>'Master Assortment'!D11</f>
        <v>0</v>
      </c>
      <c r="D96" s="37" t="str">
        <f>'Master Assortment'!H11</f>
        <v/>
      </c>
      <c r="E96" s="37" t="str">
        <f>'Master Assortment'!I11</f>
        <v/>
      </c>
      <c r="F96" s="37">
        <f>'Master Assortment'!G11</f>
        <v>0</v>
      </c>
      <c r="G96" s="37">
        <f>'Master Assortment'!J11</f>
        <v>0</v>
      </c>
      <c r="H96" s="38">
        <f>'Master Assortment'!F11</f>
        <v>0</v>
      </c>
      <c r="I96" s="39" t="str">
        <f>'Master Assortment'!P11</f>
        <v/>
      </c>
      <c r="J96" s="37">
        <f>'Master Assortment'!AD11</f>
        <v>0</v>
      </c>
      <c r="K96" s="37" t="str">
        <f>'Master Assortment'!Y11</f>
        <v>—</v>
      </c>
    </row>
    <row r="97" spans="1:11" ht="15" customHeight="1" x14ac:dyDescent="0.25">
      <c r="A97" s="37">
        <f>'Master Assortment'!A15</f>
        <v>0</v>
      </c>
      <c r="B97" s="37">
        <f>'Master Assortment'!C15</f>
        <v>0</v>
      </c>
      <c r="C97" s="37">
        <f>'Master Assortment'!D15</f>
        <v>0</v>
      </c>
      <c r="D97" s="37" t="str">
        <f>'Master Assortment'!H15</f>
        <v/>
      </c>
      <c r="E97" s="37" t="str">
        <f>'Master Assortment'!I15</f>
        <v/>
      </c>
      <c r="F97" s="37">
        <f>'Master Assortment'!G15</f>
        <v>0</v>
      </c>
      <c r="G97" s="37">
        <f>'Master Assortment'!J15</f>
        <v>0</v>
      </c>
      <c r="H97" s="38">
        <f>'Master Assortment'!F15</f>
        <v>0</v>
      </c>
      <c r="I97" s="39" t="str">
        <f>'Master Assortment'!P15</f>
        <v/>
      </c>
      <c r="J97" s="37">
        <f>'Master Assortment'!AD15</f>
        <v>0</v>
      </c>
      <c r="K97" s="37" t="str">
        <f>'Master Assortment'!Y15</f>
        <v>—</v>
      </c>
    </row>
    <row r="98" spans="1:11" ht="15" customHeight="1" x14ac:dyDescent="0.25">
      <c r="A98" s="37">
        <f>'Master Assortment'!A36</f>
        <v>0</v>
      </c>
      <c r="B98" s="37">
        <f>'Master Assortment'!C36</f>
        <v>0</v>
      </c>
      <c r="C98" s="37">
        <f>'Master Assortment'!D36</f>
        <v>0</v>
      </c>
      <c r="D98" s="37" t="str">
        <f>'Master Assortment'!H36</f>
        <v/>
      </c>
      <c r="E98" s="37" t="str">
        <f>'Master Assortment'!I36</f>
        <v/>
      </c>
      <c r="F98" s="37">
        <f>'Master Assortment'!G36</f>
        <v>0</v>
      </c>
      <c r="G98" s="37">
        <f>'Master Assortment'!J36</f>
        <v>0</v>
      </c>
      <c r="H98" s="38">
        <f>'Master Assortment'!F36</f>
        <v>0</v>
      </c>
      <c r="I98" s="39" t="str">
        <f>'Master Assortment'!P36</f>
        <v/>
      </c>
      <c r="J98" s="37">
        <f>'Master Assortment'!AD36</f>
        <v>0</v>
      </c>
      <c r="K98" s="37" t="str">
        <f>'Master Assortment'!Y36</f>
        <v>—</v>
      </c>
    </row>
    <row r="99" spans="1:11" ht="15" customHeight="1" x14ac:dyDescent="0.25">
      <c r="A99" s="37">
        <f>'Master Assortment'!A29</f>
        <v>0</v>
      </c>
      <c r="B99" s="37">
        <f>'Master Assortment'!C29</f>
        <v>0</v>
      </c>
      <c r="C99" s="37">
        <f>'Master Assortment'!D29</f>
        <v>0</v>
      </c>
      <c r="D99" s="37" t="str">
        <f>'Master Assortment'!H29</f>
        <v/>
      </c>
      <c r="E99" s="37" t="str">
        <f>'Master Assortment'!I29</f>
        <v/>
      </c>
      <c r="F99" s="37">
        <f>'Master Assortment'!G29</f>
        <v>0</v>
      </c>
      <c r="G99" s="37">
        <f>'Master Assortment'!J29</f>
        <v>0</v>
      </c>
      <c r="H99" s="38">
        <f>'Master Assortment'!F29</f>
        <v>0</v>
      </c>
      <c r="I99" s="39" t="str">
        <f>'Master Assortment'!P29</f>
        <v/>
      </c>
      <c r="J99" s="37">
        <f>'Master Assortment'!AD29</f>
        <v>0</v>
      </c>
      <c r="K99" s="37" t="str">
        <f>'Master Assortment'!Y29</f>
        <v>—</v>
      </c>
    </row>
    <row r="100" spans="1:11" ht="15" customHeight="1" x14ac:dyDescent="0.25">
      <c r="A100" s="34">
        <f>'Master Assortment'!A35</f>
        <v>0</v>
      </c>
      <c r="B100" s="34">
        <f>'Master Assortment'!C35</f>
        <v>0</v>
      </c>
      <c r="C100" s="34">
        <f>'Master Assortment'!D35</f>
        <v>0</v>
      </c>
      <c r="D100" s="34" t="str">
        <f>'Master Assortment'!H35</f>
        <v/>
      </c>
      <c r="E100" s="34" t="str">
        <f>'Master Assortment'!I35</f>
        <v/>
      </c>
      <c r="F100" s="34">
        <f>'Master Assortment'!G35</f>
        <v>0</v>
      </c>
      <c r="G100" s="34">
        <f>'Master Assortment'!J35</f>
        <v>0</v>
      </c>
      <c r="H100" s="35">
        <f>'Master Assortment'!F35</f>
        <v>0</v>
      </c>
      <c r="I100" s="36" t="str">
        <f>'Master Assortment'!P35</f>
        <v/>
      </c>
      <c r="J100" s="34">
        <f>'Master Assortment'!AD35</f>
        <v>0</v>
      </c>
      <c r="K100" s="34" t="str">
        <f>'Master Assortment'!Y35</f>
        <v>—</v>
      </c>
    </row>
    <row r="101" spans="1:11" ht="15" customHeight="1" x14ac:dyDescent="0.25">
      <c r="A101" s="37">
        <f>'Master Assortment'!A110</f>
        <v>0</v>
      </c>
      <c r="B101" s="37">
        <f>'Master Assortment'!C110</f>
        <v>0</v>
      </c>
      <c r="C101" s="37">
        <f>'Master Assortment'!D110</f>
        <v>0</v>
      </c>
      <c r="D101" s="37" t="str">
        <f>'Master Assortment'!H110</f>
        <v/>
      </c>
      <c r="E101" s="37" t="str">
        <f>'Master Assortment'!I110</f>
        <v/>
      </c>
      <c r="F101" s="37">
        <f>'Master Assortment'!G110</f>
        <v>0</v>
      </c>
      <c r="G101" s="37">
        <f>'Master Assortment'!J110</f>
        <v>0</v>
      </c>
      <c r="H101" s="38">
        <f>'Master Assortment'!F110</f>
        <v>0</v>
      </c>
      <c r="I101" s="39" t="str">
        <f>'Master Assortment'!P110</f>
        <v/>
      </c>
      <c r="J101" s="37">
        <f>'Master Assortment'!AD110</f>
        <v>0</v>
      </c>
      <c r="K101" s="37" t="str">
        <f>'Master Assortment'!Y110</f>
        <v>—</v>
      </c>
    </row>
    <row r="102" spans="1:11" ht="15" customHeight="1" x14ac:dyDescent="0.25">
      <c r="A102" s="37">
        <f>'Master Assortment'!A156</f>
        <v>0</v>
      </c>
      <c r="B102" s="37">
        <f>'Master Assortment'!C156</f>
        <v>0</v>
      </c>
      <c r="C102" s="37">
        <f>'Master Assortment'!D156</f>
        <v>0</v>
      </c>
      <c r="D102" s="37" t="str">
        <f>'Master Assortment'!H156</f>
        <v/>
      </c>
      <c r="E102" s="37" t="str">
        <f>'Master Assortment'!I156</f>
        <v/>
      </c>
      <c r="F102" s="37">
        <f>'Master Assortment'!G156</f>
        <v>0</v>
      </c>
      <c r="G102" s="37">
        <f>'Master Assortment'!J156</f>
        <v>0</v>
      </c>
      <c r="H102" s="38">
        <f>'Master Assortment'!F156</f>
        <v>0</v>
      </c>
      <c r="I102" s="39" t="str">
        <f>'Master Assortment'!P156</f>
        <v/>
      </c>
      <c r="J102" s="37">
        <f>'Master Assortment'!AD156</f>
        <v>0</v>
      </c>
      <c r="K102" s="37" t="str">
        <f>'Master Assortment'!Y156</f>
        <v>—</v>
      </c>
    </row>
    <row r="103" spans="1:11" ht="15" customHeight="1" x14ac:dyDescent="0.25">
      <c r="A103" s="34">
        <f>'Master Assortment'!A67</f>
        <v>0</v>
      </c>
      <c r="B103" s="34">
        <f>'Master Assortment'!C67</f>
        <v>0</v>
      </c>
      <c r="C103" s="34">
        <f>'Master Assortment'!D67</f>
        <v>0</v>
      </c>
      <c r="D103" s="34" t="str">
        <f>'Master Assortment'!H67</f>
        <v/>
      </c>
      <c r="E103" s="34" t="str">
        <f>'Master Assortment'!I67</f>
        <v/>
      </c>
      <c r="F103" s="34">
        <f>'Master Assortment'!G67</f>
        <v>0</v>
      </c>
      <c r="G103" s="34">
        <f>'Master Assortment'!J67</f>
        <v>0</v>
      </c>
      <c r="H103" s="35">
        <f>'Master Assortment'!F67</f>
        <v>0</v>
      </c>
      <c r="I103" s="36" t="str">
        <f>'Master Assortment'!P67</f>
        <v/>
      </c>
      <c r="J103" s="34">
        <f>'Master Assortment'!AD67</f>
        <v>0</v>
      </c>
      <c r="K103" s="34" t="str">
        <f>'Master Assortment'!Y67</f>
        <v>—</v>
      </c>
    </row>
    <row r="104" spans="1:11" ht="15" customHeight="1" x14ac:dyDescent="0.25">
      <c r="A104" s="34">
        <f>'Master Assortment'!A85</f>
        <v>0</v>
      </c>
      <c r="B104" s="34">
        <f>'Master Assortment'!C85</f>
        <v>0</v>
      </c>
      <c r="C104" s="34">
        <f>'Master Assortment'!D85</f>
        <v>0</v>
      </c>
      <c r="D104" s="34" t="str">
        <f>'Master Assortment'!H85</f>
        <v/>
      </c>
      <c r="E104" s="34" t="str">
        <f>'Master Assortment'!I85</f>
        <v/>
      </c>
      <c r="F104" s="34">
        <f>'Master Assortment'!G85</f>
        <v>0</v>
      </c>
      <c r="G104" s="34">
        <f>'Master Assortment'!J85</f>
        <v>0</v>
      </c>
      <c r="H104" s="35">
        <f>'Master Assortment'!F85</f>
        <v>0</v>
      </c>
      <c r="I104" s="36" t="str">
        <f>'Master Assortment'!P85</f>
        <v/>
      </c>
      <c r="J104" s="34">
        <f>'Master Assortment'!AD85</f>
        <v>0</v>
      </c>
      <c r="K104" s="34" t="str">
        <f>'Master Assortment'!Y85</f>
        <v>—</v>
      </c>
    </row>
    <row r="105" spans="1:11" ht="15" customHeight="1" x14ac:dyDescent="0.25">
      <c r="A105" s="37">
        <f>'Master Assortment'!A7</f>
        <v>0</v>
      </c>
      <c r="B105" s="37">
        <f>'Master Assortment'!C7</f>
        <v>0</v>
      </c>
      <c r="C105" s="37">
        <f>'Master Assortment'!D7</f>
        <v>0</v>
      </c>
      <c r="D105" s="37" t="str">
        <f>'Master Assortment'!H7</f>
        <v/>
      </c>
      <c r="E105" s="37" t="str">
        <f>'Master Assortment'!I7</f>
        <v/>
      </c>
      <c r="F105" s="37">
        <f>'Master Assortment'!G7</f>
        <v>0</v>
      </c>
      <c r="G105" s="37">
        <f>'Master Assortment'!J7</f>
        <v>0</v>
      </c>
      <c r="H105" s="38">
        <f>'Master Assortment'!F7</f>
        <v>0</v>
      </c>
      <c r="I105" s="39" t="str">
        <f>'Master Assortment'!P7</f>
        <v/>
      </c>
      <c r="J105" s="37">
        <f>'Master Assortment'!AD7</f>
        <v>0</v>
      </c>
      <c r="K105" s="37" t="str">
        <f>'Master Assortment'!Y7</f>
        <v>—</v>
      </c>
    </row>
    <row r="106" spans="1:11" ht="15" customHeight="1" x14ac:dyDescent="0.25">
      <c r="A106" s="34">
        <f>'Master Assortment'!A10</f>
        <v>0</v>
      </c>
      <c r="B106" s="34">
        <f>'Master Assortment'!C10</f>
        <v>0</v>
      </c>
      <c r="C106" s="34">
        <f>'Master Assortment'!D10</f>
        <v>0</v>
      </c>
      <c r="D106" s="34" t="str">
        <f>'Master Assortment'!H10</f>
        <v/>
      </c>
      <c r="E106" s="34" t="str">
        <f>'Master Assortment'!I10</f>
        <v/>
      </c>
      <c r="F106" s="34">
        <f>'Master Assortment'!G10</f>
        <v>0</v>
      </c>
      <c r="G106" s="34">
        <f>'Master Assortment'!J10</f>
        <v>0</v>
      </c>
      <c r="H106" s="35">
        <f>'Master Assortment'!F10</f>
        <v>0</v>
      </c>
      <c r="I106" s="36" t="str">
        <f>'Master Assortment'!P10</f>
        <v/>
      </c>
      <c r="J106" s="34">
        <f>'Master Assortment'!AD10</f>
        <v>0</v>
      </c>
      <c r="K106" s="34" t="str">
        <f>'Master Assortment'!Y10</f>
        <v>—</v>
      </c>
    </row>
    <row r="107" spans="1:11" ht="15" customHeight="1" x14ac:dyDescent="0.25">
      <c r="A107" s="37">
        <f>'Master Assortment'!A147</f>
        <v>0</v>
      </c>
      <c r="B107" s="37">
        <f>'Master Assortment'!C147</f>
        <v>0</v>
      </c>
      <c r="C107" s="37">
        <f>'Master Assortment'!D147</f>
        <v>0</v>
      </c>
      <c r="D107" s="37" t="str">
        <f>'Master Assortment'!H147</f>
        <v/>
      </c>
      <c r="E107" s="37" t="str">
        <f>'Master Assortment'!I147</f>
        <v/>
      </c>
      <c r="F107" s="37">
        <f>'Master Assortment'!G147</f>
        <v>0</v>
      </c>
      <c r="G107" s="37">
        <f>'Master Assortment'!J147</f>
        <v>0</v>
      </c>
      <c r="H107" s="38">
        <f>'Master Assortment'!F147</f>
        <v>0</v>
      </c>
      <c r="I107" s="39" t="str">
        <f>'Master Assortment'!P147</f>
        <v/>
      </c>
      <c r="J107" s="37">
        <f>'Master Assortment'!AD147</f>
        <v>0</v>
      </c>
      <c r="K107" s="37" t="str">
        <f>'Master Assortment'!Y147</f>
        <v>—</v>
      </c>
    </row>
    <row r="108" spans="1:11" ht="15" customHeight="1" x14ac:dyDescent="0.25">
      <c r="A108" s="37">
        <f>'Master Assortment'!A162</f>
        <v>0</v>
      </c>
      <c r="B108" s="37">
        <f>'Master Assortment'!C162</f>
        <v>0</v>
      </c>
      <c r="C108" s="37">
        <f>'Master Assortment'!D162</f>
        <v>0</v>
      </c>
      <c r="D108" s="37" t="str">
        <f>'Master Assortment'!H162</f>
        <v/>
      </c>
      <c r="E108" s="37" t="str">
        <f>'Master Assortment'!I162</f>
        <v/>
      </c>
      <c r="F108" s="37">
        <f>'Master Assortment'!G162</f>
        <v>0</v>
      </c>
      <c r="G108" s="37">
        <f>'Master Assortment'!J162</f>
        <v>0</v>
      </c>
      <c r="H108" s="38">
        <f>'Master Assortment'!F162</f>
        <v>0</v>
      </c>
      <c r="I108" s="39" t="str">
        <f>'Master Assortment'!P162</f>
        <v/>
      </c>
      <c r="J108" s="37">
        <f>'Master Assortment'!AD162</f>
        <v>0</v>
      </c>
      <c r="K108" s="37" t="str">
        <f>'Master Assortment'!Y162</f>
        <v>—</v>
      </c>
    </row>
    <row r="109" spans="1:11" ht="15" customHeight="1" x14ac:dyDescent="0.25">
      <c r="A109" s="34">
        <f>'Master Assortment'!A125</f>
        <v>0</v>
      </c>
      <c r="B109" s="34">
        <f>'Master Assortment'!C125</f>
        <v>0</v>
      </c>
      <c r="C109" s="34">
        <f>'Master Assortment'!D125</f>
        <v>0</v>
      </c>
      <c r="D109" s="34" t="str">
        <f>'Master Assortment'!H125</f>
        <v/>
      </c>
      <c r="E109" s="34" t="str">
        <f>'Master Assortment'!I125</f>
        <v/>
      </c>
      <c r="F109" s="34">
        <f>'Master Assortment'!G125</f>
        <v>0</v>
      </c>
      <c r="G109" s="34">
        <f>'Master Assortment'!J125</f>
        <v>0</v>
      </c>
      <c r="H109" s="35">
        <f>'Master Assortment'!F125</f>
        <v>0</v>
      </c>
      <c r="I109" s="36" t="str">
        <f>'Master Assortment'!P125</f>
        <v/>
      </c>
      <c r="J109" s="34">
        <f>'Master Assortment'!AD125</f>
        <v>0</v>
      </c>
      <c r="K109" s="34" t="str">
        <f>'Master Assortment'!Y125</f>
        <v>—</v>
      </c>
    </row>
    <row r="110" spans="1:11" ht="15" customHeight="1" x14ac:dyDescent="0.25">
      <c r="A110" s="37">
        <f>'Master Assortment'!A124</f>
        <v>0</v>
      </c>
      <c r="B110" s="37">
        <f>'Master Assortment'!C124</f>
        <v>0</v>
      </c>
      <c r="C110" s="37">
        <f>'Master Assortment'!D124</f>
        <v>0</v>
      </c>
      <c r="D110" s="37" t="str">
        <f>'Master Assortment'!H124</f>
        <v/>
      </c>
      <c r="E110" s="37" t="str">
        <f>'Master Assortment'!I124</f>
        <v/>
      </c>
      <c r="F110" s="37">
        <f>'Master Assortment'!G124</f>
        <v>0</v>
      </c>
      <c r="G110" s="37">
        <f>'Master Assortment'!J124</f>
        <v>0</v>
      </c>
      <c r="H110" s="38">
        <f>'Master Assortment'!F124</f>
        <v>0</v>
      </c>
      <c r="I110" s="39" t="str">
        <f>'Master Assortment'!P124</f>
        <v/>
      </c>
      <c r="J110" s="37">
        <f>'Master Assortment'!AD124</f>
        <v>0</v>
      </c>
      <c r="K110" s="37" t="str">
        <f>'Master Assortment'!Y124</f>
        <v>—</v>
      </c>
    </row>
    <row r="111" spans="1:11" ht="15" customHeight="1" x14ac:dyDescent="0.25">
      <c r="A111" s="37">
        <f>'Master Assortment'!A130</f>
        <v>0</v>
      </c>
      <c r="B111" s="37">
        <f>'Master Assortment'!C130</f>
        <v>0</v>
      </c>
      <c r="C111" s="37">
        <f>'Master Assortment'!D130</f>
        <v>0</v>
      </c>
      <c r="D111" s="37" t="str">
        <f>'Master Assortment'!H130</f>
        <v/>
      </c>
      <c r="E111" s="37" t="str">
        <f>'Master Assortment'!I130</f>
        <v/>
      </c>
      <c r="F111" s="37">
        <f>'Master Assortment'!G130</f>
        <v>0</v>
      </c>
      <c r="G111" s="37">
        <f>'Master Assortment'!J130</f>
        <v>0</v>
      </c>
      <c r="H111" s="38">
        <f>'Master Assortment'!F130</f>
        <v>0</v>
      </c>
      <c r="I111" s="39" t="str">
        <f>'Master Assortment'!P130</f>
        <v/>
      </c>
      <c r="J111" s="37">
        <f>'Master Assortment'!AD130</f>
        <v>0</v>
      </c>
      <c r="K111" s="37" t="str">
        <f>'Master Assortment'!Y130</f>
        <v>—</v>
      </c>
    </row>
    <row r="112" spans="1:11" ht="15" customHeight="1" x14ac:dyDescent="0.25">
      <c r="A112" s="37">
        <f>'Master Assortment'!A139</f>
        <v>0</v>
      </c>
      <c r="B112" s="37">
        <f>'Master Assortment'!C139</f>
        <v>0</v>
      </c>
      <c r="C112" s="37">
        <f>'Master Assortment'!D139</f>
        <v>0</v>
      </c>
      <c r="D112" s="37" t="str">
        <f>'Master Assortment'!H139</f>
        <v/>
      </c>
      <c r="E112" s="37" t="str">
        <f>'Master Assortment'!I139</f>
        <v/>
      </c>
      <c r="F112" s="37">
        <f>'Master Assortment'!G139</f>
        <v>0</v>
      </c>
      <c r="G112" s="37">
        <f>'Master Assortment'!J139</f>
        <v>0</v>
      </c>
      <c r="H112" s="38">
        <f>'Master Assortment'!F139</f>
        <v>0</v>
      </c>
      <c r="I112" s="39" t="str">
        <f>'Master Assortment'!P139</f>
        <v/>
      </c>
      <c r="J112" s="37">
        <f>'Master Assortment'!AD139</f>
        <v>0</v>
      </c>
      <c r="K112" s="37" t="str">
        <f>'Master Assortment'!Y139</f>
        <v>—</v>
      </c>
    </row>
    <row r="113" spans="1:11" ht="15" customHeight="1" x14ac:dyDescent="0.25">
      <c r="A113" s="34">
        <f>'Master Assortment'!A148</f>
        <v>0</v>
      </c>
      <c r="B113" s="34">
        <f>'Master Assortment'!C148</f>
        <v>0</v>
      </c>
      <c r="C113" s="34">
        <f>'Master Assortment'!D148</f>
        <v>0</v>
      </c>
      <c r="D113" s="34" t="str">
        <f>'Master Assortment'!H148</f>
        <v/>
      </c>
      <c r="E113" s="34" t="str">
        <f>'Master Assortment'!I148</f>
        <v/>
      </c>
      <c r="F113" s="34">
        <f>'Master Assortment'!G148</f>
        <v>0</v>
      </c>
      <c r="G113" s="34">
        <f>'Master Assortment'!J148</f>
        <v>0</v>
      </c>
      <c r="H113" s="35">
        <f>'Master Assortment'!F148</f>
        <v>0</v>
      </c>
      <c r="I113" s="36" t="str">
        <f>'Master Assortment'!P148</f>
        <v/>
      </c>
      <c r="J113" s="34">
        <f>'Master Assortment'!AD148</f>
        <v>0</v>
      </c>
      <c r="K113" s="34" t="str">
        <f>'Master Assortment'!Y148</f>
        <v>—</v>
      </c>
    </row>
    <row r="114" spans="1:11" ht="15" customHeight="1" x14ac:dyDescent="0.25">
      <c r="A114" s="34">
        <f>'Master Assortment'!A6</f>
        <v>0</v>
      </c>
      <c r="B114" s="34">
        <f>'Master Assortment'!C6</f>
        <v>0</v>
      </c>
      <c r="C114" s="34">
        <f>'Master Assortment'!D6</f>
        <v>0</v>
      </c>
      <c r="D114" s="34" t="str">
        <f>'Master Assortment'!H6</f>
        <v/>
      </c>
      <c r="E114" s="34" t="str">
        <f>'Master Assortment'!I6</f>
        <v/>
      </c>
      <c r="F114" s="34">
        <f>'Master Assortment'!G6</f>
        <v>0</v>
      </c>
      <c r="G114" s="34">
        <f>'Master Assortment'!J6</f>
        <v>0</v>
      </c>
      <c r="H114" s="35">
        <f>'Master Assortment'!F6</f>
        <v>0</v>
      </c>
      <c r="I114" s="36" t="str">
        <f>'Master Assortment'!P6</f>
        <v/>
      </c>
      <c r="J114" s="34">
        <f>'Master Assortment'!AD6</f>
        <v>0</v>
      </c>
      <c r="K114" s="34" t="str">
        <f>'Master Assortment'!Y6</f>
        <v>—</v>
      </c>
    </row>
    <row r="115" spans="1:11" ht="15" customHeight="1" x14ac:dyDescent="0.25">
      <c r="A115" s="34">
        <f>'Master Assortment'!A59</f>
        <v>0</v>
      </c>
      <c r="B115" s="34">
        <f>'Master Assortment'!C59</f>
        <v>0</v>
      </c>
      <c r="C115" s="34">
        <f>'Master Assortment'!D59</f>
        <v>0</v>
      </c>
      <c r="D115" s="34" t="str">
        <f>'Master Assortment'!H59</f>
        <v/>
      </c>
      <c r="E115" s="34" t="str">
        <f>'Master Assortment'!I59</f>
        <v/>
      </c>
      <c r="F115" s="34">
        <f>'Master Assortment'!G59</f>
        <v>0</v>
      </c>
      <c r="G115" s="34">
        <f>'Master Assortment'!J59</f>
        <v>0</v>
      </c>
      <c r="H115" s="35">
        <f>'Master Assortment'!F59</f>
        <v>0</v>
      </c>
      <c r="I115" s="36" t="str">
        <f>'Master Assortment'!P59</f>
        <v/>
      </c>
      <c r="J115" s="34">
        <f>'Master Assortment'!AD59</f>
        <v>0</v>
      </c>
      <c r="K115" s="34" t="str">
        <f>'Master Assortment'!Y59</f>
        <v>—</v>
      </c>
    </row>
    <row r="116" spans="1:11" ht="15" customHeight="1" x14ac:dyDescent="0.25">
      <c r="A116" s="34">
        <f>'Master Assortment'!A133</f>
        <v>0</v>
      </c>
      <c r="B116" s="34">
        <f>'Master Assortment'!C133</f>
        <v>0</v>
      </c>
      <c r="C116" s="34">
        <f>'Master Assortment'!D133</f>
        <v>0</v>
      </c>
      <c r="D116" s="34" t="str">
        <f>'Master Assortment'!H133</f>
        <v/>
      </c>
      <c r="E116" s="34" t="str">
        <f>'Master Assortment'!I133</f>
        <v/>
      </c>
      <c r="F116" s="34">
        <f>'Master Assortment'!G133</f>
        <v>0</v>
      </c>
      <c r="G116" s="34">
        <f>'Master Assortment'!J133</f>
        <v>0</v>
      </c>
      <c r="H116" s="35">
        <f>'Master Assortment'!F133</f>
        <v>0</v>
      </c>
      <c r="I116" s="36" t="str">
        <f>'Master Assortment'!P133</f>
        <v/>
      </c>
      <c r="J116" s="34">
        <f>'Master Assortment'!AD133</f>
        <v>0</v>
      </c>
      <c r="K116" s="34" t="str">
        <f>'Master Assortment'!Y133</f>
        <v>—</v>
      </c>
    </row>
    <row r="117" spans="1:11" ht="15" customHeight="1" x14ac:dyDescent="0.25">
      <c r="A117" s="34">
        <f>'Master Assortment'!A28</f>
        <v>0</v>
      </c>
      <c r="B117" s="34">
        <f>'Master Assortment'!C28</f>
        <v>0</v>
      </c>
      <c r="C117" s="34">
        <f>'Master Assortment'!D28</f>
        <v>0</v>
      </c>
      <c r="D117" s="34" t="str">
        <f>'Master Assortment'!H28</f>
        <v/>
      </c>
      <c r="E117" s="34" t="str">
        <f>'Master Assortment'!I28</f>
        <v/>
      </c>
      <c r="F117" s="34">
        <f>'Master Assortment'!G28</f>
        <v>0</v>
      </c>
      <c r="G117" s="34">
        <f>'Master Assortment'!J28</f>
        <v>0</v>
      </c>
      <c r="H117" s="35">
        <f>'Master Assortment'!F28</f>
        <v>0</v>
      </c>
      <c r="I117" s="36" t="str">
        <f>'Master Assortment'!P28</f>
        <v/>
      </c>
      <c r="J117" s="34">
        <f>'Master Assortment'!AD28</f>
        <v>0</v>
      </c>
      <c r="K117" s="34" t="str">
        <f>'Master Assortment'!Y28</f>
        <v>—</v>
      </c>
    </row>
    <row r="118" spans="1:11" ht="15" customHeight="1" x14ac:dyDescent="0.25">
      <c r="A118" s="34">
        <f>'Master Assortment'!A127</f>
        <v>0</v>
      </c>
      <c r="B118" s="34">
        <f>'Master Assortment'!C127</f>
        <v>0</v>
      </c>
      <c r="C118" s="34">
        <f>'Master Assortment'!D127</f>
        <v>0</v>
      </c>
      <c r="D118" s="34" t="str">
        <f>'Master Assortment'!H127</f>
        <v/>
      </c>
      <c r="E118" s="34" t="str">
        <f>'Master Assortment'!I127</f>
        <v/>
      </c>
      <c r="F118" s="34">
        <f>'Master Assortment'!G127</f>
        <v>0</v>
      </c>
      <c r="G118" s="34">
        <f>'Master Assortment'!J127</f>
        <v>0</v>
      </c>
      <c r="H118" s="35">
        <f>'Master Assortment'!F127</f>
        <v>0</v>
      </c>
      <c r="I118" s="36" t="str">
        <f>'Master Assortment'!P127</f>
        <v/>
      </c>
      <c r="J118" s="34">
        <f>'Master Assortment'!AD127</f>
        <v>0</v>
      </c>
      <c r="K118" s="34" t="str">
        <f>'Master Assortment'!Y127</f>
        <v>—</v>
      </c>
    </row>
    <row r="119" spans="1:11" ht="15" customHeight="1" x14ac:dyDescent="0.25">
      <c r="A119" s="34">
        <f>'Master Assortment'!A57</f>
        <v>0</v>
      </c>
      <c r="B119" s="34">
        <f>'Master Assortment'!C57</f>
        <v>0</v>
      </c>
      <c r="C119" s="34">
        <f>'Master Assortment'!D57</f>
        <v>0</v>
      </c>
      <c r="D119" s="34" t="str">
        <f>'Master Assortment'!H57</f>
        <v/>
      </c>
      <c r="E119" s="34" t="str">
        <f>'Master Assortment'!I57</f>
        <v/>
      </c>
      <c r="F119" s="34">
        <f>'Master Assortment'!G57</f>
        <v>0</v>
      </c>
      <c r="G119" s="34">
        <f>'Master Assortment'!J57</f>
        <v>0</v>
      </c>
      <c r="H119" s="35">
        <f>'Master Assortment'!F57</f>
        <v>0</v>
      </c>
      <c r="I119" s="36" t="str">
        <f>'Master Assortment'!P57</f>
        <v/>
      </c>
      <c r="J119" s="34">
        <f>'Master Assortment'!AD57</f>
        <v>0</v>
      </c>
      <c r="K119" s="34" t="str">
        <f>'Master Assortment'!Y57</f>
        <v>—</v>
      </c>
    </row>
    <row r="120" spans="1:11" ht="15" customHeight="1" x14ac:dyDescent="0.25">
      <c r="A120" s="34">
        <f>'Master Assortment'!A165</f>
        <v>0</v>
      </c>
      <c r="B120" s="34">
        <f>'Master Assortment'!C165</f>
        <v>0</v>
      </c>
      <c r="C120" s="34">
        <f>'Master Assortment'!D165</f>
        <v>0</v>
      </c>
      <c r="D120" s="34" t="str">
        <f>'Master Assortment'!H165</f>
        <v/>
      </c>
      <c r="E120" s="34" t="str">
        <f>'Master Assortment'!I165</f>
        <v/>
      </c>
      <c r="F120" s="34">
        <f>'Master Assortment'!G165</f>
        <v>0</v>
      </c>
      <c r="G120" s="34">
        <f>'Master Assortment'!J165</f>
        <v>0</v>
      </c>
      <c r="H120" s="35">
        <f>'Master Assortment'!F165</f>
        <v>0</v>
      </c>
      <c r="I120" s="36" t="str">
        <f>'Master Assortment'!P165</f>
        <v/>
      </c>
      <c r="J120" s="34">
        <f>'Master Assortment'!AD165</f>
        <v>0</v>
      </c>
      <c r="K120" s="34" t="str">
        <f>'Master Assortment'!Y165</f>
        <v>—</v>
      </c>
    </row>
    <row r="121" spans="1:11" ht="15" customHeight="1" x14ac:dyDescent="0.25">
      <c r="A121" s="34">
        <f>'Master Assortment'!A173</f>
        <v>0</v>
      </c>
      <c r="B121" s="34">
        <f>'Master Assortment'!C173</f>
        <v>0</v>
      </c>
      <c r="C121" s="34">
        <f>'Master Assortment'!D173</f>
        <v>0</v>
      </c>
      <c r="D121" s="34" t="str">
        <f>'Master Assortment'!H173</f>
        <v/>
      </c>
      <c r="E121" s="34" t="str">
        <f>'Master Assortment'!I173</f>
        <v/>
      </c>
      <c r="F121" s="34">
        <f>'Master Assortment'!G173</f>
        <v>0</v>
      </c>
      <c r="G121" s="34">
        <f>'Master Assortment'!J173</f>
        <v>0</v>
      </c>
      <c r="H121" s="35">
        <f>'Master Assortment'!F173</f>
        <v>0</v>
      </c>
      <c r="I121" s="36" t="str">
        <f>'Master Assortment'!P173</f>
        <v/>
      </c>
      <c r="J121" s="34">
        <f>'Master Assortment'!AD173</f>
        <v>0</v>
      </c>
      <c r="K121" s="34" t="str">
        <f>'Master Assortment'!Y173</f>
        <v>—</v>
      </c>
    </row>
    <row r="122" spans="1:11" ht="15" customHeight="1" x14ac:dyDescent="0.25">
      <c r="A122" s="34">
        <f>'Master Assortment'!A91</f>
        <v>0</v>
      </c>
      <c r="B122" s="34">
        <f>'Master Assortment'!C91</f>
        <v>0</v>
      </c>
      <c r="C122" s="34">
        <f>'Master Assortment'!D91</f>
        <v>0</v>
      </c>
      <c r="D122" s="34" t="str">
        <f>'Master Assortment'!H91</f>
        <v/>
      </c>
      <c r="E122" s="34" t="str">
        <f>'Master Assortment'!I91</f>
        <v/>
      </c>
      <c r="F122" s="34">
        <f>'Master Assortment'!G91</f>
        <v>0</v>
      </c>
      <c r="G122" s="34">
        <f>'Master Assortment'!J91</f>
        <v>0</v>
      </c>
      <c r="H122" s="35">
        <f>'Master Assortment'!F91</f>
        <v>0</v>
      </c>
      <c r="I122" s="36" t="str">
        <f>'Master Assortment'!P91</f>
        <v/>
      </c>
      <c r="J122" s="34">
        <f>'Master Assortment'!AD91</f>
        <v>0</v>
      </c>
      <c r="K122" s="34" t="str">
        <f>'Master Assortment'!Y91</f>
        <v>—</v>
      </c>
    </row>
    <row r="123" spans="1:11" ht="15" customHeight="1" x14ac:dyDescent="0.25">
      <c r="A123" s="37">
        <f>'Master Assortment'!A50</f>
        <v>0</v>
      </c>
      <c r="B123" s="37">
        <f>'Master Assortment'!C50</f>
        <v>0</v>
      </c>
      <c r="C123" s="37">
        <f>'Master Assortment'!D50</f>
        <v>0</v>
      </c>
      <c r="D123" s="37" t="str">
        <f>'Master Assortment'!H50</f>
        <v/>
      </c>
      <c r="E123" s="37" t="str">
        <f>'Master Assortment'!I50</f>
        <v/>
      </c>
      <c r="F123" s="37">
        <f>'Master Assortment'!G50</f>
        <v>0</v>
      </c>
      <c r="G123" s="37">
        <f>'Master Assortment'!J50</f>
        <v>0</v>
      </c>
      <c r="H123" s="38">
        <f>'Master Assortment'!F50</f>
        <v>0</v>
      </c>
      <c r="I123" s="39" t="str">
        <f>'Master Assortment'!P50</f>
        <v/>
      </c>
      <c r="J123" s="37">
        <f>'Master Assortment'!AD50</f>
        <v>0</v>
      </c>
      <c r="K123" s="37" t="str">
        <f>'Master Assortment'!Y50</f>
        <v>—</v>
      </c>
    </row>
    <row r="124" spans="1:11" ht="15" customHeight="1" x14ac:dyDescent="0.25">
      <c r="A124" s="37">
        <f>'Master Assortment'!A27</f>
        <v>0</v>
      </c>
      <c r="B124" s="37">
        <f>'Master Assortment'!C27</f>
        <v>0</v>
      </c>
      <c r="C124" s="37">
        <f>'Master Assortment'!D27</f>
        <v>0</v>
      </c>
      <c r="D124" s="37" t="str">
        <f>'Master Assortment'!H27</f>
        <v/>
      </c>
      <c r="E124" s="37" t="str">
        <f>'Master Assortment'!I27</f>
        <v/>
      </c>
      <c r="F124" s="37">
        <f>'Master Assortment'!G27</f>
        <v>0</v>
      </c>
      <c r="G124" s="37">
        <f>'Master Assortment'!J27</f>
        <v>0</v>
      </c>
      <c r="H124" s="38">
        <f>'Master Assortment'!F27</f>
        <v>0</v>
      </c>
      <c r="I124" s="39" t="str">
        <f>'Master Assortment'!P27</f>
        <v/>
      </c>
      <c r="J124" s="37">
        <f>'Master Assortment'!AD27</f>
        <v>0</v>
      </c>
      <c r="K124" s="37" t="str">
        <f>'Master Assortment'!Y27</f>
        <v>—</v>
      </c>
    </row>
    <row r="125" spans="1:11" ht="15" customHeight="1" x14ac:dyDescent="0.25">
      <c r="A125" s="34">
        <f>'Master Assortment'!A65</f>
        <v>0</v>
      </c>
      <c r="B125" s="34">
        <f>'Master Assortment'!C65</f>
        <v>0</v>
      </c>
      <c r="C125" s="34">
        <f>'Master Assortment'!D65</f>
        <v>0</v>
      </c>
      <c r="D125" s="34" t="str">
        <f>'Master Assortment'!H65</f>
        <v/>
      </c>
      <c r="E125" s="34" t="str">
        <f>'Master Assortment'!I65</f>
        <v/>
      </c>
      <c r="F125" s="34">
        <f>'Master Assortment'!G65</f>
        <v>0</v>
      </c>
      <c r="G125" s="34">
        <f>'Master Assortment'!J65</f>
        <v>0</v>
      </c>
      <c r="H125" s="35">
        <f>'Master Assortment'!F65</f>
        <v>0</v>
      </c>
      <c r="I125" s="36" t="str">
        <f>'Master Assortment'!P65</f>
        <v/>
      </c>
      <c r="J125" s="34">
        <f>'Master Assortment'!AD65</f>
        <v>0</v>
      </c>
      <c r="K125" s="34" t="str">
        <f>'Master Assortment'!Y65</f>
        <v>—</v>
      </c>
    </row>
    <row r="126" spans="1:11" ht="15" customHeight="1" x14ac:dyDescent="0.25">
      <c r="A126" s="34">
        <f>'Master Assortment'!A16</f>
        <v>0</v>
      </c>
      <c r="B126" s="34">
        <f>'Master Assortment'!C16</f>
        <v>0</v>
      </c>
      <c r="C126" s="34">
        <f>'Master Assortment'!D16</f>
        <v>0</v>
      </c>
      <c r="D126" s="34" t="str">
        <f>'Master Assortment'!H16</f>
        <v/>
      </c>
      <c r="E126" s="34" t="str">
        <f>'Master Assortment'!I16</f>
        <v/>
      </c>
      <c r="F126" s="34">
        <f>'Master Assortment'!G16</f>
        <v>0</v>
      </c>
      <c r="G126" s="34">
        <f>'Master Assortment'!J16</f>
        <v>0</v>
      </c>
      <c r="H126" s="35">
        <f>'Master Assortment'!F16</f>
        <v>0</v>
      </c>
      <c r="I126" s="36" t="str">
        <f>'Master Assortment'!P16</f>
        <v/>
      </c>
      <c r="J126" s="34">
        <f>'Master Assortment'!AD16</f>
        <v>0</v>
      </c>
      <c r="K126" s="34" t="str">
        <f>'Master Assortment'!Y16</f>
        <v>—</v>
      </c>
    </row>
    <row r="127" spans="1:11" ht="15" customHeight="1" x14ac:dyDescent="0.25">
      <c r="A127" s="34">
        <f>'Master Assortment'!A137</f>
        <v>0</v>
      </c>
      <c r="B127" s="34">
        <f>'Master Assortment'!C137</f>
        <v>0</v>
      </c>
      <c r="C127" s="34">
        <f>'Master Assortment'!D137</f>
        <v>0</v>
      </c>
      <c r="D127" s="34" t="str">
        <f>'Master Assortment'!H137</f>
        <v/>
      </c>
      <c r="E127" s="34" t="str">
        <f>'Master Assortment'!I137</f>
        <v/>
      </c>
      <c r="F127" s="34">
        <f>'Master Assortment'!G137</f>
        <v>0</v>
      </c>
      <c r="G127" s="34">
        <f>'Master Assortment'!J137</f>
        <v>0</v>
      </c>
      <c r="H127" s="35">
        <f>'Master Assortment'!F137</f>
        <v>0</v>
      </c>
      <c r="I127" s="36" t="str">
        <f>'Master Assortment'!P137</f>
        <v/>
      </c>
      <c r="J127" s="34">
        <f>'Master Assortment'!AD137</f>
        <v>0</v>
      </c>
      <c r="K127" s="34" t="str">
        <f>'Master Assortment'!Y137</f>
        <v>—</v>
      </c>
    </row>
    <row r="128" spans="1:11" ht="15" customHeight="1" x14ac:dyDescent="0.25">
      <c r="A128" s="37">
        <f>'Master Assortment'!A126</f>
        <v>0</v>
      </c>
      <c r="B128" s="37">
        <f>'Master Assortment'!C126</f>
        <v>0</v>
      </c>
      <c r="C128" s="37">
        <f>'Master Assortment'!D126</f>
        <v>0</v>
      </c>
      <c r="D128" s="37" t="str">
        <f>'Master Assortment'!H126</f>
        <v/>
      </c>
      <c r="E128" s="37" t="str">
        <f>'Master Assortment'!I126</f>
        <v/>
      </c>
      <c r="F128" s="37">
        <f>'Master Assortment'!G126</f>
        <v>0</v>
      </c>
      <c r="G128" s="37">
        <f>'Master Assortment'!J126</f>
        <v>0</v>
      </c>
      <c r="H128" s="38">
        <f>'Master Assortment'!F126</f>
        <v>0</v>
      </c>
      <c r="I128" s="39" t="str">
        <f>'Master Assortment'!P126</f>
        <v/>
      </c>
      <c r="J128" s="37">
        <f>'Master Assortment'!AD126</f>
        <v>0</v>
      </c>
      <c r="K128" s="37" t="str">
        <f>'Master Assortment'!Y126</f>
        <v>—</v>
      </c>
    </row>
    <row r="129" spans="1:11" ht="15" customHeight="1" x14ac:dyDescent="0.25">
      <c r="A129" s="37">
        <f>'Master Assortment'!A172</f>
        <v>0</v>
      </c>
      <c r="B129" s="37">
        <f>'Master Assortment'!C172</f>
        <v>0</v>
      </c>
      <c r="C129" s="37">
        <f>'Master Assortment'!D172</f>
        <v>0</v>
      </c>
      <c r="D129" s="37" t="str">
        <f>'Master Assortment'!H172</f>
        <v/>
      </c>
      <c r="E129" s="37" t="str">
        <f>'Master Assortment'!I172</f>
        <v/>
      </c>
      <c r="F129" s="37">
        <f>'Master Assortment'!G172</f>
        <v>0</v>
      </c>
      <c r="G129" s="37">
        <f>'Master Assortment'!J172</f>
        <v>0</v>
      </c>
      <c r="H129" s="38">
        <f>'Master Assortment'!F172</f>
        <v>0</v>
      </c>
      <c r="I129" s="39" t="str">
        <f>'Master Assortment'!P172</f>
        <v/>
      </c>
      <c r="J129" s="37">
        <f>'Master Assortment'!AD172</f>
        <v>0</v>
      </c>
      <c r="K129" s="37" t="str">
        <f>'Master Assortment'!Y172</f>
        <v>—</v>
      </c>
    </row>
    <row r="130" spans="1:11" ht="15" customHeight="1" x14ac:dyDescent="0.25">
      <c r="A130" s="37">
        <f>'Master Assortment'!A189</f>
        <v>0</v>
      </c>
      <c r="B130" s="37">
        <f>'Master Assortment'!C189</f>
        <v>0</v>
      </c>
      <c r="C130" s="37">
        <f>'Master Assortment'!D189</f>
        <v>0</v>
      </c>
      <c r="D130" s="37" t="str">
        <f>'Master Assortment'!H189</f>
        <v/>
      </c>
      <c r="E130" s="37" t="str">
        <f>'Master Assortment'!I189</f>
        <v/>
      </c>
      <c r="F130" s="37">
        <f>'Master Assortment'!G189</f>
        <v>0</v>
      </c>
      <c r="G130" s="37">
        <f>'Master Assortment'!J189</f>
        <v>0</v>
      </c>
      <c r="H130" s="38">
        <f>'Master Assortment'!F189</f>
        <v>0</v>
      </c>
      <c r="I130" s="39" t="str">
        <f>'Master Assortment'!P189</f>
        <v/>
      </c>
      <c r="J130" s="37">
        <f>'Master Assortment'!AD189</f>
        <v>0</v>
      </c>
      <c r="K130" s="37" t="str">
        <f>'Master Assortment'!Y189</f>
        <v>—</v>
      </c>
    </row>
    <row r="131" spans="1:11" ht="15" customHeight="1" x14ac:dyDescent="0.25">
      <c r="A131" s="34">
        <f>'Master Assortment'!A190</f>
        <v>0</v>
      </c>
      <c r="B131" s="34">
        <f>'Master Assortment'!C190</f>
        <v>0</v>
      </c>
      <c r="C131" s="34">
        <f>'Master Assortment'!D190</f>
        <v>0</v>
      </c>
      <c r="D131" s="34" t="str">
        <f>'Master Assortment'!H190</f>
        <v/>
      </c>
      <c r="E131" s="34" t="str">
        <f>'Master Assortment'!I190</f>
        <v/>
      </c>
      <c r="F131" s="34">
        <f>'Master Assortment'!G190</f>
        <v>0</v>
      </c>
      <c r="G131" s="34">
        <f>'Master Assortment'!J190</f>
        <v>0</v>
      </c>
      <c r="H131" s="35">
        <f>'Master Assortment'!F190</f>
        <v>0</v>
      </c>
      <c r="I131" s="36" t="str">
        <f>'Master Assortment'!P190</f>
        <v/>
      </c>
      <c r="J131" s="34">
        <f>'Master Assortment'!AD190</f>
        <v>0</v>
      </c>
      <c r="K131" s="34" t="str">
        <f>'Master Assortment'!Y190</f>
        <v>—</v>
      </c>
    </row>
    <row r="132" spans="1:11" ht="15" customHeight="1" x14ac:dyDescent="0.25">
      <c r="A132" s="37">
        <f>'Master Assortment'!A191</f>
        <v>0</v>
      </c>
      <c r="B132" s="37">
        <f>'Master Assortment'!C191</f>
        <v>0</v>
      </c>
      <c r="C132" s="37">
        <f>'Master Assortment'!D191</f>
        <v>0</v>
      </c>
      <c r="D132" s="37" t="str">
        <f>'Master Assortment'!H191</f>
        <v/>
      </c>
      <c r="E132" s="37" t="str">
        <f>'Master Assortment'!I191</f>
        <v/>
      </c>
      <c r="F132" s="37">
        <f>'Master Assortment'!G191</f>
        <v>0</v>
      </c>
      <c r="G132" s="37">
        <f>'Master Assortment'!J191</f>
        <v>0</v>
      </c>
      <c r="H132" s="38">
        <f>'Master Assortment'!F191</f>
        <v>0</v>
      </c>
      <c r="I132" s="39" t="str">
        <f>'Master Assortment'!P191</f>
        <v/>
      </c>
      <c r="J132" s="37">
        <f>'Master Assortment'!AD191</f>
        <v>0</v>
      </c>
      <c r="K132" s="37" t="str">
        <f>'Master Assortment'!Y191</f>
        <v>—</v>
      </c>
    </row>
    <row r="133" spans="1:11" ht="15" customHeight="1" x14ac:dyDescent="0.25">
      <c r="A133" s="37">
        <f>'Master Assortment'!A136</f>
        <v>0</v>
      </c>
      <c r="B133" s="37">
        <f>'Master Assortment'!C136</f>
        <v>0</v>
      </c>
      <c r="C133" s="37">
        <f>'Master Assortment'!D136</f>
        <v>0</v>
      </c>
      <c r="D133" s="37" t="str">
        <f>'Master Assortment'!H136</f>
        <v/>
      </c>
      <c r="E133" s="37" t="str">
        <f>'Master Assortment'!I136</f>
        <v/>
      </c>
      <c r="F133" s="37">
        <f>'Master Assortment'!G136</f>
        <v>0</v>
      </c>
      <c r="G133" s="37">
        <f>'Master Assortment'!J136</f>
        <v>0</v>
      </c>
      <c r="H133" s="38">
        <f>'Master Assortment'!F136</f>
        <v>0</v>
      </c>
      <c r="I133" s="39" t="str">
        <f>'Master Assortment'!P136</f>
        <v/>
      </c>
      <c r="J133" s="37">
        <f>'Master Assortment'!AD136</f>
        <v>0</v>
      </c>
      <c r="K133" s="37" t="str">
        <f>'Master Assortment'!Y136</f>
        <v>—</v>
      </c>
    </row>
    <row r="134" spans="1:11" ht="15" customHeight="1" x14ac:dyDescent="0.25">
      <c r="A134" s="34">
        <f>'Master Assortment'!A144</f>
        <v>0</v>
      </c>
      <c r="B134" s="34">
        <f>'Master Assortment'!C144</f>
        <v>0</v>
      </c>
      <c r="C134" s="34">
        <f>'Master Assortment'!D144</f>
        <v>0</v>
      </c>
      <c r="D134" s="34" t="str">
        <f>'Master Assortment'!H144</f>
        <v/>
      </c>
      <c r="E134" s="34" t="str">
        <f>'Master Assortment'!I144</f>
        <v/>
      </c>
      <c r="F134" s="34">
        <f>'Master Assortment'!G144</f>
        <v>0</v>
      </c>
      <c r="G134" s="34">
        <f>'Master Assortment'!J144</f>
        <v>0</v>
      </c>
      <c r="H134" s="35">
        <f>'Master Assortment'!F144</f>
        <v>0</v>
      </c>
      <c r="I134" s="36" t="str">
        <f>'Master Assortment'!P144</f>
        <v/>
      </c>
      <c r="J134" s="34">
        <f>'Master Assortment'!AD144</f>
        <v>0</v>
      </c>
      <c r="K134" s="34" t="str">
        <f>'Master Assortment'!Y144</f>
        <v>—</v>
      </c>
    </row>
    <row r="135" spans="1:11" ht="15" customHeight="1" x14ac:dyDescent="0.25">
      <c r="A135" s="37">
        <f>'Master Assortment'!A150</f>
        <v>0</v>
      </c>
      <c r="B135" s="37">
        <f>'Master Assortment'!C150</f>
        <v>0</v>
      </c>
      <c r="C135" s="37">
        <f>'Master Assortment'!D150</f>
        <v>0</v>
      </c>
      <c r="D135" s="37" t="str">
        <f>'Master Assortment'!H150</f>
        <v/>
      </c>
      <c r="E135" s="37" t="str">
        <f>'Master Assortment'!I150</f>
        <v/>
      </c>
      <c r="F135" s="37">
        <f>'Master Assortment'!G150</f>
        <v>0</v>
      </c>
      <c r="G135" s="37">
        <f>'Master Assortment'!J150</f>
        <v>0</v>
      </c>
      <c r="H135" s="38">
        <f>'Master Assortment'!F150</f>
        <v>0</v>
      </c>
      <c r="I135" s="39" t="str">
        <f>'Master Assortment'!P150</f>
        <v/>
      </c>
      <c r="J135" s="37">
        <f>'Master Assortment'!AD150</f>
        <v>0</v>
      </c>
      <c r="K135" s="37" t="str">
        <f>'Master Assortment'!Y150</f>
        <v>—</v>
      </c>
    </row>
    <row r="136" spans="1:11" ht="15" customHeight="1" x14ac:dyDescent="0.25">
      <c r="A136" s="37">
        <f>'Master Assortment'!A114</f>
        <v>0</v>
      </c>
      <c r="B136" s="37">
        <f>'Master Assortment'!C114</f>
        <v>0</v>
      </c>
      <c r="C136" s="37">
        <f>'Master Assortment'!D114</f>
        <v>0</v>
      </c>
      <c r="D136" s="37" t="str">
        <f>'Master Assortment'!H114</f>
        <v/>
      </c>
      <c r="E136" s="37" t="str">
        <f>'Master Assortment'!I114</f>
        <v/>
      </c>
      <c r="F136" s="37">
        <f>'Master Assortment'!G114</f>
        <v>0</v>
      </c>
      <c r="G136" s="37">
        <f>'Master Assortment'!J114</f>
        <v>0</v>
      </c>
      <c r="H136" s="38">
        <f>'Master Assortment'!F114</f>
        <v>0</v>
      </c>
      <c r="I136" s="39" t="str">
        <f>'Master Assortment'!P114</f>
        <v/>
      </c>
      <c r="J136" s="37">
        <f>'Master Assortment'!AD114</f>
        <v>0</v>
      </c>
      <c r="K136" s="37" t="str">
        <f>'Master Assortment'!Y114</f>
        <v>—</v>
      </c>
    </row>
    <row r="137" spans="1:11" ht="15" customHeight="1" x14ac:dyDescent="0.25">
      <c r="A137" s="37">
        <f>'Master Assortment'!A77</f>
        <v>0</v>
      </c>
      <c r="B137" s="37">
        <f>'Master Assortment'!C77</f>
        <v>0</v>
      </c>
      <c r="C137" s="37">
        <f>'Master Assortment'!D77</f>
        <v>0</v>
      </c>
      <c r="D137" s="37" t="str">
        <f>'Master Assortment'!H77</f>
        <v/>
      </c>
      <c r="E137" s="37" t="str">
        <f>'Master Assortment'!I77</f>
        <v/>
      </c>
      <c r="F137" s="37">
        <f>'Master Assortment'!G77</f>
        <v>0</v>
      </c>
      <c r="G137" s="37">
        <f>'Master Assortment'!J77</f>
        <v>0</v>
      </c>
      <c r="H137" s="38">
        <f>'Master Assortment'!F77</f>
        <v>0</v>
      </c>
      <c r="I137" s="39" t="str">
        <f>'Master Assortment'!P77</f>
        <v/>
      </c>
      <c r="J137" s="37">
        <f>'Master Assortment'!AD77</f>
        <v>0</v>
      </c>
      <c r="K137" s="37" t="str">
        <f>'Master Assortment'!Y77</f>
        <v>—</v>
      </c>
    </row>
    <row r="138" spans="1:11" ht="15" customHeight="1" x14ac:dyDescent="0.25">
      <c r="A138" s="34">
        <f>'Master Assortment'!A171</f>
        <v>0</v>
      </c>
      <c r="B138" s="34">
        <f>'Master Assortment'!C171</f>
        <v>0</v>
      </c>
      <c r="C138" s="34">
        <f>'Master Assortment'!D171</f>
        <v>0</v>
      </c>
      <c r="D138" s="34" t="str">
        <f>'Master Assortment'!H171</f>
        <v/>
      </c>
      <c r="E138" s="34" t="str">
        <f>'Master Assortment'!I171</f>
        <v/>
      </c>
      <c r="F138" s="34">
        <f>'Master Assortment'!G171</f>
        <v>0</v>
      </c>
      <c r="G138" s="34">
        <f>'Master Assortment'!J171</f>
        <v>0</v>
      </c>
      <c r="H138" s="35">
        <f>'Master Assortment'!F171</f>
        <v>0</v>
      </c>
      <c r="I138" s="36" t="str">
        <f>'Master Assortment'!P171</f>
        <v/>
      </c>
      <c r="J138" s="34">
        <f>'Master Assortment'!AD171</f>
        <v>0</v>
      </c>
      <c r="K138" s="34" t="str">
        <f>'Master Assortment'!Y171</f>
        <v>—</v>
      </c>
    </row>
    <row r="139" spans="1:11" ht="15" customHeight="1" x14ac:dyDescent="0.25">
      <c r="A139" s="34">
        <f>'Master Assortment'!A56</f>
        <v>0</v>
      </c>
      <c r="B139" s="34">
        <f>'Master Assortment'!C56</f>
        <v>0</v>
      </c>
      <c r="C139" s="34">
        <f>'Master Assortment'!D56</f>
        <v>0</v>
      </c>
      <c r="D139" s="34" t="str">
        <f>'Master Assortment'!H56</f>
        <v/>
      </c>
      <c r="E139" s="34" t="str">
        <f>'Master Assortment'!I56</f>
        <v/>
      </c>
      <c r="F139" s="34">
        <f>'Master Assortment'!G56</f>
        <v>0</v>
      </c>
      <c r="G139" s="34">
        <f>'Master Assortment'!J56</f>
        <v>0</v>
      </c>
      <c r="H139" s="35">
        <f>'Master Assortment'!F56</f>
        <v>0</v>
      </c>
      <c r="I139" s="36" t="str">
        <f>'Master Assortment'!P56</f>
        <v/>
      </c>
      <c r="J139" s="34">
        <f>'Master Assortment'!AD56</f>
        <v>0</v>
      </c>
      <c r="K139" s="34" t="str">
        <f>'Master Assortment'!Y56</f>
        <v>—</v>
      </c>
    </row>
    <row r="140" spans="1:11" ht="15" customHeight="1" x14ac:dyDescent="0.25">
      <c r="A140" s="34">
        <f>'Master Assortment'!A31</f>
        <v>0</v>
      </c>
      <c r="B140" s="34">
        <f>'Master Assortment'!C31</f>
        <v>0</v>
      </c>
      <c r="C140" s="34">
        <f>'Master Assortment'!D31</f>
        <v>0</v>
      </c>
      <c r="D140" s="34" t="str">
        <f>'Master Assortment'!H31</f>
        <v/>
      </c>
      <c r="E140" s="34" t="str">
        <f>'Master Assortment'!I31</f>
        <v/>
      </c>
      <c r="F140" s="34">
        <f>'Master Assortment'!G31</f>
        <v>0</v>
      </c>
      <c r="G140" s="34">
        <f>'Master Assortment'!J31</f>
        <v>0</v>
      </c>
      <c r="H140" s="35">
        <f>'Master Assortment'!F31</f>
        <v>0</v>
      </c>
      <c r="I140" s="36" t="str">
        <f>'Master Assortment'!P31</f>
        <v/>
      </c>
      <c r="J140" s="34">
        <f>'Master Assortment'!AD31</f>
        <v>0</v>
      </c>
      <c r="K140" s="34" t="str">
        <f>'Master Assortment'!Y31</f>
        <v>—</v>
      </c>
    </row>
    <row r="141" spans="1:11" ht="15" customHeight="1" x14ac:dyDescent="0.25">
      <c r="A141" s="34">
        <f>'Master Assortment'!A37</f>
        <v>0</v>
      </c>
      <c r="B141" s="34">
        <f>'Master Assortment'!C37</f>
        <v>0</v>
      </c>
      <c r="C141" s="34">
        <f>'Master Assortment'!D37</f>
        <v>0</v>
      </c>
      <c r="D141" s="34" t="str">
        <f>'Master Assortment'!H37</f>
        <v/>
      </c>
      <c r="E141" s="34" t="str">
        <f>'Master Assortment'!I37</f>
        <v/>
      </c>
      <c r="F141" s="34">
        <f>'Master Assortment'!G37</f>
        <v>0</v>
      </c>
      <c r="G141" s="34">
        <f>'Master Assortment'!J37</f>
        <v>0</v>
      </c>
      <c r="H141" s="35">
        <f>'Master Assortment'!F37</f>
        <v>0</v>
      </c>
      <c r="I141" s="36" t="str">
        <f>'Master Assortment'!P37</f>
        <v/>
      </c>
      <c r="J141" s="34">
        <f>'Master Assortment'!AD37</f>
        <v>0</v>
      </c>
      <c r="K141" s="34" t="str">
        <f>'Master Assortment'!Y37</f>
        <v>—</v>
      </c>
    </row>
    <row r="142" spans="1:11" ht="15" customHeight="1" x14ac:dyDescent="0.25">
      <c r="A142" s="34">
        <f>'Master Assortment'!A157</f>
        <v>0</v>
      </c>
      <c r="B142" s="34">
        <f>'Master Assortment'!C157</f>
        <v>0</v>
      </c>
      <c r="C142" s="34">
        <f>'Master Assortment'!D157</f>
        <v>0</v>
      </c>
      <c r="D142" s="34" t="str">
        <f>'Master Assortment'!H157</f>
        <v/>
      </c>
      <c r="E142" s="34" t="str">
        <f>'Master Assortment'!I157</f>
        <v/>
      </c>
      <c r="F142" s="34">
        <f>'Master Assortment'!G157</f>
        <v>0</v>
      </c>
      <c r="G142" s="34">
        <f>'Master Assortment'!J157</f>
        <v>0</v>
      </c>
      <c r="H142" s="35">
        <f>'Master Assortment'!F157</f>
        <v>0</v>
      </c>
      <c r="I142" s="36" t="str">
        <f>'Master Assortment'!P157</f>
        <v/>
      </c>
      <c r="J142" s="34">
        <f>'Master Assortment'!AD157</f>
        <v>0</v>
      </c>
      <c r="K142" s="34" t="str">
        <f>'Master Assortment'!Y157</f>
        <v>—</v>
      </c>
    </row>
    <row r="143" spans="1:11" ht="15" customHeight="1" x14ac:dyDescent="0.25">
      <c r="A143" s="34">
        <f>'Master Assortment'!A146</f>
        <v>0</v>
      </c>
      <c r="B143" s="34">
        <f>'Master Assortment'!C146</f>
        <v>0</v>
      </c>
      <c r="C143" s="34">
        <f>'Master Assortment'!D146</f>
        <v>0</v>
      </c>
      <c r="D143" s="34" t="str">
        <f>'Master Assortment'!H146</f>
        <v/>
      </c>
      <c r="E143" s="34" t="str">
        <f>'Master Assortment'!I146</f>
        <v/>
      </c>
      <c r="F143" s="34">
        <f>'Master Assortment'!G146</f>
        <v>0</v>
      </c>
      <c r="G143" s="34">
        <f>'Master Assortment'!J146</f>
        <v>0</v>
      </c>
      <c r="H143" s="35">
        <f>'Master Assortment'!F146</f>
        <v>0</v>
      </c>
      <c r="I143" s="36" t="str">
        <f>'Master Assortment'!P146</f>
        <v/>
      </c>
      <c r="J143" s="34">
        <f>'Master Assortment'!AD146</f>
        <v>0</v>
      </c>
      <c r="K143" s="34" t="str">
        <f>'Master Assortment'!Y146</f>
        <v>—</v>
      </c>
    </row>
    <row r="144" spans="1:11" ht="15" customHeight="1" x14ac:dyDescent="0.25">
      <c r="A144" s="37">
        <f>'Master Assortment'!A145</f>
        <v>0</v>
      </c>
      <c r="B144" s="37">
        <f>'Master Assortment'!C145</f>
        <v>0</v>
      </c>
      <c r="C144" s="37">
        <f>'Master Assortment'!D145</f>
        <v>0</v>
      </c>
      <c r="D144" s="37" t="str">
        <f>'Master Assortment'!H145</f>
        <v/>
      </c>
      <c r="E144" s="37" t="str">
        <f>'Master Assortment'!I145</f>
        <v/>
      </c>
      <c r="F144" s="37">
        <f>'Master Assortment'!G145</f>
        <v>0</v>
      </c>
      <c r="G144" s="37">
        <f>'Master Assortment'!J145</f>
        <v>0</v>
      </c>
      <c r="H144" s="38">
        <f>'Master Assortment'!F145</f>
        <v>0</v>
      </c>
      <c r="I144" s="39" t="str">
        <f>'Master Assortment'!P145</f>
        <v/>
      </c>
      <c r="J144" s="37">
        <f>'Master Assortment'!AD145</f>
        <v>0</v>
      </c>
      <c r="K144" s="37" t="str">
        <f>'Master Assortment'!Y145</f>
        <v>—</v>
      </c>
    </row>
    <row r="145" spans="1:11" ht="15" customHeight="1" x14ac:dyDescent="0.25">
      <c r="A145" s="34">
        <f>'Master Assortment'!A153</f>
        <v>0</v>
      </c>
      <c r="B145" s="34">
        <f>'Master Assortment'!C153</f>
        <v>0</v>
      </c>
      <c r="C145" s="34">
        <f>'Master Assortment'!D153</f>
        <v>0</v>
      </c>
      <c r="D145" s="34" t="str">
        <f>'Master Assortment'!H153</f>
        <v/>
      </c>
      <c r="E145" s="34" t="str">
        <f>'Master Assortment'!I153</f>
        <v/>
      </c>
      <c r="F145" s="34">
        <f>'Master Assortment'!G153</f>
        <v>0</v>
      </c>
      <c r="G145" s="34">
        <f>'Master Assortment'!J153</f>
        <v>0</v>
      </c>
      <c r="H145" s="35">
        <f>'Master Assortment'!F153</f>
        <v>0</v>
      </c>
      <c r="I145" s="36" t="str">
        <f>'Master Assortment'!P153</f>
        <v/>
      </c>
      <c r="J145" s="34">
        <f>'Master Assortment'!AD153</f>
        <v>0</v>
      </c>
      <c r="K145" s="34" t="str">
        <f>'Master Assortment'!Y153</f>
        <v>—</v>
      </c>
    </row>
    <row r="146" spans="1:11" ht="15" customHeight="1" x14ac:dyDescent="0.25">
      <c r="A146" s="34">
        <f>'Master Assortment'!A169</f>
        <v>0</v>
      </c>
      <c r="B146" s="34">
        <f>'Master Assortment'!C169</f>
        <v>0</v>
      </c>
      <c r="C146" s="34">
        <f>'Master Assortment'!D169</f>
        <v>0</v>
      </c>
      <c r="D146" s="34" t="str">
        <f>'Master Assortment'!H169</f>
        <v/>
      </c>
      <c r="E146" s="34" t="str">
        <f>'Master Assortment'!I169</f>
        <v/>
      </c>
      <c r="F146" s="34">
        <f>'Master Assortment'!G169</f>
        <v>0</v>
      </c>
      <c r="G146" s="34">
        <f>'Master Assortment'!J169</f>
        <v>0</v>
      </c>
      <c r="H146" s="35">
        <f>'Master Assortment'!F169</f>
        <v>0</v>
      </c>
      <c r="I146" s="36" t="str">
        <f>'Master Assortment'!P169</f>
        <v/>
      </c>
      <c r="J146" s="34">
        <f>'Master Assortment'!AD169</f>
        <v>0</v>
      </c>
      <c r="K146" s="34" t="str">
        <f>'Master Assortment'!Y169</f>
        <v>—</v>
      </c>
    </row>
    <row r="147" spans="1:11" ht="15" customHeight="1" x14ac:dyDescent="0.25">
      <c r="A147" s="37">
        <f>'Master Assortment'!A46</f>
        <v>0</v>
      </c>
      <c r="B147" s="37">
        <f>'Master Assortment'!C46</f>
        <v>0</v>
      </c>
      <c r="C147" s="37">
        <f>'Master Assortment'!D46</f>
        <v>0</v>
      </c>
      <c r="D147" s="37" t="str">
        <f>'Master Assortment'!H46</f>
        <v/>
      </c>
      <c r="E147" s="37" t="str">
        <f>'Master Assortment'!I46</f>
        <v/>
      </c>
      <c r="F147" s="37">
        <f>'Master Assortment'!G46</f>
        <v>0</v>
      </c>
      <c r="G147" s="37">
        <f>'Master Assortment'!J46</f>
        <v>0</v>
      </c>
      <c r="H147" s="38">
        <f>'Master Assortment'!F46</f>
        <v>0</v>
      </c>
      <c r="I147" s="39" t="str">
        <f>'Master Assortment'!P46</f>
        <v/>
      </c>
      <c r="J147" s="37">
        <f>'Master Assortment'!AD46</f>
        <v>0</v>
      </c>
      <c r="K147" s="37" t="str">
        <f>'Master Assortment'!Y46</f>
        <v>—</v>
      </c>
    </row>
    <row r="148" spans="1:11" ht="15" customHeight="1" x14ac:dyDescent="0.25">
      <c r="A148" s="34">
        <f>'Master Assortment'!A14</f>
        <v>0</v>
      </c>
      <c r="B148" s="34">
        <f>'Master Assortment'!C14</f>
        <v>0</v>
      </c>
      <c r="C148" s="34">
        <f>'Master Assortment'!D14</f>
        <v>0</v>
      </c>
      <c r="D148" s="34" t="str">
        <f>'Master Assortment'!H14</f>
        <v/>
      </c>
      <c r="E148" s="34" t="str">
        <f>'Master Assortment'!I14</f>
        <v/>
      </c>
      <c r="F148" s="34">
        <f>'Master Assortment'!G14</f>
        <v>0</v>
      </c>
      <c r="G148" s="34">
        <f>'Master Assortment'!J14</f>
        <v>0</v>
      </c>
      <c r="H148" s="35">
        <f>'Master Assortment'!F14</f>
        <v>0</v>
      </c>
      <c r="I148" s="36" t="str">
        <f>'Master Assortment'!P14</f>
        <v/>
      </c>
      <c r="J148" s="34">
        <f>'Master Assortment'!AD14</f>
        <v>0</v>
      </c>
      <c r="K148" s="34" t="str">
        <f>'Master Assortment'!Y14</f>
        <v>—</v>
      </c>
    </row>
    <row r="149" spans="1:11" ht="15" customHeight="1" x14ac:dyDescent="0.25">
      <c r="A149" s="37">
        <f>'Master Assortment'!A166</f>
        <v>0</v>
      </c>
      <c r="B149" s="37">
        <f>'Master Assortment'!C166</f>
        <v>0</v>
      </c>
      <c r="C149" s="37">
        <f>'Master Assortment'!D166</f>
        <v>0</v>
      </c>
      <c r="D149" s="37" t="str">
        <f>'Master Assortment'!H166</f>
        <v/>
      </c>
      <c r="E149" s="37" t="str">
        <f>'Master Assortment'!I166</f>
        <v/>
      </c>
      <c r="F149" s="37">
        <f>'Master Assortment'!G166</f>
        <v>0</v>
      </c>
      <c r="G149" s="37">
        <f>'Master Assortment'!J166</f>
        <v>0</v>
      </c>
      <c r="H149" s="38">
        <f>'Master Assortment'!F166</f>
        <v>0</v>
      </c>
      <c r="I149" s="39" t="str">
        <f>'Master Assortment'!P166</f>
        <v/>
      </c>
      <c r="J149" s="37">
        <f>'Master Assortment'!AD166</f>
        <v>0</v>
      </c>
      <c r="K149" s="37" t="str">
        <f>'Master Assortment'!Y166</f>
        <v>—</v>
      </c>
    </row>
    <row r="150" spans="1:11" ht="15" customHeight="1" x14ac:dyDescent="0.25">
      <c r="A150" s="37">
        <f>'Master Assortment'!A152</f>
        <v>0</v>
      </c>
      <c r="B150" s="37">
        <f>'Master Assortment'!C152</f>
        <v>0</v>
      </c>
      <c r="C150" s="37">
        <f>'Master Assortment'!D152</f>
        <v>0</v>
      </c>
      <c r="D150" s="37" t="str">
        <f>'Master Assortment'!H152</f>
        <v/>
      </c>
      <c r="E150" s="37" t="str">
        <f>'Master Assortment'!I152</f>
        <v/>
      </c>
      <c r="F150" s="37">
        <f>'Master Assortment'!G152</f>
        <v>0</v>
      </c>
      <c r="G150" s="37">
        <f>'Master Assortment'!J152</f>
        <v>0</v>
      </c>
      <c r="H150" s="38">
        <f>'Master Assortment'!F152</f>
        <v>0</v>
      </c>
      <c r="I150" s="39" t="str">
        <f>'Master Assortment'!P152</f>
        <v/>
      </c>
      <c r="J150" s="37">
        <f>'Master Assortment'!AD152</f>
        <v>0</v>
      </c>
      <c r="K150" s="37" t="str">
        <f>'Master Assortment'!Y152</f>
        <v>—</v>
      </c>
    </row>
    <row r="151" spans="1:11" ht="15" customHeight="1" x14ac:dyDescent="0.25">
      <c r="A151" s="34">
        <f>'Master Assortment'!A39</f>
        <v>0</v>
      </c>
      <c r="B151" s="34">
        <f>'Master Assortment'!C39</f>
        <v>0</v>
      </c>
      <c r="C151" s="34">
        <f>'Master Assortment'!D39</f>
        <v>0</v>
      </c>
      <c r="D151" s="34" t="str">
        <f>'Master Assortment'!H39</f>
        <v/>
      </c>
      <c r="E151" s="34" t="str">
        <f>'Master Assortment'!I39</f>
        <v/>
      </c>
      <c r="F151" s="34">
        <f>'Master Assortment'!G39</f>
        <v>0</v>
      </c>
      <c r="G151" s="34">
        <f>'Master Assortment'!J39</f>
        <v>0</v>
      </c>
      <c r="H151" s="35">
        <f>'Master Assortment'!F39</f>
        <v>0</v>
      </c>
      <c r="I151" s="36" t="str">
        <f>'Master Assortment'!P39</f>
        <v/>
      </c>
      <c r="J151" s="34">
        <f>'Master Assortment'!AD39</f>
        <v>0</v>
      </c>
      <c r="K151" s="34" t="str">
        <f>'Master Assortment'!Y39</f>
        <v>—</v>
      </c>
    </row>
    <row r="152" spans="1:11" ht="15" customHeight="1" x14ac:dyDescent="0.25">
      <c r="A152" s="37">
        <f>'Master Assortment'!A158</f>
        <v>0</v>
      </c>
      <c r="B152" s="37">
        <f>'Master Assortment'!C158</f>
        <v>0</v>
      </c>
      <c r="C152" s="37">
        <f>'Master Assortment'!D158</f>
        <v>0</v>
      </c>
      <c r="D152" s="37" t="str">
        <f>'Master Assortment'!H158</f>
        <v/>
      </c>
      <c r="E152" s="37" t="str">
        <f>'Master Assortment'!I158</f>
        <v/>
      </c>
      <c r="F152" s="37">
        <f>'Master Assortment'!G158</f>
        <v>0</v>
      </c>
      <c r="G152" s="37">
        <f>'Master Assortment'!J158</f>
        <v>0</v>
      </c>
      <c r="H152" s="38">
        <f>'Master Assortment'!F158</f>
        <v>0</v>
      </c>
      <c r="I152" s="39" t="str">
        <f>'Master Assortment'!P158</f>
        <v/>
      </c>
      <c r="J152" s="37">
        <f>'Master Assortment'!AD158</f>
        <v>0</v>
      </c>
      <c r="K152" s="37" t="str">
        <f>'Master Assortment'!Y158</f>
        <v>—</v>
      </c>
    </row>
    <row r="153" spans="1:11" ht="15" customHeight="1" x14ac:dyDescent="0.25">
      <c r="A153" s="37">
        <f>'Master Assortment'!A149</f>
        <v>0</v>
      </c>
      <c r="B153" s="37">
        <f>'Master Assortment'!C149</f>
        <v>0</v>
      </c>
      <c r="C153" s="37">
        <f>'Master Assortment'!D149</f>
        <v>0</v>
      </c>
      <c r="D153" s="37" t="str">
        <f>'Master Assortment'!H149</f>
        <v/>
      </c>
      <c r="E153" s="37" t="str">
        <f>'Master Assortment'!I149</f>
        <v/>
      </c>
      <c r="F153" s="37">
        <f>'Master Assortment'!G149</f>
        <v>0</v>
      </c>
      <c r="G153" s="37">
        <f>'Master Assortment'!J149</f>
        <v>0</v>
      </c>
      <c r="H153" s="38">
        <f>'Master Assortment'!F149</f>
        <v>0</v>
      </c>
      <c r="I153" s="39" t="str">
        <f>'Master Assortment'!P149</f>
        <v/>
      </c>
      <c r="J153" s="37">
        <f>'Master Assortment'!AD149</f>
        <v>0</v>
      </c>
      <c r="K153" s="37" t="str">
        <f>'Master Assortment'!Y149</f>
        <v>—</v>
      </c>
    </row>
    <row r="154" spans="1:11" ht="15" customHeight="1" x14ac:dyDescent="0.25">
      <c r="A154" s="37">
        <f>'Master Assortment'!A180</f>
        <v>0</v>
      </c>
      <c r="B154" s="37">
        <f>'Master Assortment'!C180</f>
        <v>0</v>
      </c>
      <c r="C154" s="37">
        <f>'Master Assortment'!D180</f>
        <v>0</v>
      </c>
      <c r="D154" s="37" t="str">
        <f>'Master Assortment'!H180</f>
        <v/>
      </c>
      <c r="E154" s="37" t="str">
        <f>'Master Assortment'!I180</f>
        <v/>
      </c>
      <c r="F154" s="37">
        <f>'Master Assortment'!G180</f>
        <v>0</v>
      </c>
      <c r="G154" s="37">
        <f>'Master Assortment'!J180</f>
        <v>0</v>
      </c>
      <c r="H154" s="38">
        <f>'Master Assortment'!F180</f>
        <v>0</v>
      </c>
      <c r="I154" s="39" t="str">
        <f>'Master Assortment'!P180</f>
        <v/>
      </c>
      <c r="J154" s="37">
        <f>'Master Assortment'!AD180</f>
        <v>0</v>
      </c>
      <c r="K154" s="37" t="str">
        <f>'Master Assortment'!Y180</f>
        <v>—</v>
      </c>
    </row>
    <row r="155" spans="1:11" ht="15" customHeight="1" x14ac:dyDescent="0.25">
      <c r="A155" s="34">
        <f>'Master Assortment'!A179</f>
        <v>0</v>
      </c>
      <c r="B155" s="34">
        <f>'Master Assortment'!C179</f>
        <v>0</v>
      </c>
      <c r="C155" s="34">
        <f>'Master Assortment'!D179</f>
        <v>0</v>
      </c>
      <c r="D155" s="34" t="str">
        <f>'Master Assortment'!H179</f>
        <v/>
      </c>
      <c r="E155" s="34" t="str">
        <f>'Master Assortment'!I179</f>
        <v/>
      </c>
      <c r="F155" s="34">
        <f>'Master Assortment'!G179</f>
        <v>0</v>
      </c>
      <c r="G155" s="34">
        <f>'Master Assortment'!J179</f>
        <v>0</v>
      </c>
      <c r="H155" s="35">
        <f>'Master Assortment'!F179</f>
        <v>0</v>
      </c>
      <c r="I155" s="36" t="str">
        <f>'Master Assortment'!P179</f>
        <v/>
      </c>
      <c r="J155" s="34">
        <f>'Master Assortment'!AD179</f>
        <v>0</v>
      </c>
      <c r="K155" s="34" t="str">
        <f>'Master Assortment'!Y179</f>
        <v>—</v>
      </c>
    </row>
    <row r="156" spans="1:11" ht="15" customHeight="1" x14ac:dyDescent="0.25">
      <c r="A156" s="37">
        <f>'Master Assortment'!A178</f>
        <v>0</v>
      </c>
      <c r="B156" s="37">
        <f>'Master Assortment'!C178</f>
        <v>0</v>
      </c>
      <c r="C156" s="37">
        <f>'Master Assortment'!D178</f>
        <v>0</v>
      </c>
      <c r="D156" s="37" t="str">
        <f>'Master Assortment'!H178</f>
        <v/>
      </c>
      <c r="E156" s="37" t="str">
        <f>'Master Assortment'!I178</f>
        <v/>
      </c>
      <c r="F156" s="37">
        <f>'Master Assortment'!G178</f>
        <v>0</v>
      </c>
      <c r="G156" s="37">
        <f>'Master Assortment'!J178</f>
        <v>0</v>
      </c>
      <c r="H156" s="38">
        <f>'Master Assortment'!F178</f>
        <v>0</v>
      </c>
      <c r="I156" s="39" t="str">
        <f>'Master Assortment'!P178</f>
        <v/>
      </c>
      <c r="J156" s="37">
        <f>'Master Assortment'!AD178</f>
        <v>0</v>
      </c>
      <c r="K156" s="37" t="str">
        <f>'Master Assortment'!Y178</f>
        <v>—</v>
      </c>
    </row>
    <row r="157" spans="1:11" ht="15" customHeight="1" x14ac:dyDescent="0.25">
      <c r="A157" s="34">
        <f>'Master Assortment'!A181</f>
        <v>0</v>
      </c>
      <c r="B157" s="34">
        <f>'Master Assortment'!C181</f>
        <v>0</v>
      </c>
      <c r="C157" s="34">
        <f>'Master Assortment'!D181</f>
        <v>0</v>
      </c>
      <c r="D157" s="34" t="str">
        <f>'Master Assortment'!H181</f>
        <v/>
      </c>
      <c r="E157" s="34" t="str">
        <f>'Master Assortment'!I181</f>
        <v/>
      </c>
      <c r="F157" s="34">
        <f>'Master Assortment'!G181</f>
        <v>0</v>
      </c>
      <c r="G157" s="34">
        <f>'Master Assortment'!J181</f>
        <v>0</v>
      </c>
      <c r="H157" s="35">
        <f>'Master Assortment'!F181</f>
        <v>0</v>
      </c>
      <c r="I157" s="36" t="str">
        <f>'Master Assortment'!P181</f>
        <v/>
      </c>
      <c r="J157" s="34">
        <f>'Master Assortment'!AD181</f>
        <v>0</v>
      </c>
      <c r="K157" s="34" t="str">
        <f>'Master Assortment'!Y181</f>
        <v>—</v>
      </c>
    </row>
    <row r="158" spans="1:11" ht="15" customHeight="1" x14ac:dyDescent="0.25">
      <c r="A158" s="34">
        <f>'Master Assortment'!A131</f>
        <v>0</v>
      </c>
      <c r="B158" s="34">
        <f>'Master Assortment'!C131</f>
        <v>0</v>
      </c>
      <c r="C158" s="34">
        <f>'Master Assortment'!D131</f>
        <v>0</v>
      </c>
      <c r="D158" s="34" t="str">
        <f>'Master Assortment'!H131</f>
        <v/>
      </c>
      <c r="E158" s="34" t="str">
        <f>'Master Assortment'!I131</f>
        <v/>
      </c>
      <c r="F158" s="34">
        <f>'Master Assortment'!G131</f>
        <v>0</v>
      </c>
      <c r="G158" s="34">
        <f>'Master Assortment'!J131</f>
        <v>0</v>
      </c>
      <c r="H158" s="35">
        <f>'Master Assortment'!F131</f>
        <v>0</v>
      </c>
      <c r="I158" s="36" t="str">
        <f>'Master Assortment'!P131</f>
        <v/>
      </c>
      <c r="J158" s="34">
        <f>'Master Assortment'!AD131</f>
        <v>0</v>
      </c>
      <c r="K158" s="34" t="str">
        <f>'Master Assortment'!Y131</f>
        <v>—</v>
      </c>
    </row>
    <row r="159" spans="1:11" ht="15" customHeight="1" x14ac:dyDescent="0.25">
      <c r="A159" s="34">
        <f>'Master Assortment'!A177</f>
        <v>0</v>
      </c>
      <c r="B159" s="34">
        <f>'Master Assortment'!C177</f>
        <v>0</v>
      </c>
      <c r="C159" s="34">
        <f>'Master Assortment'!D177</f>
        <v>0</v>
      </c>
      <c r="D159" s="34" t="str">
        <f>'Master Assortment'!H177</f>
        <v/>
      </c>
      <c r="E159" s="34" t="str">
        <f>'Master Assortment'!I177</f>
        <v/>
      </c>
      <c r="F159" s="34">
        <f>'Master Assortment'!G177</f>
        <v>0</v>
      </c>
      <c r="G159" s="34">
        <f>'Master Assortment'!J177</f>
        <v>0</v>
      </c>
      <c r="H159" s="35">
        <f>'Master Assortment'!F177</f>
        <v>0</v>
      </c>
      <c r="I159" s="36" t="str">
        <f>'Master Assortment'!P177</f>
        <v/>
      </c>
      <c r="J159" s="34">
        <f>'Master Assortment'!AD177</f>
        <v>0</v>
      </c>
      <c r="K159" s="34" t="str">
        <f>'Master Assortment'!Y177</f>
        <v>—</v>
      </c>
    </row>
    <row r="160" spans="1:11" ht="15" customHeight="1" x14ac:dyDescent="0.25">
      <c r="A160" s="34">
        <f>'Master Assortment'!A175</f>
        <v>0</v>
      </c>
      <c r="B160" s="34">
        <f>'Master Assortment'!C175</f>
        <v>0</v>
      </c>
      <c r="C160" s="34">
        <f>'Master Assortment'!D175</f>
        <v>0</v>
      </c>
      <c r="D160" s="34" t="str">
        <f>'Master Assortment'!H175</f>
        <v/>
      </c>
      <c r="E160" s="34" t="str">
        <f>'Master Assortment'!I175</f>
        <v/>
      </c>
      <c r="F160" s="34">
        <f>'Master Assortment'!G175</f>
        <v>0</v>
      </c>
      <c r="G160" s="34">
        <f>'Master Assortment'!J175</f>
        <v>0</v>
      </c>
      <c r="H160" s="35">
        <f>'Master Assortment'!F175</f>
        <v>0</v>
      </c>
      <c r="I160" s="36" t="str">
        <f>'Master Assortment'!P175</f>
        <v/>
      </c>
      <c r="J160" s="34">
        <f>'Master Assortment'!AD175</f>
        <v>0</v>
      </c>
      <c r="K160" s="34" t="str">
        <f>'Master Assortment'!Y175</f>
        <v>—</v>
      </c>
    </row>
    <row r="161" spans="1:11" ht="15" customHeight="1" x14ac:dyDescent="0.25">
      <c r="A161" s="37">
        <f>'Master Assortment'!A141</f>
        <v>0</v>
      </c>
      <c r="B161" s="37">
        <f>'Master Assortment'!C141</f>
        <v>0</v>
      </c>
      <c r="C161" s="37">
        <f>'Master Assortment'!D141</f>
        <v>0</v>
      </c>
      <c r="D161" s="37" t="str">
        <f>'Master Assortment'!H141</f>
        <v/>
      </c>
      <c r="E161" s="37" t="str">
        <f>'Master Assortment'!I141</f>
        <v/>
      </c>
      <c r="F161" s="37">
        <f>'Master Assortment'!G141</f>
        <v>0</v>
      </c>
      <c r="G161" s="37">
        <f>'Master Assortment'!J141</f>
        <v>0</v>
      </c>
      <c r="H161" s="38">
        <f>'Master Assortment'!F141</f>
        <v>0</v>
      </c>
      <c r="I161" s="39" t="str">
        <f>'Master Assortment'!P141</f>
        <v/>
      </c>
      <c r="J161" s="37">
        <f>'Master Assortment'!AD141</f>
        <v>0</v>
      </c>
      <c r="K161" s="37" t="str">
        <f>'Master Assortment'!Y141</f>
        <v>—</v>
      </c>
    </row>
    <row r="162" spans="1:11" ht="15" customHeight="1" x14ac:dyDescent="0.25">
      <c r="A162" s="34">
        <f>'Master Assortment'!A89</f>
        <v>0</v>
      </c>
      <c r="B162" s="34">
        <f>'Master Assortment'!C89</f>
        <v>0</v>
      </c>
      <c r="C162" s="34">
        <f>'Master Assortment'!D89</f>
        <v>0</v>
      </c>
      <c r="D162" s="34" t="str">
        <f>'Master Assortment'!H89</f>
        <v/>
      </c>
      <c r="E162" s="34" t="str">
        <f>'Master Assortment'!I89</f>
        <v/>
      </c>
      <c r="F162" s="34">
        <f>'Master Assortment'!G89</f>
        <v>0</v>
      </c>
      <c r="G162" s="34">
        <f>'Master Assortment'!J89</f>
        <v>0</v>
      </c>
      <c r="H162" s="35">
        <f>'Master Assortment'!F89</f>
        <v>0</v>
      </c>
      <c r="I162" s="36" t="str">
        <f>'Master Assortment'!P89</f>
        <v/>
      </c>
      <c r="J162" s="34">
        <f>'Master Assortment'!AD89</f>
        <v>0</v>
      </c>
      <c r="K162" s="34" t="str">
        <f>'Master Assortment'!Y89</f>
        <v>—</v>
      </c>
    </row>
    <row r="163" spans="1:11" ht="15" customHeight="1" x14ac:dyDescent="0.25">
      <c r="A163" s="37">
        <f>'Master Assortment'!A143</f>
        <v>0</v>
      </c>
      <c r="B163" s="37">
        <f>'Master Assortment'!C143</f>
        <v>0</v>
      </c>
      <c r="C163" s="37">
        <f>'Master Assortment'!D143</f>
        <v>0</v>
      </c>
      <c r="D163" s="37" t="str">
        <f>'Master Assortment'!H143</f>
        <v/>
      </c>
      <c r="E163" s="37" t="str">
        <f>'Master Assortment'!I143</f>
        <v/>
      </c>
      <c r="F163" s="37">
        <f>'Master Assortment'!G143</f>
        <v>0</v>
      </c>
      <c r="G163" s="37">
        <f>'Master Assortment'!J143</f>
        <v>0</v>
      </c>
      <c r="H163" s="38">
        <f>'Master Assortment'!F143</f>
        <v>0</v>
      </c>
      <c r="I163" s="39" t="str">
        <f>'Master Assortment'!P143</f>
        <v/>
      </c>
      <c r="J163" s="37">
        <f>'Master Assortment'!AD143</f>
        <v>0</v>
      </c>
      <c r="K163" s="37" t="str">
        <f>'Master Assortment'!Y143</f>
        <v>—</v>
      </c>
    </row>
    <row r="164" spans="1:11" ht="15" customHeight="1" x14ac:dyDescent="0.25">
      <c r="A164" s="34">
        <f>'Master Assortment'!A167</f>
        <v>0</v>
      </c>
      <c r="B164" s="34">
        <f>'Master Assortment'!C167</f>
        <v>0</v>
      </c>
      <c r="C164" s="34">
        <f>'Master Assortment'!D167</f>
        <v>0</v>
      </c>
      <c r="D164" s="34" t="str">
        <f>'Master Assortment'!H167</f>
        <v/>
      </c>
      <c r="E164" s="34" t="str">
        <f>'Master Assortment'!I167</f>
        <v/>
      </c>
      <c r="F164" s="34">
        <f>'Master Assortment'!G167</f>
        <v>0</v>
      </c>
      <c r="G164" s="34">
        <f>'Master Assortment'!J167</f>
        <v>0</v>
      </c>
      <c r="H164" s="35">
        <f>'Master Assortment'!F167</f>
        <v>0</v>
      </c>
      <c r="I164" s="36" t="str">
        <f>'Master Assortment'!P167</f>
        <v/>
      </c>
      <c r="J164" s="34">
        <f>'Master Assortment'!AD167</f>
        <v>0</v>
      </c>
      <c r="K164" s="34" t="str">
        <f>'Master Assortment'!Y167</f>
        <v>—</v>
      </c>
    </row>
    <row r="165" spans="1:11" ht="15" customHeight="1" x14ac:dyDescent="0.25">
      <c r="A165" s="34">
        <f>'Master Assortment'!A78</f>
        <v>0</v>
      </c>
      <c r="B165" s="34">
        <f>'Master Assortment'!C78</f>
        <v>0</v>
      </c>
      <c r="C165" s="34">
        <f>'Master Assortment'!D78</f>
        <v>0</v>
      </c>
      <c r="D165" s="34" t="str">
        <f>'Master Assortment'!H78</f>
        <v/>
      </c>
      <c r="E165" s="34" t="str">
        <f>'Master Assortment'!I78</f>
        <v/>
      </c>
      <c r="F165" s="34">
        <f>'Master Assortment'!G78</f>
        <v>0</v>
      </c>
      <c r="G165" s="34">
        <f>'Master Assortment'!J78</f>
        <v>0</v>
      </c>
      <c r="H165" s="35">
        <f>'Master Assortment'!F78</f>
        <v>0</v>
      </c>
      <c r="I165" s="36" t="str">
        <f>'Master Assortment'!P78</f>
        <v/>
      </c>
      <c r="J165" s="34">
        <f>'Master Assortment'!AD78</f>
        <v>0</v>
      </c>
      <c r="K165" s="34" t="str">
        <f>'Master Assortment'!Y78</f>
        <v>—</v>
      </c>
    </row>
    <row r="166" spans="1:11" ht="15" customHeight="1" x14ac:dyDescent="0.25">
      <c r="A166" s="37">
        <f>'Master Assortment'!A112</f>
        <v>0</v>
      </c>
      <c r="B166" s="37">
        <f>'Master Assortment'!C112</f>
        <v>0</v>
      </c>
      <c r="C166" s="37">
        <f>'Master Assortment'!D112</f>
        <v>0</v>
      </c>
      <c r="D166" s="37" t="str">
        <f>'Master Assortment'!H112</f>
        <v/>
      </c>
      <c r="E166" s="37" t="str">
        <f>'Master Assortment'!I112</f>
        <v/>
      </c>
      <c r="F166" s="37">
        <f>'Master Assortment'!G112</f>
        <v>0</v>
      </c>
      <c r="G166" s="37">
        <f>'Master Assortment'!J112</f>
        <v>0</v>
      </c>
      <c r="H166" s="38">
        <f>'Master Assortment'!F112</f>
        <v>0</v>
      </c>
      <c r="I166" s="39" t="str">
        <f>'Master Assortment'!P112</f>
        <v/>
      </c>
      <c r="J166" s="37">
        <f>'Master Assortment'!AD112</f>
        <v>0</v>
      </c>
      <c r="K166" s="37" t="str">
        <f>'Master Assortment'!Y112</f>
        <v>—</v>
      </c>
    </row>
    <row r="167" spans="1:11" ht="15" customHeight="1" x14ac:dyDescent="0.25">
      <c r="A167" s="37">
        <f>'Master Assortment'!A174</f>
        <v>0</v>
      </c>
      <c r="B167" s="37">
        <f>'Master Assortment'!C174</f>
        <v>0</v>
      </c>
      <c r="C167" s="37">
        <f>'Master Assortment'!D174</f>
        <v>0</v>
      </c>
      <c r="D167" s="37" t="str">
        <f>'Master Assortment'!H174</f>
        <v/>
      </c>
      <c r="E167" s="37" t="str">
        <f>'Master Assortment'!I174</f>
        <v/>
      </c>
      <c r="F167" s="37">
        <f>'Master Assortment'!G174</f>
        <v>0</v>
      </c>
      <c r="G167" s="37">
        <f>'Master Assortment'!J174</f>
        <v>0</v>
      </c>
      <c r="H167" s="38">
        <f>'Master Assortment'!F174</f>
        <v>0</v>
      </c>
      <c r="I167" s="39" t="str">
        <f>'Master Assortment'!P174</f>
        <v/>
      </c>
      <c r="J167" s="37">
        <f>'Master Assortment'!AD174</f>
        <v>0</v>
      </c>
      <c r="K167" s="37" t="str">
        <f>'Master Assortment'!Y174</f>
        <v>—</v>
      </c>
    </row>
    <row r="168" spans="1:11" ht="15" customHeight="1" x14ac:dyDescent="0.25">
      <c r="A168" s="37">
        <f>'Master Assortment'!A176</f>
        <v>0</v>
      </c>
      <c r="B168" s="37">
        <f>'Master Assortment'!C176</f>
        <v>0</v>
      </c>
      <c r="C168" s="37">
        <f>'Master Assortment'!D176</f>
        <v>0</v>
      </c>
      <c r="D168" s="37" t="str">
        <f>'Master Assortment'!H176</f>
        <v/>
      </c>
      <c r="E168" s="37" t="str">
        <f>'Master Assortment'!I176</f>
        <v/>
      </c>
      <c r="F168" s="37">
        <f>'Master Assortment'!G176</f>
        <v>0</v>
      </c>
      <c r="G168" s="37">
        <f>'Master Assortment'!J176</f>
        <v>0</v>
      </c>
      <c r="H168" s="38">
        <f>'Master Assortment'!F176</f>
        <v>0</v>
      </c>
      <c r="I168" s="39" t="str">
        <f>'Master Assortment'!P176</f>
        <v/>
      </c>
      <c r="J168" s="37">
        <f>'Master Assortment'!AD176</f>
        <v>0</v>
      </c>
      <c r="K168" s="37" t="str">
        <f>'Master Assortment'!Y176</f>
        <v>—</v>
      </c>
    </row>
    <row r="169" spans="1:11" ht="15" customHeight="1" x14ac:dyDescent="0.25">
      <c r="A169" s="37">
        <f>'Master Assortment'!A60</f>
        <v>0</v>
      </c>
      <c r="B169" s="37">
        <f>'Master Assortment'!C60</f>
        <v>0</v>
      </c>
      <c r="C169" s="37">
        <f>'Master Assortment'!D60</f>
        <v>0</v>
      </c>
      <c r="D169" s="37" t="str">
        <f>'Master Assortment'!H60</f>
        <v/>
      </c>
      <c r="E169" s="37" t="str">
        <f>'Master Assortment'!I60</f>
        <v/>
      </c>
      <c r="F169" s="37">
        <f>'Master Assortment'!G60</f>
        <v>0</v>
      </c>
      <c r="G169" s="37">
        <f>'Master Assortment'!J60</f>
        <v>0</v>
      </c>
      <c r="H169" s="38">
        <f>'Master Assortment'!F60</f>
        <v>0</v>
      </c>
      <c r="I169" s="39" t="str">
        <f>'Master Assortment'!P60</f>
        <v/>
      </c>
      <c r="J169" s="37">
        <f>'Master Assortment'!AD60</f>
        <v>0</v>
      </c>
      <c r="K169" s="37" t="str">
        <f>'Master Assortment'!Y60</f>
        <v>—</v>
      </c>
    </row>
    <row r="170" spans="1:11" ht="15" customHeight="1" x14ac:dyDescent="0.25">
      <c r="A170" s="37">
        <f>'Master Assortment'!A185</f>
        <v>0</v>
      </c>
      <c r="B170" s="37">
        <f>'Master Assortment'!C185</f>
        <v>0</v>
      </c>
      <c r="C170" s="37">
        <f>'Master Assortment'!D185</f>
        <v>0</v>
      </c>
      <c r="D170" s="37" t="str">
        <f>'Master Assortment'!H185</f>
        <v/>
      </c>
      <c r="E170" s="37" t="str">
        <f>'Master Assortment'!I185</f>
        <v/>
      </c>
      <c r="F170" s="37">
        <f>'Master Assortment'!G185</f>
        <v>0</v>
      </c>
      <c r="G170" s="37">
        <f>'Master Assortment'!J185</f>
        <v>0</v>
      </c>
      <c r="H170" s="38">
        <f>'Master Assortment'!F185</f>
        <v>0</v>
      </c>
      <c r="I170" s="39" t="str">
        <f>'Master Assortment'!P185</f>
        <v/>
      </c>
      <c r="J170" s="37">
        <f>'Master Assortment'!AD185</f>
        <v>0</v>
      </c>
      <c r="K170" s="37" t="str">
        <f>'Master Assortment'!Y185</f>
        <v>—</v>
      </c>
    </row>
    <row r="171" spans="1:11" ht="15" customHeight="1" x14ac:dyDescent="0.25">
      <c r="A171" s="34">
        <f>'Master Assortment'!A184</f>
        <v>0</v>
      </c>
      <c r="B171" s="34">
        <f>'Master Assortment'!C184</f>
        <v>0</v>
      </c>
      <c r="C171" s="34">
        <f>'Master Assortment'!D184</f>
        <v>0</v>
      </c>
      <c r="D171" s="34" t="str">
        <f>'Master Assortment'!H184</f>
        <v/>
      </c>
      <c r="E171" s="34" t="str">
        <f>'Master Assortment'!I184</f>
        <v/>
      </c>
      <c r="F171" s="34">
        <f>'Master Assortment'!G184</f>
        <v>0</v>
      </c>
      <c r="G171" s="34">
        <f>'Master Assortment'!J184</f>
        <v>0</v>
      </c>
      <c r="H171" s="35">
        <f>'Master Assortment'!F184</f>
        <v>0</v>
      </c>
      <c r="I171" s="36" t="str">
        <f>'Master Assortment'!P184</f>
        <v/>
      </c>
      <c r="J171" s="34">
        <f>'Master Assortment'!AD184</f>
        <v>0</v>
      </c>
      <c r="K171" s="34" t="str">
        <f>'Master Assortment'!Y184</f>
        <v>—</v>
      </c>
    </row>
    <row r="172" spans="1:11" ht="15" customHeight="1" x14ac:dyDescent="0.25">
      <c r="A172" s="37">
        <f>'Master Assortment'!A183</f>
        <v>0</v>
      </c>
      <c r="B172" s="37">
        <f>'Master Assortment'!C183</f>
        <v>0</v>
      </c>
      <c r="C172" s="37">
        <f>'Master Assortment'!D183</f>
        <v>0</v>
      </c>
      <c r="D172" s="37" t="str">
        <f>'Master Assortment'!H183</f>
        <v/>
      </c>
      <c r="E172" s="37" t="str">
        <f>'Master Assortment'!I183</f>
        <v/>
      </c>
      <c r="F172" s="37">
        <f>'Master Assortment'!G183</f>
        <v>0</v>
      </c>
      <c r="G172" s="37">
        <f>'Master Assortment'!J183</f>
        <v>0</v>
      </c>
      <c r="H172" s="38">
        <f>'Master Assortment'!F183</f>
        <v>0</v>
      </c>
      <c r="I172" s="39" t="str">
        <f>'Master Assortment'!P183</f>
        <v/>
      </c>
      <c r="J172" s="37">
        <f>'Master Assortment'!AD183</f>
        <v>0</v>
      </c>
      <c r="K172" s="37" t="str">
        <f>'Master Assortment'!Y183</f>
        <v>—</v>
      </c>
    </row>
    <row r="173" spans="1:11" ht="15" customHeight="1" x14ac:dyDescent="0.25">
      <c r="A173" s="37">
        <f>'Master Assortment'!A182</f>
        <v>0</v>
      </c>
      <c r="B173" s="37">
        <f>'Master Assortment'!C182</f>
        <v>0</v>
      </c>
      <c r="C173" s="37">
        <f>'Master Assortment'!D182</f>
        <v>0</v>
      </c>
      <c r="D173" s="37" t="str">
        <f>'Master Assortment'!H182</f>
        <v/>
      </c>
      <c r="E173" s="37" t="str">
        <f>'Master Assortment'!I182</f>
        <v/>
      </c>
      <c r="F173" s="37">
        <f>'Master Assortment'!G182</f>
        <v>0</v>
      </c>
      <c r="G173" s="37">
        <f>'Master Assortment'!J182</f>
        <v>0</v>
      </c>
      <c r="H173" s="38">
        <f>'Master Assortment'!F182</f>
        <v>0</v>
      </c>
      <c r="I173" s="39" t="str">
        <f>'Master Assortment'!P182</f>
        <v/>
      </c>
      <c r="J173" s="37">
        <f>'Master Assortment'!AD182</f>
        <v>0</v>
      </c>
      <c r="K173" s="37" t="str">
        <f>'Master Assortment'!Y182</f>
        <v>—</v>
      </c>
    </row>
    <row r="174" spans="1:11" ht="15" customHeight="1" x14ac:dyDescent="0.25">
      <c r="A174" s="37">
        <f>'Master Assortment'!A40</f>
        <v>0</v>
      </c>
      <c r="B174" s="37">
        <f>'Master Assortment'!C40</f>
        <v>0</v>
      </c>
      <c r="C174" s="37">
        <f>'Master Assortment'!D40</f>
        <v>0</v>
      </c>
      <c r="D174" s="37" t="str">
        <f>'Master Assortment'!H40</f>
        <v/>
      </c>
      <c r="E174" s="37" t="str">
        <f>'Master Assortment'!I40</f>
        <v/>
      </c>
      <c r="F174" s="37">
        <f>'Master Assortment'!G40</f>
        <v>0</v>
      </c>
      <c r="G174" s="37">
        <f>'Master Assortment'!J40</f>
        <v>0</v>
      </c>
      <c r="H174" s="38">
        <f>'Master Assortment'!F40</f>
        <v>0</v>
      </c>
      <c r="I174" s="39" t="str">
        <f>'Master Assortment'!P40</f>
        <v/>
      </c>
      <c r="J174" s="37">
        <f>'Master Assortment'!AD40</f>
        <v>0</v>
      </c>
      <c r="K174" s="37" t="str">
        <f>'Master Assortment'!Y40</f>
        <v>—</v>
      </c>
    </row>
    <row r="175" spans="1:11" ht="15" customHeight="1" x14ac:dyDescent="0.25">
      <c r="A175" s="37">
        <f>'Master Assortment'!A160</f>
        <v>0</v>
      </c>
      <c r="B175" s="37">
        <f>'Master Assortment'!C160</f>
        <v>0</v>
      </c>
      <c r="C175" s="37">
        <f>'Master Assortment'!D160</f>
        <v>0</v>
      </c>
      <c r="D175" s="37" t="str">
        <f>'Master Assortment'!H160</f>
        <v/>
      </c>
      <c r="E175" s="37" t="str">
        <f>'Master Assortment'!I160</f>
        <v/>
      </c>
      <c r="F175" s="37">
        <f>'Master Assortment'!G160</f>
        <v>0</v>
      </c>
      <c r="G175" s="37">
        <f>'Master Assortment'!J160</f>
        <v>0</v>
      </c>
      <c r="H175" s="38">
        <f>'Master Assortment'!F160</f>
        <v>0</v>
      </c>
      <c r="I175" s="39" t="str">
        <f>'Master Assortment'!P160</f>
        <v/>
      </c>
      <c r="J175" s="37">
        <f>'Master Assortment'!AD160</f>
        <v>0</v>
      </c>
      <c r="K175" s="37" t="str">
        <f>'Master Assortment'!Y160</f>
        <v>—</v>
      </c>
    </row>
    <row r="176" spans="1:11" ht="15" customHeight="1" x14ac:dyDescent="0.25">
      <c r="A176" s="34">
        <f>'Master Assortment'!A18</f>
        <v>0</v>
      </c>
      <c r="B176" s="34">
        <f>'Master Assortment'!C18</f>
        <v>0</v>
      </c>
      <c r="C176" s="34">
        <f>'Master Assortment'!D18</f>
        <v>0</v>
      </c>
      <c r="D176" s="34" t="str">
        <f>'Master Assortment'!H18</f>
        <v/>
      </c>
      <c r="E176" s="34" t="str">
        <f>'Master Assortment'!I18</f>
        <v/>
      </c>
      <c r="F176" s="34">
        <f>'Master Assortment'!G18</f>
        <v>0</v>
      </c>
      <c r="G176" s="34">
        <f>'Master Assortment'!J18</f>
        <v>0</v>
      </c>
      <c r="H176" s="35">
        <f>'Master Assortment'!F18</f>
        <v>0</v>
      </c>
      <c r="I176" s="36" t="str">
        <f>'Master Assortment'!P18</f>
        <v/>
      </c>
      <c r="J176" s="34">
        <f>'Master Assortment'!AD18</f>
        <v>0</v>
      </c>
      <c r="K176" s="34" t="str">
        <f>'Master Assortment'!Y18</f>
        <v>—</v>
      </c>
    </row>
    <row r="177" spans="1:11" ht="15" customHeight="1" x14ac:dyDescent="0.25">
      <c r="A177" s="37">
        <f>'Master Assortment'!A71</f>
        <v>0</v>
      </c>
      <c r="B177" s="37">
        <f>'Master Assortment'!C71</f>
        <v>0</v>
      </c>
      <c r="C177" s="37">
        <f>'Master Assortment'!D71</f>
        <v>0</v>
      </c>
      <c r="D177" s="37" t="str">
        <f>'Master Assortment'!H71</f>
        <v/>
      </c>
      <c r="E177" s="37" t="str">
        <f>'Master Assortment'!I71</f>
        <v/>
      </c>
      <c r="F177" s="37">
        <f>'Master Assortment'!G71</f>
        <v>0</v>
      </c>
      <c r="G177" s="37">
        <f>'Master Assortment'!J71</f>
        <v>0</v>
      </c>
      <c r="H177" s="38">
        <f>'Master Assortment'!F71</f>
        <v>0</v>
      </c>
      <c r="I177" s="39" t="str">
        <f>'Master Assortment'!P71</f>
        <v/>
      </c>
      <c r="J177" s="37">
        <f>'Master Assortment'!AD71</f>
        <v>0</v>
      </c>
      <c r="K177" s="37" t="str">
        <f>'Master Assortment'!Y71</f>
        <v>—</v>
      </c>
    </row>
    <row r="178" spans="1:11" ht="15" customHeight="1" x14ac:dyDescent="0.25">
      <c r="A178" s="37">
        <f>'Master Assortment'!A128</f>
        <v>0</v>
      </c>
      <c r="B178" s="37">
        <f>'Master Assortment'!C128</f>
        <v>0</v>
      </c>
      <c r="C178" s="37">
        <f>'Master Assortment'!D128</f>
        <v>0</v>
      </c>
      <c r="D178" s="37" t="str">
        <f>'Master Assortment'!H128</f>
        <v/>
      </c>
      <c r="E178" s="37" t="str">
        <f>'Master Assortment'!I128</f>
        <v/>
      </c>
      <c r="F178" s="37">
        <f>'Master Assortment'!G128</f>
        <v>0</v>
      </c>
      <c r="G178" s="37">
        <f>'Master Assortment'!J128</f>
        <v>0</v>
      </c>
      <c r="H178" s="38">
        <f>'Master Assortment'!F128</f>
        <v>0</v>
      </c>
      <c r="I178" s="39" t="str">
        <f>'Master Assortment'!P128</f>
        <v/>
      </c>
      <c r="J178" s="37">
        <f>'Master Assortment'!AD128</f>
        <v>0</v>
      </c>
      <c r="K178" s="37" t="str">
        <f>'Master Assortment'!Y128</f>
        <v>—</v>
      </c>
    </row>
    <row r="179" spans="1:11" ht="15" customHeight="1" x14ac:dyDescent="0.25">
      <c r="A179" s="37">
        <f>'Master Assortment'!A66</f>
        <v>0</v>
      </c>
      <c r="B179" s="37">
        <f>'Master Assortment'!C66</f>
        <v>0</v>
      </c>
      <c r="C179" s="37">
        <f>'Master Assortment'!D66</f>
        <v>0</v>
      </c>
      <c r="D179" s="37" t="str">
        <f>'Master Assortment'!H66</f>
        <v/>
      </c>
      <c r="E179" s="37" t="str">
        <f>'Master Assortment'!I66</f>
        <v/>
      </c>
      <c r="F179" s="37">
        <f>'Master Assortment'!G66</f>
        <v>0</v>
      </c>
      <c r="G179" s="37">
        <f>'Master Assortment'!J66</f>
        <v>0</v>
      </c>
      <c r="H179" s="38">
        <f>'Master Assortment'!F66</f>
        <v>0</v>
      </c>
      <c r="I179" s="39" t="str">
        <f>'Master Assortment'!P66</f>
        <v/>
      </c>
      <c r="J179" s="37">
        <f>'Master Assortment'!AD66</f>
        <v>0</v>
      </c>
      <c r="K179" s="37" t="str">
        <f>'Master Assortment'!Y66</f>
        <v>—</v>
      </c>
    </row>
    <row r="180" spans="1:11" ht="15" customHeight="1" x14ac:dyDescent="0.25">
      <c r="A180" s="34">
        <f>'Master Assortment'!A113</f>
        <v>0</v>
      </c>
      <c r="B180" s="34">
        <f>'Master Assortment'!C113</f>
        <v>0</v>
      </c>
      <c r="C180" s="34">
        <f>'Master Assortment'!D113</f>
        <v>0</v>
      </c>
      <c r="D180" s="34" t="str">
        <f>'Master Assortment'!H113</f>
        <v/>
      </c>
      <c r="E180" s="34" t="str">
        <f>'Master Assortment'!I113</f>
        <v/>
      </c>
      <c r="F180" s="34">
        <f>'Master Assortment'!G113</f>
        <v>0</v>
      </c>
      <c r="G180" s="34">
        <f>'Master Assortment'!J113</f>
        <v>0</v>
      </c>
      <c r="H180" s="35">
        <f>'Master Assortment'!F113</f>
        <v>0</v>
      </c>
      <c r="I180" s="36" t="str">
        <f>'Master Assortment'!P113</f>
        <v/>
      </c>
      <c r="J180" s="34">
        <f>'Master Assortment'!AD113</f>
        <v>0</v>
      </c>
      <c r="K180" s="34" t="str">
        <f>'Master Assortment'!Y113</f>
        <v>—</v>
      </c>
    </row>
    <row r="181" spans="1:11" ht="15" customHeight="1" x14ac:dyDescent="0.25">
      <c r="A181" s="34">
        <f>'Master Assortment'!A26</f>
        <v>0</v>
      </c>
      <c r="B181" s="34">
        <f>'Master Assortment'!C26</f>
        <v>0</v>
      </c>
      <c r="C181" s="34">
        <f>'Master Assortment'!D26</f>
        <v>0</v>
      </c>
      <c r="D181" s="34" t="str">
        <f>'Master Assortment'!H26</f>
        <v/>
      </c>
      <c r="E181" s="34" t="str">
        <f>'Master Assortment'!I26</f>
        <v/>
      </c>
      <c r="F181" s="34">
        <f>'Master Assortment'!G26</f>
        <v>0</v>
      </c>
      <c r="G181" s="34">
        <f>'Master Assortment'!J26</f>
        <v>0</v>
      </c>
      <c r="H181" s="35">
        <f>'Master Assortment'!F26</f>
        <v>0</v>
      </c>
      <c r="I181" s="36" t="str">
        <f>'Master Assortment'!P26</f>
        <v/>
      </c>
      <c r="J181" s="34">
        <f>'Master Assortment'!AD26</f>
        <v>0</v>
      </c>
      <c r="K181" s="34" t="str">
        <f>'Master Assortment'!Y26</f>
        <v>—</v>
      </c>
    </row>
    <row r="182" spans="1:11" ht="15" customHeight="1" x14ac:dyDescent="0.25">
      <c r="A182" s="37">
        <f>'Master Assortment'!A120</f>
        <v>0</v>
      </c>
      <c r="B182" s="37">
        <f>'Master Assortment'!C120</f>
        <v>0</v>
      </c>
      <c r="C182" s="37">
        <f>'Master Assortment'!D120</f>
        <v>0</v>
      </c>
      <c r="D182" s="37" t="str">
        <f>'Master Assortment'!H120</f>
        <v/>
      </c>
      <c r="E182" s="37" t="str">
        <f>'Master Assortment'!I120</f>
        <v/>
      </c>
      <c r="F182" s="37">
        <f>'Master Assortment'!G120</f>
        <v>0</v>
      </c>
      <c r="G182" s="37">
        <f>'Master Assortment'!J120</f>
        <v>0</v>
      </c>
      <c r="H182" s="38">
        <f>'Master Assortment'!F120</f>
        <v>0</v>
      </c>
      <c r="I182" s="39" t="str">
        <f>'Master Assortment'!P120</f>
        <v/>
      </c>
      <c r="J182" s="37">
        <f>'Master Assortment'!AD120</f>
        <v>0</v>
      </c>
      <c r="K182" s="37" t="str">
        <f>'Master Assortment'!Y120</f>
        <v>—</v>
      </c>
    </row>
    <row r="183" spans="1:11" ht="15" customHeight="1" x14ac:dyDescent="0.25">
      <c r="A183" s="34">
        <f>'Master Assortment'!A163</f>
        <v>0</v>
      </c>
      <c r="B183" s="34">
        <f>'Master Assortment'!C163</f>
        <v>0</v>
      </c>
      <c r="C183" s="34">
        <f>'Master Assortment'!D163</f>
        <v>0</v>
      </c>
      <c r="D183" s="34" t="str">
        <f>'Master Assortment'!H163</f>
        <v/>
      </c>
      <c r="E183" s="34" t="str">
        <f>'Master Assortment'!I163</f>
        <v/>
      </c>
      <c r="F183" s="34">
        <f>'Master Assortment'!G163</f>
        <v>0</v>
      </c>
      <c r="G183" s="34">
        <f>'Master Assortment'!J163</f>
        <v>0</v>
      </c>
      <c r="H183" s="35">
        <f>'Master Assortment'!F163</f>
        <v>0</v>
      </c>
      <c r="I183" s="36" t="str">
        <f>'Master Assortment'!P163</f>
        <v/>
      </c>
      <c r="J183" s="34">
        <f>'Master Assortment'!AD163</f>
        <v>0</v>
      </c>
      <c r="K183" s="34" t="str">
        <f>'Master Assortment'!Y163</f>
        <v>—</v>
      </c>
    </row>
    <row r="184" spans="1:11" ht="15" customHeight="1" x14ac:dyDescent="0.25">
      <c r="A184" s="34">
        <f>'Master Assortment'!A159</f>
        <v>0</v>
      </c>
      <c r="B184" s="34">
        <f>'Master Assortment'!C159</f>
        <v>0</v>
      </c>
      <c r="C184" s="34">
        <f>'Master Assortment'!D159</f>
        <v>0</v>
      </c>
      <c r="D184" s="34" t="str">
        <f>'Master Assortment'!H159</f>
        <v/>
      </c>
      <c r="E184" s="34" t="str">
        <f>'Master Assortment'!I159</f>
        <v/>
      </c>
      <c r="F184" s="34">
        <f>'Master Assortment'!G159</f>
        <v>0</v>
      </c>
      <c r="G184" s="34">
        <f>'Master Assortment'!J159</f>
        <v>0</v>
      </c>
      <c r="H184" s="35">
        <f>'Master Assortment'!F159</f>
        <v>0</v>
      </c>
      <c r="I184" s="36" t="str">
        <f>'Master Assortment'!P159</f>
        <v/>
      </c>
      <c r="J184" s="34">
        <f>'Master Assortment'!AD159</f>
        <v>0</v>
      </c>
      <c r="K184" s="34" t="str">
        <f>'Master Assortment'!Y159</f>
        <v>—</v>
      </c>
    </row>
    <row r="185" spans="1:11" ht="15" customHeight="1" x14ac:dyDescent="0.25">
      <c r="A185" s="37">
        <f>'Master Assortment'!A19</f>
        <v>0</v>
      </c>
      <c r="B185" s="37">
        <f>'Master Assortment'!C19</f>
        <v>0</v>
      </c>
      <c r="C185" s="37">
        <f>'Master Assortment'!D19</f>
        <v>0</v>
      </c>
      <c r="D185" s="37" t="str">
        <f>'Master Assortment'!H19</f>
        <v/>
      </c>
      <c r="E185" s="37" t="str">
        <f>'Master Assortment'!I19</f>
        <v/>
      </c>
      <c r="F185" s="37">
        <f>'Master Assortment'!G19</f>
        <v>0</v>
      </c>
      <c r="G185" s="37">
        <f>'Master Assortment'!J19</f>
        <v>0</v>
      </c>
      <c r="H185" s="38">
        <f>'Master Assortment'!F19</f>
        <v>0</v>
      </c>
      <c r="I185" s="39" t="str">
        <f>'Master Assortment'!P19</f>
        <v/>
      </c>
      <c r="J185" s="37">
        <f>'Master Assortment'!AD19</f>
        <v>0</v>
      </c>
      <c r="K185" s="37" t="str">
        <f>'Master Assortment'!Y19</f>
        <v>—</v>
      </c>
    </row>
    <row r="186" spans="1:11" ht="15" customHeight="1" x14ac:dyDescent="0.25">
      <c r="A186" s="34">
        <f>'Master Assortment'!A51</f>
        <v>0</v>
      </c>
      <c r="B186" s="34">
        <f>'Master Assortment'!C51</f>
        <v>0</v>
      </c>
      <c r="C186" s="34">
        <f>'Master Assortment'!D51</f>
        <v>0</v>
      </c>
      <c r="D186" s="34" t="str">
        <f>'Master Assortment'!H51</f>
        <v/>
      </c>
      <c r="E186" s="34" t="str">
        <f>'Master Assortment'!I51</f>
        <v/>
      </c>
      <c r="F186" s="34">
        <f>'Master Assortment'!G51</f>
        <v>0</v>
      </c>
      <c r="G186" s="34">
        <f>'Master Assortment'!J51</f>
        <v>0</v>
      </c>
      <c r="H186" s="35">
        <f>'Master Assortment'!F51</f>
        <v>0</v>
      </c>
      <c r="I186" s="36" t="str">
        <f>'Master Assortment'!P51</f>
        <v/>
      </c>
      <c r="J186" s="34">
        <f>'Master Assortment'!AD51</f>
        <v>0</v>
      </c>
      <c r="K186" s="34" t="str">
        <f>'Master Assortment'!Y51</f>
        <v>—</v>
      </c>
    </row>
    <row r="187" spans="1:11" ht="15" customHeight="1" x14ac:dyDescent="0.25">
      <c r="A187" s="37">
        <f>'Master Assortment'!A5</f>
        <v>0</v>
      </c>
      <c r="B187" s="37">
        <f>'Master Assortment'!C5</f>
        <v>0</v>
      </c>
      <c r="C187" s="37">
        <f>'Master Assortment'!D5</f>
        <v>0</v>
      </c>
      <c r="D187" s="37" t="str">
        <f>'Master Assortment'!H5</f>
        <v/>
      </c>
      <c r="E187" s="37" t="str">
        <f>'Master Assortment'!I5</f>
        <v/>
      </c>
      <c r="F187" s="37">
        <f>'Master Assortment'!G5</f>
        <v>0</v>
      </c>
      <c r="G187" s="37">
        <f>'Master Assortment'!J5</f>
        <v>0</v>
      </c>
      <c r="H187" s="38">
        <f>'Master Assortment'!F5</f>
        <v>0</v>
      </c>
      <c r="I187" s="39" t="str">
        <f>'Master Assortment'!P5</f>
        <v/>
      </c>
      <c r="J187" s="37">
        <f>'Master Assortment'!AD5</f>
        <v>0</v>
      </c>
      <c r="K187" s="37" t="str">
        <f>'Master Assortment'!Y5</f>
        <v>—</v>
      </c>
    </row>
    <row r="188" spans="1:11" ht="15" customHeight="1" x14ac:dyDescent="0.25">
      <c r="A188" s="37">
        <f>'Master Assortment'!A9</f>
        <v>0</v>
      </c>
      <c r="B188" s="37">
        <f>'Master Assortment'!C9</f>
        <v>0</v>
      </c>
      <c r="C188" s="37">
        <f>'Master Assortment'!D9</f>
        <v>0</v>
      </c>
      <c r="D188" s="37" t="str">
        <f>'Master Assortment'!H9</f>
        <v/>
      </c>
      <c r="E188" s="37" t="str">
        <f>'Master Assortment'!I9</f>
        <v/>
      </c>
      <c r="F188" s="37">
        <f>'Master Assortment'!G9</f>
        <v>0</v>
      </c>
      <c r="G188" s="37">
        <f>'Master Assortment'!J9</f>
        <v>0</v>
      </c>
      <c r="H188" s="38">
        <f>'Master Assortment'!F9</f>
        <v>0</v>
      </c>
      <c r="I188" s="39" t="str">
        <f>'Master Assortment'!P9</f>
        <v/>
      </c>
      <c r="J188" s="37">
        <f>'Master Assortment'!AD9</f>
        <v>0</v>
      </c>
      <c r="K188" s="37" t="str">
        <f>'Master Assortment'!Y9</f>
        <v>—</v>
      </c>
    </row>
    <row r="189" spans="1:11" ht="15" customHeight="1" x14ac:dyDescent="0.25">
      <c r="A189" s="37">
        <f>'Master Assortment'!A154</f>
        <v>0</v>
      </c>
      <c r="B189" s="37">
        <f>'Master Assortment'!C154</f>
        <v>0</v>
      </c>
      <c r="C189" s="37">
        <f>'Master Assortment'!D154</f>
        <v>0</v>
      </c>
      <c r="D189" s="37" t="str">
        <f>'Master Assortment'!H154</f>
        <v/>
      </c>
      <c r="E189" s="37" t="str">
        <f>'Master Assortment'!I154</f>
        <v/>
      </c>
      <c r="F189" s="37">
        <f>'Master Assortment'!G154</f>
        <v>0</v>
      </c>
      <c r="G189" s="37">
        <f>'Master Assortment'!J154</f>
        <v>0</v>
      </c>
      <c r="H189" s="38">
        <f>'Master Assortment'!F154</f>
        <v>0</v>
      </c>
      <c r="I189" s="39" t="str">
        <f>'Master Assortment'!P154</f>
        <v/>
      </c>
      <c r="J189" s="37">
        <f>'Master Assortment'!AD154</f>
        <v>0</v>
      </c>
      <c r="K189" s="37" t="str">
        <f>'Master Assortment'!Y154</f>
        <v>—</v>
      </c>
    </row>
    <row r="190" spans="1:11" ht="15" customHeight="1" x14ac:dyDescent="0.25">
      <c r="A190" s="37">
        <f>'Master Assortment'!A32</f>
        <v>0</v>
      </c>
      <c r="B190" s="37">
        <f>'Master Assortment'!C32</f>
        <v>0</v>
      </c>
      <c r="C190" s="37">
        <f>'Master Assortment'!D32</f>
        <v>0</v>
      </c>
      <c r="D190" s="37" t="str">
        <f>'Master Assortment'!H32</f>
        <v/>
      </c>
      <c r="E190" s="37" t="str">
        <f>'Master Assortment'!I32</f>
        <v/>
      </c>
      <c r="F190" s="37">
        <f>'Master Assortment'!G32</f>
        <v>0</v>
      </c>
      <c r="G190" s="37">
        <f>'Master Assortment'!J32</f>
        <v>0</v>
      </c>
      <c r="H190" s="38">
        <f>'Master Assortment'!F32</f>
        <v>0</v>
      </c>
      <c r="I190" s="39" t="str">
        <f>'Master Assortment'!P32</f>
        <v/>
      </c>
      <c r="J190" s="37">
        <f>'Master Assortment'!AD32</f>
        <v>0</v>
      </c>
      <c r="K190" s="37" t="str">
        <f>'Master Assortment'!Y32</f>
        <v>—</v>
      </c>
    </row>
  </sheetData>
  <autoFilter ref="A2:K2" xr:uid="{00000000-0001-0000-0200-000000000000}">
    <sortState xmlns:xlrd2="http://schemas.microsoft.com/office/spreadsheetml/2017/richdata2" ref="A3:K198">
      <sortCondition descending="1" ref="A2"/>
    </sortState>
  </autoFilter>
  <customSheetViews>
    <customSheetView guid="{FE60293F-D66D-444E-A1CD-0D97CF17EBD5}" showGridLines="0">
      <pane ySplit="3" topLeftCell="A4" activePane="bottomLeft" state="frozen"/>
      <selection pane="bottomLeft" sqref="A1:K1"/>
      <pageMargins left="0.75" right="0.75" top="1" bottom="1" header="0.511811023622047" footer="0.511811023622047"/>
      <pageSetup paperSize="9" orientation="portrait" horizontalDpi="300" verticalDpi="300"/>
    </customSheetView>
    <customSheetView guid="{3301D7ED-6574-40EB-BC76-168E5F04FB0F}" showGridLines="0">
      <pane ySplit="2" topLeftCell="A3" activePane="bottomLeft" state="frozen"/>
      <selection pane="bottomLeft" sqref="A1:K1"/>
      <pageMargins left="0.75" right="0.75" top="1" bottom="1" header="0.511811023622047" footer="0.511811023622047"/>
      <pageSetup paperSize="9" orientation="portrait" horizontalDpi="300" verticalDpi="300"/>
    </customSheetView>
    <customSheetView guid="{747C58B5-1285-44D2-9D58-49973DC73188}" showGridLines="0">
      <pane ySplit="2" topLeftCell="A3" activePane="bottomLeft" state="frozen"/>
      <selection pane="bottomLeft" sqref="A1:K1"/>
      <pageMargins left="0.75" right="0.75" top="1" bottom="1" header="0.511811023622047" footer="0.511811023622047"/>
      <pageSetup paperSize="9" orientation="portrait" horizontalDpi="300" verticalDpi="300"/>
    </customSheetView>
    <customSheetView guid="{BFC23A99-8068-4F7A-A3EF-B0436B22DBB2}" showGridLines="0">
      <pane ySplit="2" topLeftCell="A3" activePane="bottomLeft" state="frozen"/>
      <selection pane="bottomLeft" sqref="A1:K1"/>
      <pageMargins left="0.75" right="0.75" top="1" bottom="1" header="0.511811023622047" footer="0.511811023622047"/>
      <pageSetup paperSize="9" orientation="portrait" horizontalDpi="300" verticalDpi="300"/>
    </customSheetView>
    <customSheetView guid="{051F7B8E-8887-4F7C-BE84-39381F59BBAB}" showGridLines="0">
      <selection activeCell="O12" sqref="O12"/>
      <pageMargins left="0.75" right="0.75" top="1" bottom="1" header="0.511811023622047" footer="0.511811023622047"/>
      <pageSetup paperSize="9" orientation="portrait" horizontalDpi="300" verticalDpi="300"/>
    </customSheetView>
  </customSheetViews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A4A4A"/>
  </sheetPr>
  <dimension ref="A1:M26"/>
  <sheetViews>
    <sheetView showGridLines="0" workbookViewId="0">
      <selection activeCell="P15" sqref="P14:P15"/>
    </sheetView>
  </sheetViews>
  <sheetFormatPr defaultColWidth="8.7109375" defaultRowHeight="15" x14ac:dyDescent="0.25"/>
  <cols>
    <col min="1" max="1" width="12.140625" bestFit="1" customWidth="1"/>
    <col min="2" max="2" width="14.28515625" bestFit="1" customWidth="1"/>
    <col min="3" max="3" width="14" bestFit="1" customWidth="1"/>
    <col min="4" max="4" width="10.7109375" bestFit="1" customWidth="1"/>
    <col min="5" max="5" width="4.28515625" bestFit="1" customWidth="1"/>
    <col min="6" max="6" width="3.7109375" bestFit="1" customWidth="1"/>
    <col min="7" max="7" width="3.140625" bestFit="1" customWidth="1"/>
    <col min="8" max="8" width="4.140625" bestFit="1" customWidth="1"/>
    <col min="9" max="9" width="4" bestFit="1" customWidth="1"/>
    <col min="10" max="10" width="3.85546875" bestFit="1" customWidth="1"/>
    <col min="11" max="11" width="4.28515625" bestFit="1" customWidth="1"/>
    <col min="12" max="12" width="4.140625" bestFit="1" customWidth="1"/>
    <col min="13" max="13" width="3.5703125" bestFit="1" customWidth="1"/>
  </cols>
  <sheetData>
    <row r="1" spans="1:13" ht="25.5" customHeight="1" x14ac:dyDescent="0.25">
      <c r="A1" s="105" t="s">
        <v>48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</row>
    <row r="3" spans="1:13" ht="18" customHeight="1" x14ac:dyDescent="0.25">
      <c r="A3" s="106" t="s">
        <v>49</v>
      </c>
      <c r="B3" s="106"/>
      <c r="C3" s="106"/>
      <c r="D3" s="106"/>
    </row>
    <row r="4" spans="1:13" x14ac:dyDescent="0.25">
      <c r="A4" s="28" t="s">
        <v>11</v>
      </c>
      <c r="B4" s="28" t="s">
        <v>50</v>
      </c>
      <c r="C4" s="28" t="s">
        <v>51</v>
      </c>
      <c r="D4" s="28" t="s">
        <v>52</v>
      </c>
    </row>
    <row r="5" spans="1:13" ht="15.75" customHeight="1" x14ac:dyDescent="0.25">
      <c r="A5" s="29" t="s">
        <v>11</v>
      </c>
      <c r="B5" s="40" t="s">
        <v>50</v>
      </c>
      <c r="C5" s="40" t="s">
        <v>51</v>
      </c>
      <c r="D5" s="40" t="s">
        <v>52</v>
      </c>
    </row>
    <row r="6" spans="1:13" ht="15.75" customHeight="1" x14ac:dyDescent="0.25">
      <c r="A6" s="32"/>
      <c r="B6" s="40"/>
      <c r="C6" s="40"/>
      <c r="D6" s="40"/>
    </row>
    <row r="7" spans="1:13" ht="15.75" customHeight="1" x14ac:dyDescent="0.25">
      <c r="A7" s="29"/>
      <c r="B7" s="40"/>
      <c r="C7" s="40"/>
      <c r="D7" s="40"/>
    </row>
    <row r="8" spans="1:13" ht="15.75" customHeight="1" x14ac:dyDescent="0.25">
      <c r="A8" s="32"/>
      <c r="B8" s="40"/>
      <c r="C8" s="40"/>
      <c r="D8" s="40"/>
    </row>
    <row r="9" spans="1:13" ht="15.75" customHeight="1" x14ac:dyDescent="0.25">
      <c r="A9" s="29"/>
      <c r="B9" s="40"/>
      <c r="C9" s="40"/>
      <c r="D9" s="40"/>
    </row>
    <row r="10" spans="1:13" ht="15.75" customHeight="1" x14ac:dyDescent="0.25">
      <c r="A10" s="32"/>
      <c r="B10" s="40"/>
      <c r="C10" s="40"/>
      <c r="D10" s="40"/>
    </row>
    <row r="11" spans="1:13" ht="15.75" customHeight="1" x14ac:dyDescent="0.25">
      <c r="A11" s="29"/>
      <c r="B11" s="40"/>
      <c r="C11" s="40"/>
      <c r="D11" s="40"/>
    </row>
    <row r="12" spans="1:13" ht="15.75" customHeight="1" x14ac:dyDescent="0.25">
      <c r="A12" s="32"/>
      <c r="B12" s="40"/>
      <c r="C12" s="40"/>
      <c r="D12" s="40"/>
    </row>
    <row r="13" spans="1:13" ht="15.75" customHeight="1" x14ac:dyDescent="0.25">
      <c r="A13" s="29"/>
      <c r="B13" s="40"/>
      <c r="C13" s="40"/>
      <c r="D13" s="40"/>
    </row>
    <row r="14" spans="1:13" ht="15.75" customHeight="1" x14ac:dyDescent="0.25">
      <c r="A14" s="32"/>
      <c r="B14" s="40"/>
      <c r="C14" s="40"/>
      <c r="D14" s="40"/>
    </row>
    <row r="15" spans="1:13" ht="15.75" customHeight="1" x14ac:dyDescent="0.25">
      <c r="A15" s="29"/>
      <c r="B15" s="40"/>
      <c r="C15" s="40"/>
      <c r="D15" s="40"/>
    </row>
    <row r="16" spans="1:13" ht="15.75" customHeight="1" x14ac:dyDescent="0.25">
      <c r="A16" s="32"/>
      <c r="B16" s="40"/>
      <c r="C16" s="40"/>
      <c r="D16" s="40"/>
    </row>
    <row r="17" spans="1:13" ht="15.75" customHeight="1" x14ac:dyDescent="0.25">
      <c r="A17" s="29"/>
      <c r="B17" s="40"/>
      <c r="C17" s="40"/>
      <c r="D17" s="40"/>
    </row>
    <row r="18" spans="1:13" ht="15.75" customHeight="1" x14ac:dyDescent="0.25">
      <c r="A18" s="32"/>
      <c r="B18" s="40"/>
      <c r="C18" s="40"/>
      <c r="D18" s="40"/>
    </row>
    <row r="19" spans="1:13" ht="15.75" customHeight="1" x14ac:dyDescent="0.25">
      <c r="A19" s="32"/>
      <c r="B19" s="40"/>
      <c r="C19" s="40"/>
      <c r="D19" s="40"/>
    </row>
    <row r="20" spans="1:13" ht="15.75" customHeight="1" x14ac:dyDescent="0.25">
      <c r="A20" s="29"/>
      <c r="B20" s="40"/>
      <c r="C20" s="40"/>
      <c r="D20" s="40"/>
    </row>
    <row r="21" spans="1:13" ht="15.75" customHeight="1" x14ac:dyDescent="0.25">
      <c r="A21" s="32"/>
      <c r="B21" s="40"/>
      <c r="C21" s="40"/>
      <c r="D21" s="40"/>
    </row>
    <row r="22" spans="1:13" ht="15.75" customHeight="1" x14ac:dyDescent="0.25">
      <c r="A22" s="32"/>
      <c r="B22" s="40"/>
      <c r="C22" s="40"/>
      <c r="D22" s="40"/>
    </row>
    <row r="24" spans="1:13" ht="7.5" customHeight="1" x14ac:dyDescent="0.25"/>
    <row r="25" spans="1:13" ht="18" customHeight="1" x14ac:dyDescent="0.25">
      <c r="A25" s="106" t="s">
        <v>53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</row>
    <row r="26" spans="1:13" x14ac:dyDescent="0.25">
      <c r="A26" s="28" t="s">
        <v>11</v>
      </c>
      <c r="B26" s="28" t="s">
        <v>54</v>
      </c>
      <c r="C26" s="28" t="s">
        <v>55</v>
      </c>
      <c r="D26" s="28" t="s">
        <v>56</v>
      </c>
      <c r="E26" s="28" t="s">
        <v>57</v>
      </c>
      <c r="F26" s="28" t="s">
        <v>58</v>
      </c>
      <c r="G26" s="28" t="s">
        <v>59</v>
      </c>
      <c r="H26" s="28" t="s">
        <v>60</v>
      </c>
      <c r="I26" s="28" t="s">
        <v>61</v>
      </c>
      <c r="J26" s="28" t="s">
        <v>62</v>
      </c>
      <c r="K26" s="28" t="s">
        <v>63</v>
      </c>
      <c r="L26" s="28" t="s">
        <v>64</v>
      </c>
      <c r="M26" s="28" t="s">
        <v>65</v>
      </c>
    </row>
  </sheetData>
  <customSheetViews>
    <customSheetView guid="{FE60293F-D66D-444E-A1CD-0D97CF17EBD5}" showGridLines="0">
      <selection activeCell="K17" sqref="K17"/>
      <pageMargins left="0.75" right="0.75" top="1" bottom="1" header="0.511811023622047" footer="0.511811023622047"/>
      <pageSetup paperSize="9" orientation="portrait" horizontalDpi="300" verticalDpi="300"/>
    </customSheetView>
    <customSheetView guid="{3301D7ED-6574-40EB-BC76-168E5F04FB0F}" showGridLines="0">
      <selection activeCell="B16" sqref="B16"/>
      <pageMargins left="0.75" right="0.75" top="1" bottom="1" header="0.511811023622047" footer="0.511811023622047"/>
      <pageSetup paperSize="9" orientation="portrait" horizontalDpi="300" verticalDpi="300"/>
    </customSheetView>
    <customSheetView guid="{747C58B5-1285-44D2-9D58-49973DC73188}" showGridLines="0">
      <selection activeCell="B16" sqref="B16"/>
      <pageMargins left="0.75" right="0.75" top="1" bottom="1" header="0.511811023622047" footer="0.511811023622047"/>
      <pageSetup paperSize="9" orientation="portrait" horizontalDpi="300" verticalDpi="300"/>
    </customSheetView>
    <customSheetView guid="{BFC23A99-8068-4F7A-A3EF-B0436B22DBB2}" showGridLines="0">
      <selection activeCell="B16" sqref="B16"/>
      <pageMargins left="0.75" right="0.75" top="1" bottom="1" header="0.511811023622047" footer="0.511811023622047"/>
      <pageSetup paperSize="9" orientation="portrait" horizontalDpi="300" verticalDpi="300"/>
    </customSheetView>
    <customSheetView guid="{051F7B8E-8887-4F7C-BE84-39381F59BBAB}" showGridLines="0">
      <selection activeCell="B16" sqref="B16"/>
      <pageMargins left="0.75" right="0.75" top="1" bottom="1" header="0.511811023622047" footer="0.511811023622047"/>
      <pageSetup paperSize="9" orientation="portrait" horizontalDpi="300" verticalDpi="300"/>
    </customSheetView>
  </customSheetViews>
  <mergeCells count="3">
    <mergeCell ref="A1:M1"/>
    <mergeCell ref="A3:D3"/>
    <mergeCell ref="A25:M25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A2A6A"/>
  </sheetPr>
  <dimension ref="A1:E22"/>
  <sheetViews>
    <sheetView showGridLines="0" workbookViewId="0">
      <selection activeCell="A3" sqref="A3:E22"/>
    </sheetView>
  </sheetViews>
  <sheetFormatPr defaultColWidth="8.7109375" defaultRowHeight="15" x14ac:dyDescent="0.25"/>
  <cols>
    <col min="1" max="1" width="14" customWidth="1"/>
    <col min="2" max="3" width="8" customWidth="1"/>
    <col min="4" max="5" width="14" customWidth="1"/>
  </cols>
  <sheetData>
    <row r="1" spans="1:5" ht="21.75" customHeight="1" x14ac:dyDescent="0.25">
      <c r="A1" s="107" t="s">
        <v>66</v>
      </c>
      <c r="B1" s="107"/>
      <c r="C1" s="107"/>
      <c r="D1" s="107"/>
      <c r="E1" s="107"/>
    </row>
    <row r="2" spans="1:5" x14ac:dyDescent="0.25">
      <c r="A2" s="14" t="s">
        <v>67</v>
      </c>
      <c r="B2" s="14" t="s">
        <v>68</v>
      </c>
      <c r="C2" s="14" t="s">
        <v>69</v>
      </c>
      <c r="D2" s="14" t="s">
        <v>70</v>
      </c>
      <c r="E2" s="14" t="s">
        <v>71</v>
      </c>
    </row>
    <row r="3" spans="1:5" ht="15" customHeight="1" x14ac:dyDescent="0.25">
      <c r="A3" s="34"/>
      <c r="B3" s="34"/>
      <c r="C3" s="34"/>
      <c r="D3" s="41"/>
      <c r="E3" s="41"/>
    </row>
    <row r="4" spans="1:5" ht="15" customHeight="1" x14ac:dyDescent="0.25">
      <c r="A4" s="42"/>
      <c r="B4" s="42"/>
      <c r="C4" s="42"/>
      <c r="D4" s="43"/>
      <c r="E4" s="43"/>
    </row>
    <row r="5" spans="1:5" ht="15" customHeight="1" x14ac:dyDescent="0.25">
      <c r="A5" s="34"/>
      <c r="B5" s="34"/>
      <c r="C5" s="34"/>
      <c r="D5" s="34"/>
      <c r="E5" s="34"/>
    </row>
    <row r="6" spans="1:5" ht="15" customHeight="1" x14ac:dyDescent="0.25">
      <c r="A6" s="42"/>
      <c r="B6" s="42"/>
      <c r="C6" s="42"/>
      <c r="D6" s="42"/>
      <c r="E6" s="42"/>
    </row>
    <row r="7" spans="1:5" ht="15" customHeight="1" x14ac:dyDescent="0.25">
      <c r="A7" s="34"/>
      <c r="B7" s="34"/>
      <c r="C7" s="34"/>
      <c r="D7" s="34"/>
      <c r="E7" s="34"/>
    </row>
    <row r="8" spans="1:5" ht="15" customHeight="1" x14ac:dyDescent="0.25">
      <c r="A8" s="42"/>
      <c r="B8" s="42"/>
      <c r="C8" s="42"/>
      <c r="D8" s="42"/>
      <c r="E8" s="42"/>
    </row>
    <row r="9" spans="1:5" ht="15" customHeight="1" x14ac:dyDescent="0.25">
      <c r="A9" s="34"/>
      <c r="B9" s="34"/>
      <c r="C9" s="34"/>
      <c r="D9" s="34"/>
      <c r="E9" s="34"/>
    </row>
    <row r="10" spans="1:5" ht="15" customHeight="1" x14ac:dyDescent="0.25">
      <c r="A10" s="42"/>
      <c r="B10" s="42"/>
      <c r="C10" s="42"/>
      <c r="D10" s="42"/>
      <c r="E10" s="42"/>
    </row>
    <row r="11" spans="1:5" ht="15" customHeight="1" x14ac:dyDescent="0.25">
      <c r="A11" s="34"/>
      <c r="B11" s="34"/>
      <c r="C11" s="34"/>
      <c r="D11" s="34"/>
      <c r="E11" s="34"/>
    </row>
    <row r="12" spans="1:5" ht="15" customHeight="1" x14ac:dyDescent="0.25">
      <c r="A12" s="42"/>
      <c r="B12" s="42"/>
      <c r="C12" s="42"/>
      <c r="D12" s="42"/>
      <c r="E12" s="42"/>
    </row>
    <row r="13" spans="1:5" ht="15" customHeight="1" x14ac:dyDescent="0.25">
      <c r="A13" s="34"/>
      <c r="B13" s="34"/>
      <c r="C13" s="34"/>
      <c r="D13" s="34"/>
      <c r="E13" s="34"/>
    </row>
    <row r="14" spans="1:5" ht="15" customHeight="1" x14ac:dyDescent="0.25">
      <c r="A14" s="42"/>
      <c r="B14" s="42"/>
      <c r="C14" s="42"/>
      <c r="D14" s="42"/>
      <c r="E14" s="42"/>
    </row>
    <row r="15" spans="1:5" ht="15" customHeight="1" x14ac:dyDescent="0.25">
      <c r="A15" s="34"/>
      <c r="B15" s="34"/>
      <c r="C15" s="34"/>
      <c r="D15" s="34"/>
      <c r="E15" s="34"/>
    </row>
    <row r="16" spans="1:5" ht="15" customHeight="1" x14ac:dyDescent="0.25">
      <c r="A16" s="42"/>
      <c r="B16" s="42"/>
      <c r="C16" s="42"/>
      <c r="D16" s="42"/>
      <c r="E16" s="42"/>
    </row>
    <row r="17" spans="1:5" ht="15" customHeight="1" x14ac:dyDescent="0.25">
      <c r="A17" s="34"/>
      <c r="B17" s="34"/>
      <c r="C17" s="34"/>
      <c r="D17" s="34"/>
      <c r="E17" s="34"/>
    </row>
    <row r="18" spans="1:5" ht="15" customHeight="1" x14ac:dyDescent="0.25">
      <c r="A18" s="42"/>
      <c r="B18" s="42"/>
      <c r="C18" s="42"/>
      <c r="D18" s="42"/>
      <c r="E18" s="42"/>
    </row>
    <row r="19" spans="1:5" ht="15" customHeight="1" x14ac:dyDescent="0.25">
      <c r="A19" s="34"/>
      <c r="B19" s="34"/>
      <c r="C19" s="34"/>
      <c r="D19" s="34"/>
      <c r="E19" s="34"/>
    </row>
    <row r="20" spans="1:5" ht="15" customHeight="1" x14ac:dyDescent="0.25">
      <c r="A20" s="42"/>
      <c r="B20" s="42"/>
      <c r="C20" s="42"/>
      <c r="D20" s="42"/>
      <c r="E20" s="42"/>
    </row>
    <row r="21" spans="1:5" ht="15" customHeight="1" x14ac:dyDescent="0.25">
      <c r="A21" s="34"/>
      <c r="B21" s="34"/>
      <c r="C21" s="34"/>
      <c r="D21" s="34"/>
      <c r="E21" s="34"/>
    </row>
    <row r="22" spans="1:5" ht="15" customHeight="1" x14ac:dyDescent="0.25">
      <c r="A22" s="42"/>
      <c r="B22" s="42"/>
      <c r="C22" s="42"/>
      <c r="D22" s="42"/>
      <c r="E22" s="42"/>
    </row>
  </sheetData>
  <customSheetViews>
    <customSheetView guid="{FE60293F-D66D-444E-A1CD-0D97CF17EBD5}" showGridLines="0">
      <selection sqref="A1:E1"/>
      <pageMargins left="0.75" right="0.75" top="1" bottom="1" header="0.511811023622047" footer="0.511811023622047"/>
      <pageSetup paperSize="9" orientation="portrait" horizontalDpi="300" verticalDpi="300"/>
    </customSheetView>
    <customSheetView guid="{3301D7ED-6574-40EB-BC76-168E5F04FB0F}" showGridLines="0">
      <selection sqref="A1:E1"/>
      <pageMargins left="0.75" right="0.75" top="1" bottom="1" header="0.511811023622047" footer="0.511811023622047"/>
      <pageSetup paperSize="9" orientation="portrait" horizontalDpi="300" verticalDpi="300"/>
    </customSheetView>
    <customSheetView guid="{747C58B5-1285-44D2-9D58-49973DC73188}" showGridLines="0">
      <pageMargins left="0.75" right="0.75" top="1" bottom="1" header="0.511811023622047" footer="0.511811023622047"/>
      <pageSetup paperSize="9" orientation="portrait" horizontalDpi="300" verticalDpi="300"/>
    </customSheetView>
    <customSheetView guid="{BFC23A99-8068-4F7A-A3EF-B0436B22DBB2}" showGridLines="0">
      <selection sqref="A1:E1"/>
      <pageMargins left="0.75" right="0.75" top="1" bottom="1" header="0.511811023622047" footer="0.511811023622047"/>
      <pageSetup paperSize="9" orientation="portrait" horizontalDpi="300" verticalDpi="300"/>
    </customSheetView>
    <customSheetView guid="{051F7B8E-8887-4F7C-BE84-39381F59BBAB}" showGridLines="0">
      <selection sqref="A1:E1"/>
      <pageMargins left="0.75" right="0.75" top="1" bottom="1" header="0.511811023622047" footer="0.511811023622047"/>
      <pageSetup paperSize="9" orientation="portrait" horizontalDpi="300" verticalDpi="300"/>
    </customSheetView>
  </customSheetViews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6600"/>
  </sheetPr>
  <dimension ref="A1:H5524"/>
  <sheetViews>
    <sheetView workbookViewId="0">
      <selection activeCell="B14" sqref="B14"/>
    </sheetView>
  </sheetViews>
  <sheetFormatPr defaultColWidth="8.7109375" defaultRowHeight="15" x14ac:dyDescent="0.25"/>
  <cols>
    <col min="1" max="1" width="14" customWidth="1"/>
    <col min="2" max="2" width="10" customWidth="1"/>
    <col min="3" max="7" width="12" customWidth="1"/>
    <col min="8" max="8" width="13" customWidth="1"/>
  </cols>
  <sheetData>
    <row r="1" spans="1:8" ht="21.75" customHeight="1" x14ac:dyDescent="0.25">
      <c r="A1" s="108" t="s">
        <v>73</v>
      </c>
      <c r="B1" s="108"/>
      <c r="C1" s="108"/>
      <c r="D1" s="108"/>
      <c r="E1" s="108"/>
      <c r="F1" s="108"/>
      <c r="G1" s="108"/>
      <c r="H1" s="108"/>
    </row>
    <row r="2" spans="1:8" ht="79.5" customHeight="1" x14ac:dyDescent="0.25">
      <c r="A2" s="109" t="s">
        <v>74</v>
      </c>
      <c r="B2" s="109"/>
      <c r="C2" s="109"/>
      <c r="D2" s="109"/>
      <c r="E2" s="109"/>
      <c r="F2" s="109"/>
      <c r="G2" s="109"/>
      <c r="H2" s="109"/>
    </row>
    <row r="3" spans="1:8" x14ac:dyDescent="0.25">
      <c r="A3" s="109"/>
      <c r="B3" s="109"/>
      <c r="C3" s="109"/>
      <c r="D3" s="109"/>
      <c r="E3" s="109"/>
      <c r="F3" s="109"/>
      <c r="G3" s="109"/>
      <c r="H3" s="109"/>
    </row>
    <row r="4" spans="1:8" x14ac:dyDescent="0.25">
      <c r="A4" s="109"/>
      <c r="B4" s="109"/>
      <c r="C4" s="109"/>
      <c r="D4" s="109"/>
      <c r="E4" s="109"/>
      <c r="F4" s="109"/>
      <c r="G4" s="109"/>
      <c r="H4" s="109"/>
    </row>
    <row r="5" spans="1:8" x14ac:dyDescent="0.25">
      <c r="A5" s="44" t="s">
        <v>75</v>
      </c>
      <c r="B5" s="44" t="s">
        <v>15</v>
      </c>
      <c r="C5" s="44" t="s">
        <v>76</v>
      </c>
      <c r="D5" s="44" t="s">
        <v>77</v>
      </c>
      <c r="E5" s="44" t="s">
        <v>78</v>
      </c>
      <c r="F5" s="44" t="s">
        <v>79</v>
      </c>
      <c r="G5" s="44" t="s">
        <v>80</v>
      </c>
      <c r="H5" s="44" t="s">
        <v>81</v>
      </c>
    </row>
    <row r="6" spans="1:8" x14ac:dyDescent="0.25">
      <c r="A6">
        <v>10005284</v>
      </c>
      <c r="B6">
        <v>-5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x14ac:dyDescent="0.25">
      <c r="A7">
        <v>10005746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x14ac:dyDescent="0.25">
      <c r="A8">
        <v>10012602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x14ac:dyDescent="0.25">
      <c r="A9">
        <v>10012984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25">
      <c r="A10">
        <v>10013033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25">
      <c r="A11">
        <v>10013042</v>
      </c>
      <c r="B11">
        <v>-3</v>
      </c>
      <c r="C11">
        <v>0</v>
      </c>
      <c r="D11">
        <v>0</v>
      </c>
      <c r="E11">
        <v>1</v>
      </c>
      <c r="F11">
        <v>2</v>
      </c>
      <c r="G11">
        <v>3</v>
      </c>
      <c r="H11">
        <v>0</v>
      </c>
    </row>
    <row r="12" spans="1:8" x14ac:dyDescent="0.25">
      <c r="A12">
        <v>10016747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25">
      <c r="A13">
        <v>10030630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25">
      <c r="A14">
        <v>10031370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25">
      <c r="A15">
        <v>10036161</v>
      </c>
      <c r="B15">
        <v>69</v>
      </c>
      <c r="C15">
        <v>40</v>
      </c>
      <c r="D15">
        <v>7</v>
      </c>
      <c r="E15">
        <v>40</v>
      </c>
      <c r="F15">
        <v>126</v>
      </c>
      <c r="G15">
        <v>193</v>
      </c>
      <c r="H15">
        <v>24.99</v>
      </c>
    </row>
    <row r="16" spans="1:8" x14ac:dyDescent="0.25">
      <c r="A16">
        <v>10054558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>
        <v>10062732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 x14ac:dyDescent="0.25">
      <c r="A18">
        <v>10069609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8" x14ac:dyDescent="0.25">
      <c r="A19">
        <v>10069900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25">
      <c r="A20">
        <v>10069932</v>
      </c>
      <c r="B20">
        <v>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 x14ac:dyDescent="0.25">
      <c r="A21">
        <v>10070117</v>
      </c>
      <c r="B21">
        <v>-1</v>
      </c>
      <c r="C21">
        <v>0</v>
      </c>
      <c r="D21">
        <v>0</v>
      </c>
      <c r="E21">
        <v>0</v>
      </c>
      <c r="F21">
        <v>0</v>
      </c>
      <c r="G21">
        <v>1</v>
      </c>
      <c r="H21">
        <v>0</v>
      </c>
    </row>
    <row r="22" spans="1:8" x14ac:dyDescent="0.25">
      <c r="A22">
        <v>10070141</v>
      </c>
      <c r="B22">
        <v>-1</v>
      </c>
      <c r="C22">
        <v>0</v>
      </c>
      <c r="D22">
        <v>0</v>
      </c>
      <c r="E22">
        <v>0</v>
      </c>
      <c r="F22">
        <v>0</v>
      </c>
      <c r="G22">
        <v>1</v>
      </c>
      <c r="H22">
        <v>0</v>
      </c>
    </row>
    <row r="23" spans="1:8" x14ac:dyDescent="0.25">
      <c r="A23">
        <v>10070143</v>
      </c>
      <c r="B23">
        <v>176</v>
      </c>
      <c r="C23">
        <v>0</v>
      </c>
      <c r="D23">
        <v>37</v>
      </c>
      <c r="E23">
        <v>70</v>
      </c>
      <c r="F23">
        <v>223</v>
      </c>
      <c r="G23">
        <v>606</v>
      </c>
      <c r="H23">
        <v>27.005700000000001</v>
      </c>
    </row>
    <row r="24" spans="1:8" x14ac:dyDescent="0.25">
      <c r="A24">
        <v>10070151</v>
      </c>
      <c r="B24">
        <v>-1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x14ac:dyDescent="0.25">
      <c r="A25">
        <v>10071579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x14ac:dyDescent="0.25">
      <c r="A26">
        <v>10071954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25">
      <c r="A27">
        <v>10071995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25">
      <c r="A28">
        <v>10072034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</row>
    <row r="29" spans="1:8" x14ac:dyDescent="0.25">
      <c r="A29">
        <v>10073688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 x14ac:dyDescent="0.25">
      <c r="A30">
        <v>10073711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8" x14ac:dyDescent="0.25">
      <c r="A31">
        <v>10073713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25">
      <c r="A32">
        <v>10073717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25">
      <c r="A33">
        <v>10073745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25">
      <c r="A34">
        <v>10078096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25">
      <c r="A35">
        <v>10096393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25">
      <c r="A36">
        <v>10111266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25">
      <c r="A37">
        <v>10121661</v>
      </c>
      <c r="B37">
        <v>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25">
      <c r="A38">
        <v>10122257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25">
      <c r="A39">
        <v>10142521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25">
      <c r="A40">
        <v>10145516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25">
      <c r="A41">
        <v>10152745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x14ac:dyDescent="0.25">
      <c r="A42">
        <v>10158472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25">
      <c r="A43">
        <v>10176892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25">
      <c r="A44">
        <v>10179373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25">
      <c r="A45">
        <v>10185642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25">
      <c r="A46">
        <v>10185896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25">
      <c r="A47">
        <v>10198298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1:8" x14ac:dyDescent="0.25">
      <c r="A48">
        <v>1020385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 x14ac:dyDescent="0.25">
      <c r="A49">
        <v>10207498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 x14ac:dyDescent="0.25">
      <c r="A50">
        <v>10216924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25">
      <c r="A51">
        <v>10217736</v>
      </c>
      <c r="B51">
        <v>271</v>
      </c>
      <c r="C51">
        <v>12</v>
      </c>
      <c r="D51">
        <v>11</v>
      </c>
      <c r="E51">
        <v>47</v>
      </c>
      <c r="F51">
        <v>190</v>
      </c>
      <c r="G51">
        <v>401</v>
      </c>
      <c r="H51">
        <v>43.6464</v>
      </c>
    </row>
    <row r="52" spans="1:8" x14ac:dyDescent="0.25">
      <c r="A52">
        <v>10223220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</row>
    <row r="53" spans="1:8" x14ac:dyDescent="0.25">
      <c r="A53">
        <v>10228196</v>
      </c>
      <c r="B53">
        <v>-9</v>
      </c>
      <c r="C53">
        <v>0</v>
      </c>
      <c r="D53">
        <v>0</v>
      </c>
      <c r="E53">
        <v>0</v>
      </c>
      <c r="F53">
        <v>4</v>
      </c>
      <c r="G53">
        <v>7</v>
      </c>
      <c r="H53">
        <v>0</v>
      </c>
    </row>
    <row r="54" spans="1:8" x14ac:dyDescent="0.25">
      <c r="A54">
        <v>10232060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25">
      <c r="A55">
        <v>10232264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25">
      <c r="A56">
        <v>10232426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25">
      <c r="A57">
        <v>10232444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25">
      <c r="A58">
        <v>10232464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25">
      <c r="A59">
        <v>10233674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25">
      <c r="A60">
        <v>10238804</v>
      </c>
      <c r="B60">
        <v>0</v>
      </c>
      <c r="C60">
        <v>0</v>
      </c>
      <c r="D60">
        <v>0</v>
      </c>
      <c r="E60">
        <v>0</v>
      </c>
      <c r="F60">
        <v>32</v>
      </c>
      <c r="G60">
        <v>48</v>
      </c>
      <c r="H60">
        <v>0</v>
      </c>
    </row>
    <row r="61" spans="1:8" x14ac:dyDescent="0.25">
      <c r="A61">
        <v>10238807</v>
      </c>
      <c r="B61">
        <v>154</v>
      </c>
      <c r="C61">
        <v>40</v>
      </c>
      <c r="D61">
        <v>24</v>
      </c>
      <c r="E61">
        <v>65</v>
      </c>
      <c r="F61">
        <v>264</v>
      </c>
      <c r="G61">
        <v>377</v>
      </c>
      <c r="H61">
        <v>16.954999999999998</v>
      </c>
    </row>
    <row r="62" spans="1:8" x14ac:dyDescent="0.25">
      <c r="A62">
        <v>10238808</v>
      </c>
      <c r="B62">
        <v>18</v>
      </c>
      <c r="C62">
        <v>10</v>
      </c>
      <c r="D62">
        <v>1</v>
      </c>
      <c r="E62">
        <v>8</v>
      </c>
      <c r="F62">
        <v>49</v>
      </c>
      <c r="G62">
        <v>103</v>
      </c>
      <c r="H62">
        <v>15.99</v>
      </c>
    </row>
    <row r="63" spans="1:8" x14ac:dyDescent="0.25">
      <c r="A63">
        <v>10238809</v>
      </c>
      <c r="B63">
        <v>13</v>
      </c>
      <c r="C63">
        <v>20</v>
      </c>
      <c r="D63">
        <v>3</v>
      </c>
      <c r="E63">
        <v>21</v>
      </c>
      <c r="F63">
        <v>70</v>
      </c>
      <c r="G63">
        <v>124</v>
      </c>
      <c r="H63">
        <v>18.353300000000001</v>
      </c>
    </row>
    <row r="64" spans="1:8" x14ac:dyDescent="0.25">
      <c r="A64">
        <v>10238811</v>
      </c>
      <c r="B64">
        <v>15</v>
      </c>
      <c r="C64">
        <v>0</v>
      </c>
      <c r="D64">
        <v>0</v>
      </c>
      <c r="E64">
        <v>0</v>
      </c>
      <c r="F64">
        <v>1</v>
      </c>
      <c r="G64">
        <v>1</v>
      </c>
      <c r="H64">
        <v>0</v>
      </c>
    </row>
    <row r="65" spans="1:8" x14ac:dyDescent="0.25">
      <c r="A65">
        <v>10238814</v>
      </c>
      <c r="B65">
        <v>18</v>
      </c>
      <c r="C65">
        <v>10</v>
      </c>
      <c r="D65">
        <v>0</v>
      </c>
      <c r="E65">
        <v>2</v>
      </c>
      <c r="F65">
        <v>14</v>
      </c>
      <c r="G65">
        <v>26</v>
      </c>
      <c r="H65">
        <v>0</v>
      </c>
    </row>
    <row r="66" spans="1:8" x14ac:dyDescent="0.25">
      <c r="A66">
        <v>10238816</v>
      </c>
      <c r="B66">
        <v>21</v>
      </c>
      <c r="C66">
        <v>5</v>
      </c>
      <c r="D66">
        <v>1</v>
      </c>
      <c r="E66">
        <v>4</v>
      </c>
      <c r="F66">
        <v>11</v>
      </c>
      <c r="G66">
        <v>19</v>
      </c>
      <c r="H66">
        <v>21.99</v>
      </c>
    </row>
    <row r="67" spans="1:8" x14ac:dyDescent="0.25">
      <c r="A67">
        <v>10238821</v>
      </c>
      <c r="B67">
        <v>19</v>
      </c>
      <c r="C67">
        <v>5</v>
      </c>
      <c r="D67">
        <v>0</v>
      </c>
      <c r="E67">
        <v>0</v>
      </c>
      <c r="F67">
        <v>4</v>
      </c>
      <c r="G67">
        <v>6</v>
      </c>
      <c r="H67">
        <v>0</v>
      </c>
    </row>
    <row r="68" spans="1:8" x14ac:dyDescent="0.25">
      <c r="A68">
        <v>10238822</v>
      </c>
      <c r="B68">
        <v>23</v>
      </c>
      <c r="C68">
        <v>5</v>
      </c>
      <c r="D68">
        <v>0</v>
      </c>
      <c r="E68">
        <v>2</v>
      </c>
      <c r="F68">
        <v>12</v>
      </c>
      <c r="G68">
        <v>26</v>
      </c>
      <c r="H68">
        <v>0</v>
      </c>
    </row>
    <row r="69" spans="1:8" x14ac:dyDescent="0.25">
      <c r="A69">
        <v>10239144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8" x14ac:dyDescent="0.25">
      <c r="A70">
        <v>10241307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</row>
    <row r="71" spans="1:8" x14ac:dyDescent="0.25">
      <c r="A71">
        <v>10242016</v>
      </c>
      <c r="B71">
        <v>-14</v>
      </c>
      <c r="C71">
        <v>0</v>
      </c>
      <c r="D71">
        <v>1</v>
      </c>
      <c r="E71">
        <v>1</v>
      </c>
      <c r="F71">
        <v>3</v>
      </c>
      <c r="G71">
        <v>6</v>
      </c>
      <c r="H71">
        <v>0.87</v>
      </c>
    </row>
    <row r="72" spans="1:8" x14ac:dyDescent="0.25">
      <c r="A72">
        <v>10245860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</row>
    <row r="73" spans="1:8" x14ac:dyDescent="0.25">
      <c r="A73">
        <v>10247703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 x14ac:dyDescent="0.25">
      <c r="A74">
        <v>10250151</v>
      </c>
      <c r="B74">
        <v>2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</row>
    <row r="75" spans="1:8" x14ac:dyDescent="0.25">
      <c r="A75">
        <v>10250459</v>
      </c>
      <c r="B75">
        <v>14</v>
      </c>
      <c r="C75">
        <v>0</v>
      </c>
      <c r="D75">
        <v>0</v>
      </c>
      <c r="E75">
        <v>1</v>
      </c>
      <c r="F75">
        <v>13</v>
      </c>
      <c r="G75">
        <v>75</v>
      </c>
      <c r="H75">
        <v>0</v>
      </c>
    </row>
    <row r="76" spans="1:8" x14ac:dyDescent="0.25">
      <c r="A76">
        <v>10250895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</row>
    <row r="77" spans="1:8" x14ac:dyDescent="0.25">
      <c r="A77">
        <v>10252981</v>
      </c>
      <c r="B77">
        <v>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</row>
    <row r="78" spans="1:8" x14ac:dyDescent="0.25">
      <c r="A78">
        <v>10259522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8" x14ac:dyDescent="0.25">
      <c r="A79">
        <v>10259526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</row>
    <row r="80" spans="1:8" x14ac:dyDescent="0.25">
      <c r="A80">
        <v>10259545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</row>
    <row r="81" spans="1:8" x14ac:dyDescent="0.25">
      <c r="A81">
        <v>10259567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8" x14ac:dyDescent="0.25">
      <c r="A82">
        <v>10259586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 x14ac:dyDescent="0.25">
      <c r="A83">
        <v>10259662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</row>
    <row r="84" spans="1:8" x14ac:dyDescent="0.25">
      <c r="A84">
        <v>10259839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</row>
    <row r="85" spans="1:8" x14ac:dyDescent="0.25">
      <c r="A85">
        <v>10264185</v>
      </c>
      <c r="B85">
        <v>7</v>
      </c>
      <c r="C85">
        <v>0</v>
      </c>
      <c r="D85">
        <v>0</v>
      </c>
      <c r="E85">
        <v>0</v>
      </c>
      <c r="F85">
        <v>1</v>
      </c>
      <c r="G85">
        <v>5</v>
      </c>
      <c r="H85">
        <v>0</v>
      </c>
    </row>
    <row r="86" spans="1:8" x14ac:dyDescent="0.25">
      <c r="A86">
        <v>10267178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</row>
    <row r="87" spans="1:8" x14ac:dyDescent="0.25">
      <c r="A87">
        <v>10267495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 x14ac:dyDescent="0.25">
      <c r="A88">
        <v>10267551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</row>
    <row r="89" spans="1:8" x14ac:dyDescent="0.25">
      <c r="A89">
        <v>10271889</v>
      </c>
      <c r="B89">
        <v>37</v>
      </c>
      <c r="C89">
        <v>0</v>
      </c>
      <c r="D89">
        <v>0</v>
      </c>
      <c r="E89">
        <v>0</v>
      </c>
      <c r="F89">
        <v>3</v>
      </c>
      <c r="G89">
        <v>10</v>
      </c>
      <c r="H89">
        <v>0</v>
      </c>
    </row>
    <row r="90" spans="1:8" x14ac:dyDescent="0.25">
      <c r="A90">
        <v>10272645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</row>
    <row r="91" spans="1:8" x14ac:dyDescent="0.25">
      <c r="A91">
        <v>10272700</v>
      </c>
      <c r="B91">
        <v>451</v>
      </c>
      <c r="C91">
        <v>170</v>
      </c>
      <c r="D91">
        <v>47</v>
      </c>
      <c r="E91">
        <v>142</v>
      </c>
      <c r="F91">
        <v>566</v>
      </c>
      <c r="G91">
        <v>2106</v>
      </c>
      <c r="H91">
        <v>48.187399999999997</v>
      </c>
    </row>
    <row r="92" spans="1:8" x14ac:dyDescent="0.25">
      <c r="A92">
        <v>10283078</v>
      </c>
      <c r="B92">
        <v>3</v>
      </c>
      <c r="C92">
        <v>0</v>
      </c>
      <c r="D92">
        <v>0</v>
      </c>
      <c r="E92">
        <v>0</v>
      </c>
      <c r="F92">
        <v>0</v>
      </c>
      <c r="G92">
        <v>1</v>
      </c>
      <c r="H92">
        <v>0</v>
      </c>
    </row>
    <row r="93" spans="1:8" x14ac:dyDescent="0.25">
      <c r="A93">
        <v>10284244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8" x14ac:dyDescent="0.25">
      <c r="A94">
        <v>10285239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8" x14ac:dyDescent="0.25">
      <c r="A95">
        <v>10291426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</row>
    <row r="96" spans="1:8" x14ac:dyDescent="0.25">
      <c r="A96">
        <v>10291457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  <row r="97" spans="1:8" x14ac:dyDescent="0.25">
      <c r="A97">
        <v>10291473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</row>
    <row r="98" spans="1:8" x14ac:dyDescent="0.25">
      <c r="A98">
        <v>10291476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</row>
    <row r="99" spans="1:8" x14ac:dyDescent="0.25">
      <c r="A99">
        <v>10291487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8" x14ac:dyDescent="0.25">
      <c r="A100">
        <v>10291493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</row>
    <row r="101" spans="1:8" x14ac:dyDescent="0.25">
      <c r="A101">
        <v>10291499</v>
      </c>
      <c r="B101">
        <v>5</v>
      </c>
      <c r="C101">
        <v>0</v>
      </c>
      <c r="D101">
        <v>0</v>
      </c>
      <c r="E101">
        <v>0</v>
      </c>
      <c r="F101">
        <v>0</v>
      </c>
      <c r="G101">
        <v>3</v>
      </c>
      <c r="H101">
        <v>0</v>
      </c>
    </row>
    <row r="102" spans="1:8" x14ac:dyDescent="0.25">
      <c r="A102">
        <v>10291506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</row>
    <row r="103" spans="1:8" x14ac:dyDescent="0.25">
      <c r="A103">
        <v>10295049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</row>
    <row r="104" spans="1:8" x14ac:dyDescent="0.25">
      <c r="A104">
        <v>10297361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</row>
    <row r="105" spans="1:8" x14ac:dyDescent="0.25">
      <c r="A105">
        <v>10297658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8" x14ac:dyDescent="0.25">
      <c r="A106">
        <v>10297768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</row>
    <row r="107" spans="1:8" x14ac:dyDescent="0.25">
      <c r="A107">
        <v>10297815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</row>
    <row r="108" spans="1:8" x14ac:dyDescent="0.25">
      <c r="A108">
        <v>10297874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</row>
    <row r="109" spans="1:8" x14ac:dyDescent="0.25">
      <c r="A109">
        <v>10297965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</row>
    <row r="110" spans="1:8" x14ac:dyDescent="0.25">
      <c r="A110">
        <v>10297988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</row>
    <row r="111" spans="1:8" x14ac:dyDescent="0.25">
      <c r="A111">
        <v>10298342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</row>
    <row r="112" spans="1:8" x14ac:dyDescent="0.25">
      <c r="A112">
        <v>10298464</v>
      </c>
      <c r="B112">
        <v>67</v>
      </c>
      <c r="C112">
        <v>0</v>
      </c>
      <c r="D112">
        <v>2</v>
      </c>
      <c r="E112">
        <v>3</v>
      </c>
      <c r="F112">
        <v>26</v>
      </c>
      <c r="G112">
        <v>98</v>
      </c>
      <c r="H112">
        <v>29.25</v>
      </c>
    </row>
    <row r="113" spans="1:8" x14ac:dyDescent="0.25">
      <c r="A113">
        <v>10299372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</row>
    <row r="114" spans="1:8" x14ac:dyDescent="0.25">
      <c r="A114">
        <v>10299383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</row>
    <row r="115" spans="1:8" x14ac:dyDescent="0.25">
      <c r="A115">
        <v>10299389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25">
      <c r="A116">
        <v>10301922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25">
      <c r="A117">
        <v>10305476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 x14ac:dyDescent="0.25">
      <c r="A118">
        <v>10305964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</row>
    <row r="119" spans="1:8" x14ac:dyDescent="0.25">
      <c r="A119">
        <v>10310142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</row>
    <row r="120" spans="1:8" x14ac:dyDescent="0.25">
      <c r="A120">
        <v>10321072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</row>
    <row r="121" spans="1:8" x14ac:dyDescent="0.25">
      <c r="A121">
        <v>10334437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</row>
    <row r="122" spans="1:8" x14ac:dyDescent="0.25">
      <c r="A122">
        <v>10335012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x14ac:dyDescent="0.25">
      <c r="A123">
        <v>10335039</v>
      </c>
      <c r="B123">
        <v>400</v>
      </c>
      <c r="C123">
        <v>240</v>
      </c>
      <c r="D123">
        <v>58</v>
      </c>
      <c r="E123">
        <v>232</v>
      </c>
      <c r="F123">
        <v>729</v>
      </c>
      <c r="G123">
        <v>1648</v>
      </c>
      <c r="H123">
        <v>11.774100000000001</v>
      </c>
    </row>
    <row r="124" spans="1:8" x14ac:dyDescent="0.25">
      <c r="A124">
        <v>10339424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</row>
    <row r="125" spans="1:8" x14ac:dyDescent="0.25">
      <c r="A125">
        <v>10348267</v>
      </c>
      <c r="B125">
        <v>-9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</row>
    <row r="126" spans="1:8" x14ac:dyDescent="0.25">
      <c r="A126">
        <v>10363517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</row>
    <row r="127" spans="1:8" x14ac:dyDescent="0.25">
      <c r="A127">
        <v>10364221</v>
      </c>
      <c r="B127">
        <v>27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</row>
    <row r="128" spans="1:8" x14ac:dyDescent="0.25">
      <c r="A128">
        <v>1037521</v>
      </c>
      <c r="B128">
        <v>3643</v>
      </c>
      <c r="C128">
        <v>408</v>
      </c>
      <c r="D128">
        <v>188</v>
      </c>
      <c r="E128">
        <v>841</v>
      </c>
      <c r="F128">
        <v>2847</v>
      </c>
      <c r="G128">
        <v>5684</v>
      </c>
      <c r="H128">
        <v>6.6715999999999998</v>
      </c>
    </row>
    <row r="129" spans="1:8" x14ac:dyDescent="0.25">
      <c r="A129">
        <v>1037542</v>
      </c>
      <c r="B129">
        <v>1932</v>
      </c>
      <c r="C129">
        <v>624</v>
      </c>
      <c r="D129">
        <v>93</v>
      </c>
      <c r="E129">
        <v>387</v>
      </c>
      <c r="F129">
        <v>1371</v>
      </c>
      <c r="G129">
        <v>2997</v>
      </c>
      <c r="H129">
        <v>12.1647</v>
      </c>
    </row>
    <row r="130" spans="1:8" x14ac:dyDescent="0.25">
      <c r="A130">
        <v>10382557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</row>
    <row r="131" spans="1:8" x14ac:dyDescent="0.25">
      <c r="A131">
        <v>10384487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</row>
    <row r="132" spans="1:8" x14ac:dyDescent="0.25">
      <c r="A132">
        <v>10387795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</row>
    <row r="133" spans="1:8" x14ac:dyDescent="0.25">
      <c r="A133">
        <v>10387802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</row>
    <row r="134" spans="1:8" x14ac:dyDescent="0.25">
      <c r="A134">
        <v>10388783</v>
      </c>
      <c r="B134">
        <v>6</v>
      </c>
      <c r="C134">
        <v>0</v>
      </c>
      <c r="D134">
        <v>0</v>
      </c>
      <c r="E134">
        <v>0</v>
      </c>
      <c r="F134">
        <v>1</v>
      </c>
      <c r="G134">
        <v>4</v>
      </c>
      <c r="H134">
        <v>0</v>
      </c>
    </row>
    <row r="135" spans="1:8" x14ac:dyDescent="0.25">
      <c r="A135">
        <v>10394309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</row>
    <row r="136" spans="1:8" x14ac:dyDescent="0.25">
      <c r="A136">
        <v>10396513</v>
      </c>
      <c r="B136">
        <v>-21</v>
      </c>
      <c r="C136">
        <v>0</v>
      </c>
      <c r="D136">
        <v>1</v>
      </c>
      <c r="E136">
        <v>2</v>
      </c>
      <c r="F136">
        <v>8</v>
      </c>
      <c r="G136">
        <v>25</v>
      </c>
      <c r="H136">
        <v>99.99</v>
      </c>
    </row>
    <row r="137" spans="1:8" x14ac:dyDescent="0.25">
      <c r="A137">
        <v>10396547</v>
      </c>
      <c r="B137">
        <v>10</v>
      </c>
      <c r="C137">
        <v>0</v>
      </c>
      <c r="D137">
        <v>0</v>
      </c>
      <c r="E137">
        <v>1</v>
      </c>
      <c r="F137">
        <v>6</v>
      </c>
      <c r="G137">
        <v>20</v>
      </c>
      <c r="H137">
        <v>0</v>
      </c>
    </row>
    <row r="138" spans="1:8" x14ac:dyDescent="0.25">
      <c r="A138">
        <v>10399965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</row>
    <row r="139" spans="1:8" x14ac:dyDescent="0.25">
      <c r="A139">
        <v>10411221</v>
      </c>
      <c r="B139">
        <v>67</v>
      </c>
      <c r="C139">
        <v>6</v>
      </c>
      <c r="D139">
        <v>1</v>
      </c>
      <c r="E139">
        <v>10</v>
      </c>
      <c r="F139">
        <v>37</v>
      </c>
      <c r="G139">
        <v>98</v>
      </c>
      <c r="H139">
        <v>29.99</v>
      </c>
    </row>
    <row r="140" spans="1:8" x14ac:dyDescent="0.25">
      <c r="A140">
        <v>10420343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8" x14ac:dyDescent="0.25">
      <c r="A141">
        <v>10439506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</row>
    <row r="142" spans="1:8" x14ac:dyDescent="0.25">
      <c r="A142">
        <v>10443699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</row>
    <row r="143" spans="1:8" x14ac:dyDescent="0.25">
      <c r="A143">
        <v>10445660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</row>
    <row r="144" spans="1:8" x14ac:dyDescent="0.25">
      <c r="A144">
        <v>10445667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</row>
    <row r="145" spans="1:8" x14ac:dyDescent="0.25">
      <c r="A145">
        <v>10446419</v>
      </c>
      <c r="B145">
        <v>150</v>
      </c>
      <c r="C145">
        <v>0</v>
      </c>
      <c r="D145">
        <v>9</v>
      </c>
      <c r="E145">
        <v>48</v>
      </c>
      <c r="F145">
        <v>243</v>
      </c>
      <c r="G145">
        <v>514</v>
      </c>
      <c r="H145">
        <v>74.9833</v>
      </c>
    </row>
    <row r="146" spans="1:8" x14ac:dyDescent="0.25">
      <c r="A146">
        <v>10460706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</row>
    <row r="147" spans="1:8" x14ac:dyDescent="0.25">
      <c r="A147">
        <v>10494044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</row>
    <row r="148" spans="1:8" x14ac:dyDescent="0.25">
      <c r="A148">
        <v>10505769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</row>
    <row r="149" spans="1:8" x14ac:dyDescent="0.25">
      <c r="A149">
        <v>10510832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</row>
    <row r="150" spans="1:8" x14ac:dyDescent="0.25">
      <c r="A150">
        <v>10520312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 x14ac:dyDescent="0.25">
      <c r="A151">
        <v>10528456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</row>
    <row r="152" spans="1:8" x14ac:dyDescent="0.25">
      <c r="A152">
        <v>10532663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</row>
    <row r="153" spans="1:8" x14ac:dyDescent="0.25">
      <c r="A153">
        <v>10537423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</row>
    <row r="154" spans="1:8" x14ac:dyDescent="0.25">
      <c r="A154">
        <v>10538737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</row>
    <row r="155" spans="1:8" x14ac:dyDescent="0.25">
      <c r="A155">
        <v>10545145</v>
      </c>
      <c r="B155">
        <v>0</v>
      </c>
      <c r="C155">
        <v>0</v>
      </c>
      <c r="D155">
        <v>0</v>
      </c>
      <c r="E155">
        <v>0</v>
      </c>
      <c r="F155">
        <v>2</v>
      </c>
      <c r="G155">
        <v>6</v>
      </c>
      <c r="H155">
        <v>0</v>
      </c>
    </row>
    <row r="156" spans="1:8" x14ac:dyDescent="0.25">
      <c r="A156">
        <v>10545171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</row>
    <row r="157" spans="1:8" x14ac:dyDescent="0.25">
      <c r="A157">
        <v>10557362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</row>
    <row r="158" spans="1:8" x14ac:dyDescent="0.25">
      <c r="A158">
        <v>10558523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</row>
    <row r="159" spans="1:8" x14ac:dyDescent="0.25">
      <c r="A159">
        <v>10558536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</row>
    <row r="160" spans="1:8" x14ac:dyDescent="0.25">
      <c r="A160">
        <v>10558575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</row>
    <row r="161" spans="1:8" x14ac:dyDescent="0.25">
      <c r="A161">
        <v>10558621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</row>
    <row r="162" spans="1:8" x14ac:dyDescent="0.25">
      <c r="A162">
        <v>10558629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</row>
    <row r="163" spans="1:8" x14ac:dyDescent="0.25">
      <c r="A163">
        <v>10558649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</row>
    <row r="164" spans="1:8" x14ac:dyDescent="0.25">
      <c r="A164">
        <v>10558690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</row>
    <row r="165" spans="1:8" x14ac:dyDescent="0.25">
      <c r="A165">
        <v>10559012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8" x14ac:dyDescent="0.25">
      <c r="A166">
        <v>10559290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</row>
    <row r="167" spans="1:8" x14ac:dyDescent="0.25">
      <c r="A167">
        <v>10559308</v>
      </c>
      <c r="B167">
        <v>3627</v>
      </c>
      <c r="C167">
        <v>460</v>
      </c>
      <c r="D167">
        <v>190</v>
      </c>
      <c r="E167">
        <v>783</v>
      </c>
      <c r="F167">
        <v>2879</v>
      </c>
      <c r="G167">
        <v>5964</v>
      </c>
      <c r="H167">
        <v>18.6417</v>
      </c>
    </row>
    <row r="168" spans="1:8" x14ac:dyDescent="0.25">
      <c r="A168">
        <v>10559338</v>
      </c>
      <c r="B168">
        <v>80</v>
      </c>
      <c r="C168">
        <v>0</v>
      </c>
      <c r="D168">
        <v>4</v>
      </c>
      <c r="E168">
        <v>27</v>
      </c>
      <c r="F168">
        <v>66</v>
      </c>
      <c r="G168">
        <v>142</v>
      </c>
      <c r="H168">
        <v>8.1875</v>
      </c>
    </row>
    <row r="169" spans="1:8" x14ac:dyDescent="0.25">
      <c r="A169">
        <v>10559532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</row>
    <row r="170" spans="1:8" x14ac:dyDescent="0.25">
      <c r="A170">
        <v>10559696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</row>
    <row r="171" spans="1:8" x14ac:dyDescent="0.25">
      <c r="A171">
        <v>10559713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</row>
    <row r="172" spans="1:8" x14ac:dyDescent="0.25">
      <c r="A172">
        <v>10559717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</row>
    <row r="173" spans="1:8" x14ac:dyDescent="0.25">
      <c r="A173">
        <v>10569833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</row>
    <row r="174" spans="1:8" x14ac:dyDescent="0.25">
      <c r="A174">
        <v>10569869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</row>
    <row r="175" spans="1:8" x14ac:dyDescent="0.25">
      <c r="A175">
        <v>10569908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</row>
    <row r="176" spans="1:8" x14ac:dyDescent="0.25">
      <c r="A176">
        <v>10574357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</row>
    <row r="177" spans="1:8" x14ac:dyDescent="0.25">
      <c r="A177">
        <v>10590032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36</v>
      </c>
      <c r="H177">
        <v>0</v>
      </c>
    </row>
    <row r="178" spans="1:8" x14ac:dyDescent="0.25">
      <c r="A178">
        <v>10590037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42</v>
      </c>
      <c r="H178">
        <v>0</v>
      </c>
    </row>
    <row r="179" spans="1:8" x14ac:dyDescent="0.25">
      <c r="A179">
        <v>10590412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25">
      <c r="A180">
        <v>10594552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</row>
    <row r="181" spans="1:8" x14ac:dyDescent="0.25">
      <c r="A181">
        <v>10594841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</row>
    <row r="182" spans="1:8" x14ac:dyDescent="0.25">
      <c r="A182">
        <v>10610720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</row>
    <row r="183" spans="1:8" x14ac:dyDescent="0.25">
      <c r="A183">
        <v>10615565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</row>
    <row r="184" spans="1:8" x14ac:dyDescent="0.25">
      <c r="A184">
        <v>10637549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</row>
    <row r="185" spans="1:8" x14ac:dyDescent="0.25">
      <c r="A185">
        <v>10637623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</row>
    <row r="186" spans="1:8" x14ac:dyDescent="0.25">
      <c r="A186">
        <v>10637777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</row>
    <row r="187" spans="1:8" x14ac:dyDescent="0.25">
      <c r="A187">
        <v>10640068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</row>
    <row r="188" spans="1:8" x14ac:dyDescent="0.25">
      <c r="A188">
        <v>10640155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</row>
    <row r="189" spans="1:8" x14ac:dyDescent="0.25">
      <c r="A189">
        <v>10644108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</row>
    <row r="190" spans="1:8" x14ac:dyDescent="0.25">
      <c r="A190">
        <v>10653462</v>
      </c>
      <c r="B190">
        <v>68</v>
      </c>
      <c r="C190">
        <v>40</v>
      </c>
      <c r="D190">
        <v>6</v>
      </c>
      <c r="E190">
        <v>22</v>
      </c>
      <c r="F190">
        <v>114</v>
      </c>
      <c r="G190">
        <v>165</v>
      </c>
      <c r="H190">
        <v>13.99</v>
      </c>
    </row>
    <row r="191" spans="1:8" x14ac:dyDescent="0.25">
      <c r="A191">
        <v>10653463</v>
      </c>
      <c r="B191">
        <v>45</v>
      </c>
      <c r="C191">
        <v>15</v>
      </c>
      <c r="D191">
        <v>0</v>
      </c>
      <c r="E191">
        <v>4</v>
      </c>
      <c r="F191">
        <v>41</v>
      </c>
      <c r="G191">
        <v>60</v>
      </c>
      <c r="H191">
        <v>0</v>
      </c>
    </row>
    <row r="192" spans="1:8" x14ac:dyDescent="0.25">
      <c r="A192">
        <v>10660919</v>
      </c>
      <c r="B192">
        <v>10</v>
      </c>
      <c r="C192">
        <v>2</v>
      </c>
      <c r="D192">
        <v>2</v>
      </c>
      <c r="E192">
        <v>4</v>
      </c>
      <c r="F192">
        <v>12</v>
      </c>
      <c r="G192">
        <v>22</v>
      </c>
      <c r="H192">
        <v>2078.91</v>
      </c>
    </row>
    <row r="193" spans="1:8" x14ac:dyDescent="0.25">
      <c r="A193">
        <v>10664448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</row>
    <row r="194" spans="1:8" x14ac:dyDescent="0.25">
      <c r="A194">
        <v>10667859</v>
      </c>
      <c r="B194">
        <v>8</v>
      </c>
      <c r="C194">
        <v>0</v>
      </c>
      <c r="D194">
        <v>0</v>
      </c>
      <c r="E194">
        <v>0</v>
      </c>
      <c r="F194">
        <v>0</v>
      </c>
      <c r="G194">
        <v>1</v>
      </c>
      <c r="H194">
        <v>0</v>
      </c>
    </row>
    <row r="195" spans="1:8" x14ac:dyDescent="0.25">
      <c r="A195">
        <v>10669000</v>
      </c>
      <c r="B195">
        <v>-1</v>
      </c>
      <c r="C195">
        <v>0</v>
      </c>
      <c r="D195">
        <v>0</v>
      </c>
      <c r="E195">
        <v>0</v>
      </c>
      <c r="F195">
        <v>0</v>
      </c>
      <c r="G195">
        <v>1</v>
      </c>
      <c r="H195">
        <v>0</v>
      </c>
    </row>
    <row r="196" spans="1:8" x14ac:dyDescent="0.25">
      <c r="A196">
        <v>10679082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</row>
    <row r="197" spans="1:8" x14ac:dyDescent="0.25">
      <c r="A197">
        <v>10698206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</row>
    <row r="198" spans="1:8" x14ac:dyDescent="0.25">
      <c r="A198">
        <v>10720400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</row>
    <row r="199" spans="1:8" x14ac:dyDescent="0.25">
      <c r="A199">
        <v>10734362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</row>
    <row r="200" spans="1:8" x14ac:dyDescent="0.25">
      <c r="A200">
        <v>10735268</v>
      </c>
      <c r="B200">
        <v>183</v>
      </c>
      <c r="C200">
        <v>28</v>
      </c>
      <c r="D200">
        <v>21</v>
      </c>
      <c r="E200">
        <v>82</v>
      </c>
      <c r="F200">
        <v>268</v>
      </c>
      <c r="G200">
        <v>610</v>
      </c>
      <c r="H200">
        <v>89.417100000000005</v>
      </c>
    </row>
    <row r="201" spans="1:8" x14ac:dyDescent="0.25">
      <c r="A201">
        <v>10735422</v>
      </c>
      <c r="B201">
        <v>32</v>
      </c>
      <c r="C201">
        <v>0</v>
      </c>
      <c r="D201">
        <v>3</v>
      </c>
      <c r="E201">
        <v>11</v>
      </c>
      <c r="F201">
        <v>76</v>
      </c>
      <c r="G201">
        <v>171</v>
      </c>
      <c r="H201">
        <v>34.99</v>
      </c>
    </row>
    <row r="202" spans="1:8" x14ac:dyDescent="0.25">
      <c r="A202">
        <v>10745110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</row>
    <row r="203" spans="1:8" x14ac:dyDescent="0.25">
      <c r="A203">
        <v>10745770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</row>
    <row r="204" spans="1:8" x14ac:dyDescent="0.25">
      <c r="A204">
        <v>10746354</v>
      </c>
      <c r="B204">
        <v>59</v>
      </c>
      <c r="C204">
        <v>0</v>
      </c>
      <c r="D204">
        <v>5</v>
      </c>
      <c r="E204">
        <v>16</v>
      </c>
      <c r="F204">
        <v>79</v>
      </c>
      <c r="G204">
        <v>231</v>
      </c>
      <c r="H204">
        <v>80.762</v>
      </c>
    </row>
    <row r="205" spans="1:8" x14ac:dyDescent="0.25">
      <c r="A205">
        <v>10748914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1:8" x14ac:dyDescent="0.25">
      <c r="A206">
        <v>10749482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</row>
    <row r="207" spans="1:8" x14ac:dyDescent="0.25">
      <c r="A207">
        <v>10752914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</row>
    <row r="208" spans="1:8" x14ac:dyDescent="0.25">
      <c r="A208">
        <v>10765909</v>
      </c>
      <c r="B208">
        <v>42</v>
      </c>
      <c r="C208">
        <v>0</v>
      </c>
      <c r="D208">
        <v>3</v>
      </c>
      <c r="E208">
        <v>10</v>
      </c>
      <c r="F208">
        <v>67</v>
      </c>
      <c r="G208">
        <v>431</v>
      </c>
      <c r="H208">
        <v>49.97</v>
      </c>
    </row>
    <row r="209" spans="1:8" x14ac:dyDescent="0.25">
      <c r="A209">
        <v>10767916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</row>
    <row r="210" spans="1:8" x14ac:dyDescent="0.25">
      <c r="A210">
        <v>10768242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</row>
    <row r="211" spans="1:8" x14ac:dyDescent="0.25">
      <c r="A211">
        <v>10768708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</row>
    <row r="212" spans="1:8" x14ac:dyDescent="0.25">
      <c r="A212">
        <v>10768930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</row>
    <row r="213" spans="1:8" x14ac:dyDescent="0.25">
      <c r="A213">
        <v>10769631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</row>
    <row r="214" spans="1:8" x14ac:dyDescent="0.25">
      <c r="A214">
        <v>10770039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</row>
    <row r="215" spans="1:8" x14ac:dyDescent="0.25">
      <c r="A215">
        <v>10770050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</row>
    <row r="216" spans="1:8" x14ac:dyDescent="0.25">
      <c r="A216">
        <v>10770062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</row>
    <row r="217" spans="1:8" x14ac:dyDescent="0.25">
      <c r="A217">
        <v>10770487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</row>
    <row r="218" spans="1:8" x14ac:dyDescent="0.25">
      <c r="A218">
        <v>10770734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</row>
    <row r="219" spans="1:8" x14ac:dyDescent="0.25">
      <c r="A219">
        <v>10770756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</row>
    <row r="220" spans="1:8" x14ac:dyDescent="0.25">
      <c r="A220">
        <v>10772089</v>
      </c>
      <c r="B220">
        <v>-1</v>
      </c>
      <c r="C220">
        <v>0</v>
      </c>
      <c r="D220">
        <v>0</v>
      </c>
      <c r="E220">
        <v>0</v>
      </c>
      <c r="F220">
        <v>1</v>
      </c>
      <c r="G220">
        <v>1</v>
      </c>
      <c r="H220">
        <v>0</v>
      </c>
    </row>
    <row r="221" spans="1:8" x14ac:dyDescent="0.25">
      <c r="A221">
        <v>10772103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</row>
    <row r="222" spans="1:8" x14ac:dyDescent="0.25">
      <c r="A222">
        <v>10772128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</row>
    <row r="223" spans="1:8" x14ac:dyDescent="0.25">
      <c r="A223">
        <v>10772142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</row>
    <row r="224" spans="1:8" x14ac:dyDescent="0.25">
      <c r="A224">
        <v>10772155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</row>
    <row r="225" spans="1:8" x14ac:dyDescent="0.25">
      <c r="A225">
        <v>10772206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</row>
    <row r="226" spans="1:8" x14ac:dyDescent="0.25">
      <c r="A226">
        <v>10772254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</row>
    <row r="227" spans="1:8" x14ac:dyDescent="0.25">
      <c r="A227">
        <v>10772269</v>
      </c>
      <c r="B227">
        <v>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</row>
    <row r="228" spans="1:8" x14ac:dyDescent="0.25">
      <c r="A228">
        <v>10772295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</row>
    <row r="229" spans="1:8" x14ac:dyDescent="0.25">
      <c r="A229">
        <v>10772342</v>
      </c>
      <c r="B229">
        <v>-1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</row>
    <row r="230" spans="1:8" x14ac:dyDescent="0.25">
      <c r="A230">
        <v>10772391</v>
      </c>
      <c r="B230">
        <v>1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</row>
    <row r="231" spans="1:8" x14ac:dyDescent="0.25">
      <c r="A231">
        <v>10773015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</row>
    <row r="232" spans="1:8" x14ac:dyDescent="0.25">
      <c r="A232">
        <v>10775835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</row>
    <row r="233" spans="1:8" x14ac:dyDescent="0.25">
      <c r="A233">
        <v>10777322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</row>
    <row r="234" spans="1:8" x14ac:dyDescent="0.25">
      <c r="A234">
        <v>10779034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</row>
    <row r="235" spans="1:8" x14ac:dyDescent="0.25">
      <c r="A235">
        <v>10779189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</row>
    <row r="236" spans="1:8" x14ac:dyDescent="0.25">
      <c r="A236">
        <v>10779319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</row>
    <row r="237" spans="1:8" x14ac:dyDescent="0.25">
      <c r="A237">
        <v>10779341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</row>
    <row r="238" spans="1:8" x14ac:dyDescent="0.25">
      <c r="A238">
        <v>10779389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</row>
    <row r="239" spans="1:8" x14ac:dyDescent="0.25">
      <c r="A239">
        <v>10779521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25">
      <c r="A240">
        <v>10779554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</row>
    <row r="241" spans="1:8" x14ac:dyDescent="0.25">
      <c r="A241">
        <v>10779586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</row>
    <row r="242" spans="1:8" x14ac:dyDescent="0.25">
      <c r="A242">
        <v>10779671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</row>
    <row r="243" spans="1:8" x14ac:dyDescent="0.25">
      <c r="A243">
        <v>10779755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</row>
    <row r="244" spans="1:8" x14ac:dyDescent="0.25">
      <c r="A244">
        <v>10781146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</row>
    <row r="245" spans="1:8" x14ac:dyDescent="0.25">
      <c r="A245">
        <v>10781600</v>
      </c>
      <c r="B245">
        <v>1</v>
      </c>
      <c r="C245">
        <v>0</v>
      </c>
      <c r="D245">
        <v>0</v>
      </c>
      <c r="E245">
        <v>1</v>
      </c>
      <c r="F245">
        <v>2</v>
      </c>
      <c r="G245">
        <v>6</v>
      </c>
      <c r="H245">
        <v>0</v>
      </c>
    </row>
    <row r="246" spans="1:8" x14ac:dyDescent="0.25">
      <c r="A246">
        <v>10783119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</row>
    <row r="247" spans="1:8" x14ac:dyDescent="0.25">
      <c r="A247">
        <v>10783813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</row>
    <row r="248" spans="1:8" x14ac:dyDescent="0.25">
      <c r="A248">
        <v>10785525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</row>
    <row r="249" spans="1:8" x14ac:dyDescent="0.25">
      <c r="A249">
        <v>10786208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</row>
    <row r="250" spans="1:8" x14ac:dyDescent="0.25">
      <c r="A250">
        <v>10786308</v>
      </c>
      <c r="B250">
        <v>2</v>
      </c>
      <c r="C250">
        <v>0</v>
      </c>
      <c r="D250">
        <v>0</v>
      </c>
      <c r="E250">
        <v>1</v>
      </c>
      <c r="F250">
        <v>16</v>
      </c>
      <c r="G250">
        <v>68</v>
      </c>
      <c r="H250">
        <v>0</v>
      </c>
    </row>
    <row r="251" spans="1:8" x14ac:dyDescent="0.25">
      <c r="A251">
        <v>10787304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</row>
    <row r="252" spans="1:8" x14ac:dyDescent="0.25">
      <c r="A252">
        <v>10788298</v>
      </c>
      <c r="B252">
        <v>40</v>
      </c>
      <c r="C252">
        <v>30</v>
      </c>
      <c r="D252">
        <v>2</v>
      </c>
      <c r="E252">
        <v>5</v>
      </c>
      <c r="F252">
        <v>26</v>
      </c>
      <c r="G252">
        <v>54</v>
      </c>
      <c r="H252">
        <v>6.99</v>
      </c>
    </row>
    <row r="253" spans="1:8" x14ac:dyDescent="0.25">
      <c r="A253">
        <v>10788899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</row>
    <row r="254" spans="1:8" x14ac:dyDescent="0.25">
      <c r="A254">
        <v>10794244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</row>
    <row r="255" spans="1:8" x14ac:dyDescent="0.25">
      <c r="A255">
        <v>10801489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</row>
    <row r="256" spans="1:8" x14ac:dyDescent="0.25">
      <c r="A256">
        <v>10801496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</row>
    <row r="257" spans="1:8" x14ac:dyDescent="0.25">
      <c r="A257">
        <v>10808798</v>
      </c>
      <c r="B257">
        <v>38</v>
      </c>
      <c r="C257">
        <v>0</v>
      </c>
      <c r="D257">
        <v>0</v>
      </c>
      <c r="E257">
        <v>0</v>
      </c>
      <c r="F257">
        <v>9</v>
      </c>
      <c r="G257">
        <v>16</v>
      </c>
      <c r="H257">
        <v>0</v>
      </c>
    </row>
    <row r="258" spans="1:8" x14ac:dyDescent="0.25">
      <c r="A258">
        <v>10811073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</row>
    <row r="259" spans="1:8" x14ac:dyDescent="0.25">
      <c r="A259">
        <v>10811204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</row>
    <row r="260" spans="1:8" x14ac:dyDescent="0.25">
      <c r="A260">
        <v>10811278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</row>
    <row r="261" spans="1:8" x14ac:dyDescent="0.25">
      <c r="A261">
        <v>10811341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 x14ac:dyDescent="0.25">
      <c r="A262">
        <v>10811467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</row>
    <row r="263" spans="1:8" x14ac:dyDescent="0.25">
      <c r="A263">
        <v>10811512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25">
      <c r="A264">
        <v>10811524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 x14ac:dyDescent="0.25">
      <c r="A265">
        <v>10811541</v>
      </c>
      <c r="B265">
        <v>1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 x14ac:dyDescent="0.25">
      <c r="A266">
        <v>10811563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 x14ac:dyDescent="0.25">
      <c r="A267">
        <v>10811588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 x14ac:dyDescent="0.25">
      <c r="A268">
        <v>10811589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25">
      <c r="A269">
        <v>10811640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8" x14ac:dyDescent="0.25">
      <c r="A270">
        <v>10811691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 x14ac:dyDescent="0.25">
      <c r="A271">
        <v>10811736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25">
      <c r="A272">
        <v>10811797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8" x14ac:dyDescent="0.25">
      <c r="A273">
        <v>10811809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8" x14ac:dyDescent="0.25">
      <c r="A274">
        <v>10811850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</row>
    <row r="275" spans="1:8" x14ac:dyDescent="0.25">
      <c r="A275">
        <v>10811867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 x14ac:dyDescent="0.25">
      <c r="A276">
        <v>10811893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8" x14ac:dyDescent="0.25">
      <c r="A277">
        <v>10811968</v>
      </c>
      <c r="B277">
        <v>7</v>
      </c>
      <c r="C277">
        <v>0</v>
      </c>
      <c r="D277">
        <v>0</v>
      </c>
      <c r="E277">
        <v>0</v>
      </c>
      <c r="F277">
        <v>3</v>
      </c>
      <c r="G277">
        <v>6</v>
      </c>
      <c r="H277">
        <v>0</v>
      </c>
    </row>
    <row r="278" spans="1:8" x14ac:dyDescent="0.25">
      <c r="A278">
        <v>10812001</v>
      </c>
      <c r="B278">
        <v>285</v>
      </c>
      <c r="C278">
        <v>16</v>
      </c>
      <c r="D278">
        <v>11</v>
      </c>
      <c r="E278">
        <v>47</v>
      </c>
      <c r="F278">
        <v>161</v>
      </c>
      <c r="G278">
        <v>396</v>
      </c>
      <c r="H278">
        <v>20.85</v>
      </c>
    </row>
    <row r="279" spans="1:8" x14ac:dyDescent="0.25">
      <c r="A279">
        <v>10812020</v>
      </c>
      <c r="B279">
        <v>8</v>
      </c>
      <c r="C279">
        <v>0</v>
      </c>
      <c r="D279">
        <v>2</v>
      </c>
      <c r="E279">
        <v>4</v>
      </c>
      <c r="F279">
        <v>6</v>
      </c>
      <c r="G279">
        <v>20</v>
      </c>
      <c r="H279">
        <v>0.78</v>
      </c>
    </row>
    <row r="280" spans="1:8" x14ac:dyDescent="0.25">
      <c r="A280">
        <v>10812761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</row>
    <row r="281" spans="1:8" x14ac:dyDescent="0.25">
      <c r="A281">
        <v>10812811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 x14ac:dyDescent="0.25">
      <c r="A282">
        <v>10812817</v>
      </c>
      <c r="B282">
        <v>12</v>
      </c>
      <c r="C282">
        <v>0</v>
      </c>
      <c r="D282">
        <v>0</v>
      </c>
      <c r="E282">
        <v>0</v>
      </c>
      <c r="F282">
        <v>3</v>
      </c>
      <c r="G282">
        <v>7</v>
      </c>
      <c r="H282">
        <v>0</v>
      </c>
    </row>
    <row r="283" spans="1:8" x14ac:dyDescent="0.25">
      <c r="A283">
        <v>10813313</v>
      </c>
      <c r="B283">
        <v>3</v>
      </c>
      <c r="C283">
        <v>0</v>
      </c>
      <c r="D283">
        <v>0</v>
      </c>
      <c r="E283">
        <v>1</v>
      </c>
      <c r="F283">
        <v>2</v>
      </c>
      <c r="G283">
        <v>3</v>
      </c>
      <c r="H283">
        <v>0</v>
      </c>
    </row>
    <row r="284" spans="1:8" x14ac:dyDescent="0.25">
      <c r="A284">
        <v>10817707</v>
      </c>
      <c r="B284">
        <v>4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 x14ac:dyDescent="0.25">
      <c r="A285">
        <v>10817719</v>
      </c>
      <c r="B285">
        <v>4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8" x14ac:dyDescent="0.25">
      <c r="A286">
        <v>10818955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 x14ac:dyDescent="0.25">
      <c r="A287">
        <v>10822245</v>
      </c>
      <c r="B287">
        <v>0</v>
      </c>
      <c r="C287">
        <v>0</v>
      </c>
      <c r="D287">
        <v>0</v>
      </c>
      <c r="E287">
        <v>0</v>
      </c>
      <c r="F287">
        <v>1</v>
      </c>
      <c r="G287">
        <v>1</v>
      </c>
      <c r="H287">
        <v>0</v>
      </c>
    </row>
    <row r="288" spans="1:8" x14ac:dyDescent="0.25">
      <c r="A288">
        <v>10825194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 x14ac:dyDescent="0.25">
      <c r="A289">
        <v>10827558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25">
      <c r="A290">
        <v>10828360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 x14ac:dyDescent="0.25">
      <c r="A291">
        <v>10828369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 x14ac:dyDescent="0.25">
      <c r="A292">
        <v>10828371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25">
      <c r="A293">
        <v>10828993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25">
      <c r="A294">
        <v>10833123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25">
      <c r="A295">
        <v>10835864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25">
      <c r="A296">
        <v>10835903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25">
      <c r="A297">
        <v>10835944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25">
      <c r="A298">
        <v>10851452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25">
      <c r="A299">
        <v>10859057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25">
      <c r="A300">
        <v>10859097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25">
      <c r="A301">
        <v>10860108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25">
      <c r="A302">
        <v>10860124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25">
      <c r="A303">
        <v>10860151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25">
      <c r="A304">
        <v>10860162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25">
      <c r="A305">
        <v>10860183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25">
      <c r="A306">
        <v>10860256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25">
      <c r="A307">
        <v>10860295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1</v>
      </c>
      <c r="H307">
        <v>0</v>
      </c>
    </row>
    <row r="308" spans="1:8" x14ac:dyDescent="0.25">
      <c r="A308">
        <v>10860346</v>
      </c>
      <c r="B308">
        <v>1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25">
      <c r="A309">
        <v>10860377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25">
      <c r="A310">
        <v>10861404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25">
      <c r="A311">
        <v>10861422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25">
      <c r="A312">
        <v>10864280</v>
      </c>
      <c r="B312">
        <v>19</v>
      </c>
      <c r="C312">
        <v>52</v>
      </c>
      <c r="D312">
        <v>0</v>
      </c>
      <c r="E312">
        <v>0</v>
      </c>
      <c r="F312">
        <v>15</v>
      </c>
      <c r="G312">
        <v>17</v>
      </c>
      <c r="H312">
        <v>0</v>
      </c>
    </row>
    <row r="313" spans="1:8" x14ac:dyDescent="0.25">
      <c r="A313">
        <v>10875988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25">
      <c r="A314">
        <v>10882004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25">
      <c r="A315">
        <v>10882018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25">
      <c r="A316">
        <v>10888665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25">
      <c r="A317">
        <v>10911876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25">
      <c r="A318">
        <v>10915318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25">
      <c r="A319">
        <v>10918328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25">
      <c r="A320">
        <v>10923035</v>
      </c>
      <c r="B320">
        <v>13</v>
      </c>
      <c r="C320">
        <v>0</v>
      </c>
      <c r="D320">
        <v>1</v>
      </c>
      <c r="E320">
        <v>2</v>
      </c>
      <c r="F320">
        <v>7</v>
      </c>
      <c r="G320">
        <v>21</v>
      </c>
      <c r="H320">
        <v>439.99</v>
      </c>
    </row>
    <row r="321" spans="1:8" x14ac:dyDescent="0.25">
      <c r="A321">
        <v>1092323</v>
      </c>
      <c r="B321">
        <v>27</v>
      </c>
      <c r="C321">
        <v>5</v>
      </c>
      <c r="D321">
        <v>0</v>
      </c>
      <c r="E321">
        <v>6</v>
      </c>
      <c r="F321">
        <v>22</v>
      </c>
      <c r="G321">
        <v>31</v>
      </c>
      <c r="H321">
        <v>0</v>
      </c>
    </row>
    <row r="322" spans="1:8" x14ac:dyDescent="0.25">
      <c r="A322">
        <v>10928585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25">
      <c r="A323">
        <v>10938998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25">
      <c r="A324">
        <v>10939066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25">
      <c r="A325">
        <v>10939081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25">
      <c r="A326">
        <v>10939084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25">
      <c r="A327">
        <v>10939109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25">
      <c r="A328">
        <v>10939538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25">
      <c r="A329">
        <v>10939548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25">
      <c r="A330">
        <v>10939561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25">
      <c r="A331">
        <v>10939572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25">
      <c r="A332">
        <v>10939575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25">
      <c r="A333">
        <v>10939581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25">
      <c r="A334">
        <v>10939613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25">
      <c r="A335">
        <v>10939624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25">
      <c r="A336">
        <v>10939746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25">
      <c r="A337">
        <v>10940082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25">
      <c r="A338">
        <v>10940768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25">
      <c r="A339">
        <v>10942830</v>
      </c>
      <c r="B339">
        <v>3</v>
      </c>
      <c r="C339">
        <v>0</v>
      </c>
      <c r="D339">
        <v>0</v>
      </c>
      <c r="E339">
        <v>0</v>
      </c>
      <c r="F339">
        <v>4</v>
      </c>
      <c r="G339">
        <v>4</v>
      </c>
      <c r="H339">
        <v>0</v>
      </c>
    </row>
    <row r="340" spans="1:8" x14ac:dyDescent="0.25">
      <c r="A340">
        <v>10946344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25">
      <c r="A341">
        <v>10949017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25">
      <c r="A342">
        <v>10949620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25">
      <c r="A343">
        <v>10951033</v>
      </c>
      <c r="B343">
        <v>1</v>
      </c>
      <c r="C343">
        <v>0</v>
      </c>
      <c r="D343">
        <v>0</v>
      </c>
      <c r="E343">
        <v>0</v>
      </c>
      <c r="F343">
        <v>6</v>
      </c>
      <c r="G343">
        <v>13</v>
      </c>
      <c r="H343">
        <v>0</v>
      </c>
    </row>
    <row r="344" spans="1:8" x14ac:dyDescent="0.25">
      <c r="A344">
        <v>10951034</v>
      </c>
      <c r="B344">
        <v>0</v>
      </c>
      <c r="C344">
        <v>0</v>
      </c>
      <c r="D344">
        <v>0</v>
      </c>
      <c r="E344">
        <v>0</v>
      </c>
      <c r="F344">
        <v>3</v>
      </c>
      <c r="G344">
        <v>3</v>
      </c>
      <c r="H344">
        <v>0</v>
      </c>
    </row>
    <row r="345" spans="1:8" x14ac:dyDescent="0.25">
      <c r="A345">
        <v>10957372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25">
      <c r="A346">
        <v>10958306</v>
      </c>
      <c r="B346">
        <v>1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25">
      <c r="A347">
        <v>10959645</v>
      </c>
      <c r="B347">
        <v>0</v>
      </c>
      <c r="C347">
        <v>0</v>
      </c>
      <c r="D347">
        <v>0</v>
      </c>
      <c r="E347">
        <v>2</v>
      </c>
      <c r="F347">
        <v>7</v>
      </c>
      <c r="G347">
        <v>24</v>
      </c>
      <c r="H347">
        <v>0</v>
      </c>
    </row>
    <row r="348" spans="1:8" x14ac:dyDescent="0.25">
      <c r="A348">
        <v>10964359</v>
      </c>
      <c r="B348">
        <v>7</v>
      </c>
      <c r="C348">
        <v>0</v>
      </c>
      <c r="D348">
        <v>0</v>
      </c>
      <c r="E348">
        <v>0</v>
      </c>
      <c r="F348">
        <v>0</v>
      </c>
      <c r="G348">
        <v>2</v>
      </c>
      <c r="H348">
        <v>0</v>
      </c>
    </row>
    <row r="349" spans="1:8" x14ac:dyDescent="0.25">
      <c r="A349">
        <v>10970349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25">
      <c r="A350">
        <v>10974002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25">
      <c r="A351">
        <v>10975963</v>
      </c>
      <c r="B351">
        <v>18</v>
      </c>
      <c r="C351">
        <v>0</v>
      </c>
      <c r="D351">
        <v>0</v>
      </c>
      <c r="E351">
        <v>3</v>
      </c>
      <c r="F351">
        <v>12</v>
      </c>
      <c r="G351">
        <v>22</v>
      </c>
      <c r="H351">
        <v>0</v>
      </c>
    </row>
    <row r="352" spans="1:8" x14ac:dyDescent="0.25">
      <c r="A352">
        <v>10976364</v>
      </c>
      <c r="B352">
        <v>178</v>
      </c>
      <c r="C352">
        <v>0</v>
      </c>
      <c r="D352">
        <v>2</v>
      </c>
      <c r="E352">
        <v>15</v>
      </c>
      <c r="F352">
        <v>61</v>
      </c>
      <c r="G352">
        <v>216</v>
      </c>
      <c r="H352">
        <v>12.494999999999999</v>
      </c>
    </row>
    <row r="353" spans="1:8" x14ac:dyDescent="0.25">
      <c r="A353">
        <v>10976715</v>
      </c>
      <c r="B353">
        <v>390</v>
      </c>
      <c r="C353">
        <v>12</v>
      </c>
      <c r="D353">
        <v>26</v>
      </c>
      <c r="E353">
        <v>101</v>
      </c>
      <c r="F353">
        <v>414</v>
      </c>
      <c r="G353">
        <v>819</v>
      </c>
      <c r="H353">
        <v>7.4935</v>
      </c>
    </row>
    <row r="354" spans="1:8" x14ac:dyDescent="0.25">
      <c r="A354">
        <v>10976725</v>
      </c>
      <c r="B354">
        <v>567</v>
      </c>
      <c r="C354">
        <v>112</v>
      </c>
      <c r="D354">
        <v>36</v>
      </c>
      <c r="E354">
        <v>182</v>
      </c>
      <c r="F354">
        <v>610</v>
      </c>
      <c r="G354">
        <v>1356</v>
      </c>
      <c r="H354">
        <v>7.8125</v>
      </c>
    </row>
    <row r="355" spans="1:8" x14ac:dyDescent="0.25">
      <c r="A355">
        <v>10976737</v>
      </c>
      <c r="B355">
        <v>53</v>
      </c>
      <c r="C355">
        <v>0</v>
      </c>
      <c r="D355">
        <v>0</v>
      </c>
      <c r="E355">
        <v>5</v>
      </c>
      <c r="F355">
        <v>14</v>
      </c>
      <c r="G355">
        <v>26</v>
      </c>
      <c r="H355">
        <v>0</v>
      </c>
    </row>
    <row r="356" spans="1:8" x14ac:dyDescent="0.25">
      <c r="A356">
        <v>10976899</v>
      </c>
      <c r="B356">
        <v>1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25">
      <c r="A357">
        <v>10976934</v>
      </c>
      <c r="B357">
        <v>155</v>
      </c>
      <c r="C357">
        <v>12</v>
      </c>
      <c r="D357">
        <v>2</v>
      </c>
      <c r="E357">
        <v>15</v>
      </c>
      <c r="F357">
        <v>42</v>
      </c>
      <c r="G357">
        <v>121</v>
      </c>
      <c r="H357">
        <v>19.489999999999998</v>
      </c>
    </row>
    <row r="358" spans="1:8" x14ac:dyDescent="0.25">
      <c r="A358">
        <v>10976938</v>
      </c>
      <c r="B358">
        <v>170</v>
      </c>
      <c r="C358">
        <v>0</v>
      </c>
      <c r="D358">
        <v>1</v>
      </c>
      <c r="E358">
        <v>15</v>
      </c>
      <c r="F358">
        <v>98</v>
      </c>
      <c r="G358">
        <v>321</v>
      </c>
      <c r="H358">
        <v>31.99</v>
      </c>
    </row>
    <row r="359" spans="1:8" x14ac:dyDescent="0.25">
      <c r="A359">
        <v>10976960</v>
      </c>
      <c r="B359">
        <v>301</v>
      </c>
      <c r="C359">
        <v>24</v>
      </c>
      <c r="D359">
        <v>4</v>
      </c>
      <c r="E359">
        <v>24</v>
      </c>
      <c r="F359">
        <v>90</v>
      </c>
      <c r="G359">
        <v>214</v>
      </c>
      <c r="H359">
        <v>12.6625</v>
      </c>
    </row>
    <row r="360" spans="1:8" x14ac:dyDescent="0.25">
      <c r="A360">
        <v>10976964</v>
      </c>
      <c r="B360">
        <v>396</v>
      </c>
      <c r="C360">
        <v>16</v>
      </c>
      <c r="D360">
        <v>25</v>
      </c>
      <c r="E360">
        <v>109</v>
      </c>
      <c r="F360">
        <v>345</v>
      </c>
      <c r="G360">
        <v>609</v>
      </c>
      <c r="H360">
        <v>4.7859999999999996</v>
      </c>
    </row>
    <row r="361" spans="1:8" x14ac:dyDescent="0.25">
      <c r="A361">
        <v>10976970</v>
      </c>
      <c r="B361">
        <v>441</v>
      </c>
      <c r="C361">
        <v>16</v>
      </c>
      <c r="D361">
        <v>19</v>
      </c>
      <c r="E361">
        <v>73</v>
      </c>
      <c r="F361">
        <v>286</v>
      </c>
      <c r="G361">
        <v>665</v>
      </c>
      <c r="H361">
        <v>6.3589000000000002</v>
      </c>
    </row>
    <row r="362" spans="1:8" x14ac:dyDescent="0.25">
      <c r="A362">
        <v>10976973</v>
      </c>
      <c r="B362">
        <v>115</v>
      </c>
      <c r="C362">
        <v>0</v>
      </c>
      <c r="D362">
        <v>3</v>
      </c>
      <c r="E362">
        <v>10</v>
      </c>
      <c r="F362">
        <v>67</v>
      </c>
      <c r="G362">
        <v>209</v>
      </c>
      <c r="H362">
        <v>7.99</v>
      </c>
    </row>
    <row r="363" spans="1:8" x14ac:dyDescent="0.25">
      <c r="A363">
        <v>10976976</v>
      </c>
      <c r="B363">
        <v>1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25">
      <c r="A364">
        <v>10976981</v>
      </c>
      <c r="B364">
        <v>525</v>
      </c>
      <c r="C364">
        <v>0</v>
      </c>
      <c r="D364">
        <v>15</v>
      </c>
      <c r="E364">
        <v>53</v>
      </c>
      <c r="F364">
        <v>176</v>
      </c>
      <c r="G364">
        <v>459</v>
      </c>
      <c r="H364">
        <v>3.7919999999999998</v>
      </c>
    </row>
    <row r="365" spans="1:8" x14ac:dyDescent="0.25">
      <c r="A365">
        <v>10976989</v>
      </c>
      <c r="B365">
        <v>294</v>
      </c>
      <c r="C365">
        <v>32</v>
      </c>
      <c r="D365">
        <v>20</v>
      </c>
      <c r="E365">
        <v>82</v>
      </c>
      <c r="F365">
        <v>269</v>
      </c>
      <c r="G365">
        <v>531</v>
      </c>
      <c r="H365">
        <v>4.8594999999999997</v>
      </c>
    </row>
    <row r="366" spans="1:8" x14ac:dyDescent="0.25">
      <c r="A366">
        <v>10976990</v>
      </c>
      <c r="B366">
        <v>77</v>
      </c>
      <c r="C366">
        <v>0</v>
      </c>
      <c r="D366">
        <v>2</v>
      </c>
      <c r="E366">
        <v>21</v>
      </c>
      <c r="F366">
        <v>68</v>
      </c>
      <c r="G366">
        <v>136</v>
      </c>
      <c r="H366">
        <v>6.7750000000000004</v>
      </c>
    </row>
    <row r="367" spans="1:8" x14ac:dyDescent="0.25">
      <c r="A367">
        <v>10976993</v>
      </c>
      <c r="B367">
        <v>37</v>
      </c>
      <c r="C367">
        <v>0</v>
      </c>
      <c r="D367">
        <v>1</v>
      </c>
      <c r="E367">
        <v>6</v>
      </c>
      <c r="F367">
        <v>14</v>
      </c>
      <c r="G367">
        <v>45</v>
      </c>
      <c r="H367">
        <v>5.85</v>
      </c>
    </row>
    <row r="368" spans="1:8" x14ac:dyDescent="0.25">
      <c r="A368">
        <v>10976996</v>
      </c>
      <c r="B368">
        <v>487</v>
      </c>
      <c r="C368">
        <v>36</v>
      </c>
      <c r="D368">
        <v>9</v>
      </c>
      <c r="E368">
        <v>56</v>
      </c>
      <c r="F368">
        <v>178</v>
      </c>
      <c r="G368">
        <v>363</v>
      </c>
      <c r="H368">
        <v>11.976699999999999</v>
      </c>
    </row>
    <row r="369" spans="1:8" x14ac:dyDescent="0.25">
      <c r="A369">
        <v>10977001</v>
      </c>
      <c r="B369">
        <v>181</v>
      </c>
      <c r="C369">
        <v>0</v>
      </c>
      <c r="D369">
        <v>3</v>
      </c>
      <c r="E369">
        <v>10</v>
      </c>
      <c r="F369">
        <v>38</v>
      </c>
      <c r="G369">
        <v>93</v>
      </c>
      <c r="H369">
        <v>5.0933000000000002</v>
      </c>
    </row>
    <row r="370" spans="1:8" x14ac:dyDescent="0.25">
      <c r="A370">
        <v>10977002</v>
      </c>
      <c r="B370">
        <v>174</v>
      </c>
      <c r="C370">
        <v>0</v>
      </c>
      <c r="D370">
        <v>1</v>
      </c>
      <c r="E370">
        <v>6</v>
      </c>
      <c r="F370">
        <v>37</v>
      </c>
      <c r="G370">
        <v>131</v>
      </c>
      <c r="H370">
        <v>3.19</v>
      </c>
    </row>
    <row r="371" spans="1:8" x14ac:dyDescent="0.25">
      <c r="A371">
        <v>10977014</v>
      </c>
      <c r="B371">
        <v>124</v>
      </c>
      <c r="C371">
        <v>16</v>
      </c>
      <c r="D371">
        <v>2</v>
      </c>
      <c r="E371">
        <v>17</v>
      </c>
      <c r="F371">
        <v>71</v>
      </c>
      <c r="G371">
        <v>151</v>
      </c>
      <c r="H371">
        <v>3.99</v>
      </c>
    </row>
    <row r="372" spans="1:8" x14ac:dyDescent="0.25">
      <c r="A372">
        <v>10977018</v>
      </c>
      <c r="B372">
        <v>276</v>
      </c>
      <c r="C372">
        <v>0</v>
      </c>
      <c r="D372">
        <v>2</v>
      </c>
      <c r="E372">
        <v>10</v>
      </c>
      <c r="F372">
        <v>61</v>
      </c>
      <c r="G372">
        <v>176</v>
      </c>
      <c r="H372">
        <v>4.99</v>
      </c>
    </row>
    <row r="373" spans="1:8" x14ac:dyDescent="0.25">
      <c r="A373">
        <v>10977078</v>
      </c>
      <c r="B373">
        <v>130</v>
      </c>
      <c r="C373">
        <v>30</v>
      </c>
      <c r="D373">
        <v>5</v>
      </c>
      <c r="E373">
        <v>29</v>
      </c>
      <c r="F373">
        <v>78</v>
      </c>
      <c r="G373">
        <v>161</v>
      </c>
      <c r="H373">
        <v>2.79</v>
      </c>
    </row>
    <row r="374" spans="1:8" x14ac:dyDescent="0.25">
      <c r="A374">
        <v>10977107</v>
      </c>
      <c r="B374">
        <v>100</v>
      </c>
      <c r="C374">
        <v>0</v>
      </c>
      <c r="D374">
        <v>3</v>
      </c>
      <c r="E374">
        <v>9</v>
      </c>
      <c r="F374">
        <v>29</v>
      </c>
      <c r="G374">
        <v>85</v>
      </c>
      <c r="H374">
        <v>2.79</v>
      </c>
    </row>
    <row r="375" spans="1:8" x14ac:dyDescent="0.25">
      <c r="A375">
        <v>10977117</v>
      </c>
      <c r="B375">
        <v>62</v>
      </c>
      <c r="C375">
        <v>0</v>
      </c>
      <c r="D375">
        <v>1</v>
      </c>
      <c r="E375">
        <v>5</v>
      </c>
      <c r="F375">
        <v>9</v>
      </c>
      <c r="G375">
        <v>16</v>
      </c>
      <c r="H375">
        <v>4.99</v>
      </c>
    </row>
    <row r="376" spans="1:8" x14ac:dyDescent="0.25">
      <c r="A376">
        <v>10977127</v>
      </c>
      <c r="B376">
        <v>411</v>
      </c>
      <c r="C376">
        <v>16</v>
      </c>
      <c r="D376">
        <v>16</v>
      </c>
      <c r="E376">
        <v>65</v>
      </c>
      <c r="F376">
        <v>209</v>
      </c>
      <c r="G376">
        <v>441</v>
      </c>
      <c r="H376">
        <v>4.9462999999999999</v>
      </c>
    </row>
    <row r="377" spans="1:8" x14ac:dyDescent="0.25">
      <c r="A377">
        <v>10977170</v>
      </c>
      <c r="B377">
        <v>49</v>
      </c>
      <c r="C377">
        <v>0</v>
      </c>
      <c r="D377">
        <v>1</v>
      </c>
      <c r="E377">
        <v>2</v>
      </c>
      <c r="F377">
        <v>11</v>
      </c>
      <c r="G377">
        <v>32</v>
      </c>
      <c r="H377">
        <v>12.99</v>
      </c>
    </row>
    <row r="378" spans="1:8" x14ac:dyDescent="0.25">
      <c r="A378">
        <v>10977179</v>
      </c>
      <c r="B378">
        <v>192</v>
      </c>
      <c r="C378">
        <v>0</v>
      </c>
      <c r="D378">
        <v>0</v>
      </c>
      <c r="E378">
        <v>4</v>
      </c>
      <c r="F378">
        <v>35</v>
      </c>
      <c r="G378">
        <v>105</v>
      </c>
      <c r="H378">
        <v>0</v>
      </c>
    </row>
    <row r="379" spans="1:8" x14ac:dyDescent="0.25">
      <c r="A379">
        <v>10977181</v>
      </c>
      <c r="B379">
        <v>289</v>
      </c>
      <c r="C379">
        <v>16</v>
      </c>
      <c r="D379">
        <v>5</v>
      </c>
      <c r="E379">
        <v>15</v>
      </c>
      <c r="F379">
        <v>64</v>
      </c>
      <c r="G379">
        <v>138</v>
      </c>
      <c r="H379">
        <v>8.99</v>
      </c>
    </row>
    <row r="380" spans="1:8" x14ac:dyDescent="0.25">
      <c r="A380">
        <v>10977187</v>
      </c>
      <c r="B380">
        <v>378</v>
      </c>
      <c r="C380">
        <v>12</v>
      </c>
      <c r="D380">
        <v>8</v>
      </c>
      <c r="E380">
        <v>25</v>
      </c>
      <c r="F380">
        <v>69</v>
      </c>
      <c r="G380">
        <v>139</v>
      </c>
      <c r="H380">
        <v>14.99</v>
      </c>
    </row>
    <row r="381" spans="1:8" x14ac:dyDescent="0.25">
      <c r="A381">
        <v>10977189</v>
      </c>
      <c r="B381">
        <v>22</v>
      </c>
      <c r="C381">
        <v>0</v>
      </c>
      <c r="D381">
        <v>1</v>
      </c>
      <c r="E381">
        <v>7</v>
      </c>
      <c r="F381">
        <v>29</v>
      </c>
      <c r="G381">
        <v>93</v>
      </c>
      <c r="H381">
        <v>12.5</v>
      </c>
    </row>
    <row r="382" spans="1:8" x14ac:dyDescent="0.25">
      <c r="A382">
        <v>10977192</v>
      </c>
      <c r="B382">
        <v>17</v>
      </c>
      <c r="C382">
        <v>0</v>
      </c>
      <c r="D382">
        <v>0</v>
      </c>
      <c r="E382">
        <v>0</v>
      </c>
      <c r="F382">
        <v>0</v>
      </c>
      <c r="G382">
        <v>69</v>
      </c>
      <c r="H382">
        <v>0</v>
      </c>
    </row>
    <row r="383" spans="1:8" x14ac:dyDescent="0.25">
      <c r="A383">
        <v>10977193</v>
      </c>
      <c r="B383">
        <v>33</v>
      </c>
      <c r="C383">
        <v>0</v>
      </c>
      <c r="D383">
        <v>0</v>
      </c>
      <c r="E383">
        <v>0</v>
      </c>
      <c r="F383">
        <v>14</v>
      </c>
      <c r="G383">
        <v>343</v>
      </c>
      <c r="H383">
        <v>0</v>
      </c>
    </row>
    <row r="384" spans="1:8" x14ac:dyDescent="0.25">
      <c r="A384">
        <v>10977195</v>
      </c>
      <c r="B384">
        <v>28</v>
      </c>
      <c r="C384">
        <v>0</v>
      </c>
      <c r="D384">
        <v>0</v>
      </c>
      <c r="E384">
        <v>4</v>
      </c>
      <c r="F384">
        <v>10</v>
      </c>
      <c r="G384">
        <v>65</v>
      </c>
      <c r="H384">
        <v>0</v>
      </c>
    </row>
    <row r="385" spans="1:8" x14ac:dyDescent="0.25">
      <c r="A385">
        <v>10977196</v>
      </c>
      <c r="B385">
        <v>2</v>
      </c>
      <c r="C385">
        <v>0</v>
      </c>
      <c r="D385">
        <v>0</v>
      </c>
      <c r="E385">
        <v>0</v>
      </c>
      <c r="F385">
        <v>0</v>
      </c>
      <c r="G385">
        <v>5</v>
      </c>
      <c r="H385">
        <v>0</v>
      </c>
    </row>
    <row r="386" spans="1:8" x14ac:dyDescent="0.25">
      <c r="A386">
        <v>10977197</v>
      </c>
      <c r="B386">
        <v>1</v>
      </c>
      <c r="C386">
        <v>0</v>
      </c>
      <c r="D386">
        <v>0</v>
      </c>
      <c r="E386">
        <v>0</v>
      </c>
      <c r="F386">
        <v>0</v>
      </c>
      <c r="G386">
        <v>9</v>
      </c>
      <c r="H386">
        <v>0</v>
      </c>
    </row>
    <row r="387" spans="1:8" x14ac:dyDescent="0.25">
      <c r="A387">
        <v>10977207</v>
      </c>
      <c r="B387">
        <v>3</v>
      </c>
      <c r="C387">
        <v>0</v>
      </c>
      <c r="D387">
        <v>0</v>
      </c>
      <c r="E387">
        <v>0</v>
      </c>
      <c r="F387">
        <v>1</v>
      </c>
      <c r="G387">
        <v>3</v>
      </c>
      <c r="H387">
        <v>0</v>
      </c>
    </row>
    <row r="388" spans="1:8" x14ac:dyDescent="0.25">
      <c r="A388">
        <v>10977762</v>
      </c>
      <c r="B388">
        <v>103</v>
      </c>
      <c r="C388">
        <v>0</v>
      </c>
      <c r="D388">
        <v>2</v>
      </c>
      <c r="E388">
        <v>9</v>
      </c>
      <c r="F388">
        <v>64</v>
      </c>
      <c r="G388">
        <v>183</v>
      </c>
      <c r="H388">
        <v>5.99</v>
      </c>
    </row>
    <row r="389" spans="1:8" x14ac:dyDescent="0.25">
      <c r="A389">
        <v>10981775</v>
      </c>
      <c r="B389">
        <v>13</v>
      </c>
      <c r="C389">
        <v>0</v>
      </c>
      <c r="D389">
        <v>0</v>
      </c>
      <c r="E389">
        <v>2</v>
      </c>
      <c r="F389">
        <v>20</v>
      </c>
      <c r="G389">
        <v>139</v>
      </c>
      <c r="H389">
        <v>0</v>
      </c>
    </row>
    <row r="390" spans="1:8" x14ac:dyDescent="0.25">
      <c r="A390">
        <v>10981793</v>
      </c>
      <c r="B390">
        <v>35</v>
      </c>
      <c r="C390">
        <v>0</v>
      </c>
      <c r="D390">
        <v>0</v>
      </c>
      <c r="E390">
        <v>1</v>
      </c>
      <c r="F390">
        <v>9</v>
      </c>
      <c r="G390">
        <v>150</v>
      </c>
      <c r="H390">
        <v>0</v>
      </c>
    </row>
    <row r="391" spans="1:8" x14ac:dyDescent="0.25">
      <c r="A391">
        <v>10981811</v>
      </c>
      <c r="B391">
        <v>52</v>
      </c>
      <c r="C391">
        <v>0</v>
      </c>
      <c r="D391">
        <v>2</v>
      </c>
      <c r="E391">
        <v>10</v>
      </c>
      <c r="F391">
        <v>77</v>
      </c>
      <c r="G391">
        <v>545</v>
      </c>
      <c r="H391">
        <v>14.99</v>
      </c>
    </row>
    <row r="392" spans="1:8" x14ac:dyDescent="0.25">
      <c r="A392">
        <v>10981819</v>
      </c>
      <c r="B392">
        <v>125</v>
      </c>
      <c r="C392">
        <v>0</v>
      </c>
      <c r="D392">
        <v>6</v>
      </c>
      <c r="E392">
        <v>36</v>
      </c>
      <c r="F392">
        <v>151</v>
      </c>
      <c r="G392">
        <v>378</v>
      </c>
      <c r="H392">
        <v>29.49</v>
      </c>
    </row>
    <row r="393" spans="1:8" x14ac:dyDescent="0.25">
      <c r="A393">
        <v>10981827</v>
      </c>
      <c r="B393">
        <v>37</v>
      </c>
      <c r="C393">
        <v>0</v>
      </c>
      <c r="D393">
        <v>1</v>
      </c>
      <c r="E393">
        <v>2</v>
      </c>
      <c r="F393">
        <v>5</v>
      </c>
      <c r="G393">
        <v>19</v>
      </c>
      <c r="H393">
        <v>34.99</v>
      </c>
    </row>
    <row r="394" spans="1:8" x14ac:dyDescent="0.25">
      <c r="A394">
        <v>10981828</v>
      </c>
      <c r="B394">
        <v>55</v>
      </c>
      <c r="C394">
        <v>0</v>
      </c>
      <c r="D394">
        <v>9</v>
      </c>
      <c r="E394">
        <v>49</v>
      </c>
      <c r="F394">
        <v>208</v>
      </c>
      <c r="G394">
        <v>509</v>
      </c>
      <c r="H394">
        <v>22.187799999999999</v>
      </c>
    </row>
    <row r="395" spans="1:8" x14ac:dyDescent="0.25">
      <c r="A395">
        <v>10981832</v>
      </c>
      <c r="B395">
        <v>158</v>
      </c>
      <c r="C395">
        <v>0</v>
      </c>
      <c r="D395">
        <v>1</v>
      </c>
      <c r="E395">
        <v>5</v>
      </c>
      <c r="F395">
        <v>41</v>
      </c>
      <c r="G395">
        <v>96</v>
      </c>
      <c r="H395">
        <v>24.99</v>
      </c>
    </row>
    <row r="396" spans="1:8" x14ac:dyDescent="0.25">
      <c r="A396">
        <v>10981843</v>
      </c>
      <c r="B396">
        <v>174</v>
      </c>
      <c r="C396">
        <v>8</v>
      </c>
      <c r="D396">
        <v>-1</v>
      </c>
      <c r="E396">
        <v>9</v>
      </c>
      <c r="F396">
        <v>44</v>
      </c>
      <c r="G396">
        <v>78</v>
      </c>
      <c r="H396">
        <v>17.989999999999998</v>
      </c>
    </row>
    <row r="397" spans="1:8" x14ac:dyDescent="0.25">
      <c r="A397">
        <v>10981869</v>
      </c>
      <c r="B397">
        <v>272</v>
      </c>
      <c r="C397">
        <v>0</v>
      </c>
      <c r="D397">
        <v>4</v>
      </c>
      <c r="E397">
        <v>17</v>
      </c>
      <c r="F397">
        <v>49</v>
      </c>
      <c r="G397">
        <v>103</v>
      </c>
      <c r="H397">
        <v>24.99</v>
      </c>
    </row>
    <row r="398" spans="1:8" x14ac:dyDescent="0.25">
      <c r="A398">
        <v>10981914</v>
      </c>
      <c r="B398">
        <v>82</v>
      </c>
      <c r="C398">
        <v>0</v>
      </c>
      <c r="D398">
        <v>2</v>
      </c>
      <c r="E398">
        <v>9</v>
      </c>
      <c r="F398">
        <v>45</v>
      </c>
      <c r="G398">
        <v>150</v>
      </c>
      <c r="H398">
        <v>14.99</v>
      </c>
    </row>
    <row r="399" spans="1:8" x14ac:dyDescent="0.25">
      <c r="A399">
        <v>10981935</v>
      </c>
      <c r="B399">
        <v>37</v>
      </c>
      <c r="C399">
        <v>0</v>
      </c>
      <c r="D399">
        <v>0</v>
      </c>
      <c r="E399">
        <v>1</v>
      </c>
      <c r="F399">
        <v>11</v>
      </c>
      <c r="G399">
        <v>430</v>
      </c>
      <c r="H399">
        <v>0</v>
      </c>
    </row>
    <row r="400" spans="1:8" x14ac:dyDescent="0.25">
      <c r="A400">
        <v>10981952</v>
      </c>
      <c r="B400">
        <v>1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25">
      <c r="A401">
        <v>10981955</v>
      </c>
      <c r="B401">
        <v>12</v>
      </c>
      <c r="C401">
        <v>0</v>
      </c>
      <c r="D401">
        <v>0</v>
      </c>
      <c r="E401">
        <v>1</v>
      </c>
      <c r="F401">
        <v>5</v>
      </c>
      <c r="G401">
        <v>17</v>
      </c>
      <c r="H401">
        <v>0</v>
      </c>
    </row>
    <row r="402" spans="1:8" x14ac:dyDescent="0.25">
      <c r="A402">
        <v>10981961</v>
      </c>
      <c r="B402">
        <v>19</v>
      </c>
      <c r="C402">
        <v>0</v>
      </c>
      <c r="D402">
        <v>0</v>
      </c>
      <c r="E402">
        <v>0</v>
      </c>
      <c r="F402">
        <v>15</v>
      </c>
      <c r="G402">
        <v>68</v>
      </c>
      <c r="H402">
        <v>0</v>
      </c>
    </row>
    <row r="403" spans="1:8" x14ac:dyDescent="0.25">
      <c r="A403">
        <v>10981990</v>
      </c>
      <c r="B403">
        <v>277</v>
      </c>
      <c r="C403">
        <v>15</v>
      </c>
      <c r="D403">
        <v>14</v>
      </c>
      <c r="E403">
        <v>52</v>
      </c>
      <c r="F403">
        <v>149</v>
      </c>
      <c r="G403">
        <v>370</v>
      </c>
      <c r="H403">
        <v>16.715699999999998</v>
      </c>
    </row>
    <row r="404" spans="1:8" x14ac:dyDescent="0.25">
      <c r="A404">
        <v>10982008</v>
      </c>
      <c r="B404">
        <v>142</v>
      </c>
      <c r="C404">
        <v>0</v>
      </c>
      <c r="D404">
        <v>19</v>
      </c>
      <c r="E404">
        <v>61</v>
      </c>
      <c r="F404">
        <v>224</v>
      </c>
      <c r="G404">
        <v>507</v>
      </c>
      <c r="H404">
        <v>35.391599999999997</v>
      </c>
    </row>
    <row r="405" spans="1:8" x14ac:dyDescent="0.25">
      <c r="A405">
        <v>10982024</v>
      </c>
      <c r="B405">
        <v>-1</v>
      </c>
      <c r="C405">
        <v>0</v>
      </c>
      <c r="D405">
        <v>0</v>
      </c>
      <c r="E405">
        <v>1</v>
      </c>
      <c r="F405">
        <v>8</v>
      </c>
      <c r="G405">
        <v>32</v>
      </c>
      <c r="H405">
        <v>0</v>
      </c>
    </row>
    <row r="406" spans="1:8" x14ac:dyDescent="0.25">
      <c r="A406">
        <v>10982050</v>
      </c>
      <c r="B406">
        <v>1122</v>
      </c>
      <c r="C406">
        <v>380</v>
      </c>
      <c r="D406">
        <v>143</v>
      </c>
      <c r="E406">
        <v>610</v>
      </c>
      <c r="F406">
        <v>1922</v>
      </c>
      <c r="G406">
        <v>4368</v>
      </c>
      <c r="H406">
        <v>17.549700000000001</v>
      </c>
    </row>
    <row r="407" spans="1:8" x14ac:dyDescent="0.25">
      <c r="A407">
        <v>10982066</v>
      </c>
      <c r="B407">
        <v>5</v>
      </c>
      <c r="C407">
        <v>0</v>
      </c>
      <c r="D407">
        <v>0</v>
      </c>
      <c r="E407">
        <v>0</v>
      </c>
      <c r="F407">
        <v>3</v>
      </c>
      <c r="G407">
        <v>4</v>
      </c>
      <c r="H407">
        <v>0</v>
      </c>
    </row>
    <row r="408" spans="1:8" x14ac:dyDescent="0.25">
      <c r="A408">
        <v>10982135</v>
      </c>
      <c r="B408">
        <v>10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25">
      <c r="A409">
        <v>10982151</v>
      </c>
      <c r="B409">
        <v>0</v>
      </c>
      <c r="C409">
        <v>0</v>
      </c>
      <c r="D409">
        <v>0</v>
      </c>
      <c r="E409">
        <v>0</v>
      </c>
      <c r="F409">
        <v>1</v>
      </c>
      <c r="G409">
        <v>1</v>
      </c>
      <c r="H409">
        <v>0</v>
      </c>
    </row>
    <row r="410" spans="1:8" x14ac:dyDescent="0.25">
      <c r="A410">
        <v>10982153</v>
      </c>
      <c r="B410">
        <v>460</v>
      </c>
      <c r="C410">
        <v>16</v>
      </c>
      <c r="D410">
        <v>38</v>
      </c>
      <c r="E410">
        <v>150</v>
      </c>
      <c r="F410">
        <v>501</v>
      </c>
      <c r="G410">
        <v>1191</v>
      </c>
      <c r="H410">
        <v>10.506600000000001</v>
      </c>
    </row>
    <row r="411" spans="1:8" x14ac:dyDescent="0.25">
      <c r="A411">
        <v>10982161</v>
      </c>
      <c r="B411">
        <v>84</v>
      </c>
      <c r="C411">
        <v>6</v>
      </c>
      <c r="D411">
        <v>4</v>
      </c>
      <c r="E411">
        <v>7</v>
      </c>
      <c r="F411">
        <v>44</v>
      </c>
      <c r="G411">
        <v>134</v>
      </c>
      <c r="H411">
        <v>11.99</v>
      </c>
    </row>
    <row r="412" spans="1:8" x14ac:dyDescent="0.25">
      <c r="A412">
        <v>10982163</v>
      </c>
      <c r="B412">
        <v>20</v>
      </c>
      <c r="C412">
        <v>0</v>
      </c>
      <c r="D412">
        <v>0</v>
      </c>
      <c r="E412">
        <v>0</v>
      </c>
      <c r="F412">
        <v>1</v>
      </c>
      <c r="G412">
        <v>1</v>
      </c>
      <c r="H412">
        <v>0</v>
      </c>
    </row>
    <row r="413" spans="1:8" x14ac:dyDescent="0.25">
      <c r="A413">
        <v>10985168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25">
      <c r="A414">
        <v>10987848</v>
      </c>
      <c r="B414">
        <v>16</v>
      </c>
      <c r="C414">
        <v>0</v>
      </c>
      <c r="D414">
        <v>1</v>
      </c>
      <c r="E414">
        <v>1</v>
      </c>
      <c r="F414">
        <v>2</v>
      </c>
      <c r="G414">
        <v>5</v>
      </c>
      <c r="H414">
        <v>1879.99</v>
      </c>
    </row>
    <row r="415" spans="1:8" x14ac:dyDescent="0.25">
      <c r="A415">
        <v>10999458</v>
      </c>
      <c r="B415">
        <v>26</v>
      </c>
      <c r="C415">
        <v>0</v>
      </c>
      <c r="D415">
        <v>0</v>
      </c>
      <c r="E415">
        <v>2</v>
      </c>
      <c r="F415">
        <v>6</v>
      </c>
      <c r="G415">
        <v>6</v>
      </c>
      <c r="H415">
        <v>0</v>
      </c>
    </row>
    <row r="416" spans="1:8" x14ac:dyDescent="0.25">
      <c r="A416">
        <v>10999460</v>
      </c>
      <c r="B416">
        <v>0</v>
      </c>
      <c r="C416">
        <v>0</v>
      </c>
      <c r="D416">
        <v>0</v>
      </c>
      <c r="E416">
        <v>0</v>
      </c>
      <c r="F416">
        <v>17</v>
      </c>
      <c r="G416">
        <v>34</v>
      </c>
      <c r="H416">
        <v>0</v>
      </c>
    </row>
    <row r="417" spans="1:8" x14ac:dyDescent="0.25">
      <c r="A417">
        <v>11002361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25">
      <c r="A418">
        <v>11012121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25">
      <c r="A419">
        <v>11012768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25">
      <c r="A420">
        <v>11023329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25">
      <c r="A421">
        <v>11023499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25">
      <c r="A422">
        <v>11026637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25">
      <c r="A423">
        <v>11031752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25">
      <c r="A424">
        <v>11049536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25">
      <c r="A425">
        <v>11049544</v>
      </c>
      <c r="B425">
        <v>123</v>
      </c>
      <c r="C425">
        <v>0</v>
      </c>
      <c r="D425">
        <v>2</v>
      </c>
      <c r="E425">
        <v>6</v>
      </c>
      <c r="F425">
        <v>36</v>
      </c>
      <c r="G425">
        <v>142</v>
      </c>
      <c r="H425">
        <v>103.355</v>
      </c>
    </row>
    <row r="426" spans="1:8" x14ac:dyDescent="0.25">
      <c r="A426">
        <v>11057244</v>
      </c>
      <c r="B426">
        <v>509</v>
      </c>
      <c r="C426">
        <v>61</v>
      </c>
      <c r="D426">
        <v>70</v>
      </c>
      <c r="E426">
        <v>263</v>
      </c>
      <c r="F426">
        <v>896</v>
      </c>
      <c r="G426">
        <v>1858</v>
      </c>
      <c r="H426">
        <v>28.9803</v>
      </c>
    </row>
    <row r="427" spans="1:8" x14ac:dyDescent="0.25">
      <c r="A427">
        <v>11057269</v>
      </c>
      <c r="B427">
        <v>329</v>
      </c>
      <c r="C427">
        <v>25</v>
      </c>
      <c r="D427">
        <v>33</v>
      </c>
      <c r="E427">
        <v>159</v>
      </c>
      <c r="F427">
        <v>575</v>
      </c>
      <c r="G427">
        <v>1216</v>
      </c>
      <c r="H427">
        <v>37.247300000000003</v>
      </c>
    </row>
    <row r="428" spans="1:8" x14ac:dyDescent="0.25">
      <c r="A428">
        <v>11058817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25">
      <c r="A429">
        <v>11066367</v>
      </c>
      <c r="B429">
        <v>119</v>
      </c>
      <c r="C429">
        <v>0</v>
      </c>
      <c r="D429">
        <v>4</v>
      </c>
      <c r="E429">
        <v>14</v>
      </c>
      <c r="F429">
        <v>56</v>
      </c>
      <c r="G429">
        <v>145</v>
      </c>
      <c r="H429">
        <v>42.674999999999997</v>
      </c>
    </row>
    <row r="430" spans="1:8" x14ac:dyDescent="0.25">
      <c r="A430">
        <v>11066373</v>
      </c>
      <c r="B430">
        <v>197</v>
      </c>
      <c r="C430">
        <v>36</v>
      </c>
      <c r="D430">
        <v>16</v>
      </c>
      <c r="E430">
        <v>48</v>
      </c>
      <c r="F430">
        <v>113</v>
      </c>
      <c r="G430">
        <v>332</v>
      </c>
      <c r="H430">
        <v>32.583100000000002</v>
      </c>
    </row>
    <row r="431" spans="1:8" x14ac:dyDescent="0.25">
      <c r="A431">
        <v>11071848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25">
      <c r="A432">
        <v>11071862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25">
      <c r="A433">
        <v>11071864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25">
      <c r="A434">
        <v>11072818</v>
      </c>
      <c r="B434">
        <v>30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25">
      <c r="A435">
        <v>11073446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25">
      <c r="A436">
        <v>11073510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25">
      <c r="A437">
        <v>11073610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25">
      <c r="A438">
        <v>11082187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25">
      <c r="A439">
        <v>11094302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25">
      <c r="A440">
        <v>11104693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25">
      <c r="A441">
        <v>11106298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25">
      <c r="A442">
        <v>11106815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25">
      <c r="A443">
        <v>11106817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25">
      <c r="A444">
        <v>11108857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25">
      <c r="A445">
        <v>11114819</v>
      </c>
      <c r="B445">
        <v>19</v>
      </c>
      <c r="C445">
        <v>0</v>
      </c>
      <c r="D445">
        <v>3</v>
      </c>
      <c r="E445">
        <v>12</v>
      </c>
      <c r="F445">
        <v>41</v>
      </c>
      <c r="G445">
        <v>74</v>
      </c>
      <c r="H445">
        <v>9.99</v>
      </c>
    </row>
    <row r="446" spans="1:8" x14ac:dyDescent="0.25">
      <c r="A446">
        <v>11114820</v>
      </c>
      <c r="B446">
        <v>13</v>
      </c>
      <c r="C446">
        <v>0</v>
      </c>
      <c r="D446">
        <v>2</v>
      </c>
      <c r="E446">
        <v>7</v>
      </c>
      <c r="F446">
        <v>20</v>
      </c>
      <c r="G446">
        <v>30</v>
      </c>
      <c r="H446">
        <v>9.99</v>
      </c>
    </row>
    <row r="447" spans="1:8" x14ac:dyDescent="0.25">
      <c r="A447">
        <v>11114821</v>
      </c>
      <c r="B447">
        <v>63</v>
      </c>
      <c r="C447">
        <v>0</v>
      </c>
      <c r="D447">
        <v>6</v>
      </c>
      <c r="E447">
        <v>26</v>
      </c>
      <c r="F447">
        <v>105</v>
      </c>
      <c r="G447">
        <v>209</v>
      </c>
      <c r="H447">
        <v>7.1216999999999997</v>
      </c>
    </row>
    <row r="448" spans="1:8" x14ac:dyDescent="0.25">
      <c r="A448">
        <v>11114823</v>
      </c>
      <c r="B448">
        <v>49</v>
      </c>
      <c r="C448">
        <v>0</v>
      </c>
      <c r="D448">
        <v>5</v>
      </c>
      <c r="E448">
        <v>12</v>
      </c>
      <c r="F448">
        <v>48</v>
      </c>
      <c r="G448">
        <v>118</v>
      </c>
      <c r="H448">
        <v>7.9480000000000004</v>
      </c>
    </row>
    <row r="449" spans="1:8" x14ac:dyDescent="0.25">
      <c r="A449">
        <v>11114825</v>
      </c>
      <c r="B449">
        <v>165</v>
      </c>
      <c r="C449">
        <v>0</v>
      </c>
      <c r="D449">
        <v>20</v>
      </c>
      <c r="E449">
        <v>79</v>
      </c>
      <c r="F449">
        <v>277</v>
      </c>
      <c r="G449">
        <v>575</v>
      </c>
      <c r="H449">
        <v>7.5125000000000002</v>
      </c>
    </row>
    <row r="450" spans="1:8" x14ac:dyDescent="0.25">
      <c r="A450">
        <v>11114826</v>
      </c>
      <c r="B450">
        <v>80</v>
      </c>
      <c r="C450">
        <v>0</v>
      </c>
      <c r="D450">
        <v>0</v>
      </c>
      <c r="E450">
        <v>22</v>
      </c>
      <c r="F450">
        <v>91</v>
      </c>
      <c r="G450">
        <v>256</v>
      </c>
      <c r="H450">
        <v>0</v>
      </c>
    </row>
    <row r="451" spans="1:8" x14ac:dyDescent="0.25">
      <c r="A451">
        <v>11114827</v>
      </c>
      <c r="B451">
        <v>99</v>
      </c>
      <c r="C451">
        <v>0</v>
      </c>
      <c r="D451">
        <v>4</v>
      </c>
      <c r="E451">
        <v>21</v>
      </c>
      <c r="F451">
        <v>96</v>
      </c>
      <c r="G451">
        <v>192</v>
      </c>
      <c r="H451">
        <v>7.84</v>
      </c>
    </row>
    <row r="452" spans="1:8" x14ac:dyDescent="0.25">
      <c r="A452">
        <v>11119510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25">
      <c r="A453">
        <v>11146518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25">
      <c r="A454">
        <v>11166589</v>
      </c>
      <c r="B454">
        <v>102</v>
      </c>
      <c r="C454">
        <v>24</v>
      </c>
      <c r="D454">
        <v>7</v>
      </c>
      <c r="E454">
        <v>15</v>
      </c>
      <c r="F454">
        <v>49</v>
      </c>
      <c r="G454">
        <v>110</v>
      </c>
      <c r="H454">
        <v>53.664299999999997</v>
      </c>
    </row>
    <row r="455" spans="1:8" x14ac:dyDescent="0.25">
      <c r="A455">
        <v>11166765</v>
      </c>
      <c r="B455">
        <v>1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25">
      <c r="A456">
        <v>11166813</v>
      </c>
      <c r="B456">
        <v>1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25">
      <c r="A457">
        <v>11166843</v>
      </c>
      <c r="B457">
        <v>7</v>
      </c>
      <c r="C457">
        <v>0</v>
      </c>
      <c r="D457">
        <v>0</v>
      </c>
      <c r="E457">
        <v>1</v>
      </c>
      <c r="F457">
        <v>3</v>
      </c>
      <c r="G457">
        <v>5</v>
      </c>
      <c r="H457">
        <v>0</v>
      </c>
    </row>
    <row r="458" spans="1:8" x14ac:dyDescent="0.25">
      <c r="A458">
        <v>11166859</v>
      </c>
      <c r="B458">
        <v>3</v>
      </c>
      <c r="C458">
        <v>0</v>
      </c>
      <c r="D458">
        <v>0</v>
      </c>
      <c r="E458">
        <v>0</v>
      </c>
      <c r="F458">
        <v>0</v>
      </c>
      <c r="G458">
        <v>1</v>
      </c>
      <c r="H458">
        <v>0</v>
      </c>
    </row>
    <row r="459" spans="1:8" x14ac:dyDescent="0.25">
      <c r="A459">
        <v>11185392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25">
      <c r="A460">
        <v>11199796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25">
      <c r="A461">
        <v>11199835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</row>
    <row r="462" spans="1:8" x14ac:dyDescent="0.25">
      <c r="A462">
        <v>11220273</v>
      </c>
      <c r="B462">
        <v>28</v>
      </c>
      <c r="C462">
        <v>0</v>
      </c>
      <c r="D462">
        <v>0</v>
      </c>
      <c r="E462">
        <v>1</v>
      </c>
      <c r="F462">
        <v>12</v>
      </c>
      <c r="G462">
        <v>19</v>
      </c>
      <c r="H462">
        <v>0</v>
      </c>
    </row>
    <row r="463" spans="1:8" x14ac:dyDescent="0.25">
      <c r="A463">
        <v>11220297</v>
      </c>
      <c r="B463">
        <v>17</v>
      </c>
      <c r="C463">
        <v>45</v>
      </c>
      <c r="D463">
        <v>8</v>
      </c>
      <c r="E463">
        <v>21</v>
      </c>
      <c r="F463">
        <v>84</v>
      </c>
      <c r="G463">
        <v>132</v>
      </c>
      <c r="H463">
        <v>19.989999999999998</v>
      </c>
    </row>
    <row r="464" spans="1:8" x14ac:dyDescent="0.25">
      <c r="A464">
        <v>11220310</v>
      </c>
      <c r="B464">
        <v>7</v>
      </c>
      <c r="C464">
        <v>5</v>
      </c>
      <c r="D464">
        <v>0</v>
      </c>
      <c r="E464">
        <v>0</v>
      </c>
      <c r="F464">
        <v>3</v>
      </c>
      <c r="G464">
        <v>5</v>
      </c>
      <c r="H464">
        <v>0</v>
      </c>
    </row>
    <row r="465" spans="1:8" x14ac:dyDescent="0.25">
      <c r="A465">
        <v>11220320</v>
      </c>
      <c r="B465">
        <v>9</v>
      </c>
      <c r="C465">
        <v>0</v>
      </c>
      <c r="D465">
        <v>0</v>
      </c>
      <c r="E465">
        <v>0</v>
      </c>
      <c r="F465">
        <v>2</v>
      </c>
      <c r="G465">
        <v>6</v>
      </c>
      <c r="H465">
        <v>0</v>
      </c>
    </row>
    <row r="466" spans="1:8" x14ac:dyDescent="0.25">
      <c r="A466">
        <v>11220340</v>
      </c>
      <c r="B466">
        <v>37</v>
      </c>
      <c r="C466">
        <v>20</v>
      </c>
      <c r="D466">
        <v>0</v>
      </c>
      <c r="E466">
        <v>5</v>
      </c>
      <c r="F466">
        <v>36</v>
      </c>
      <c r="G466">
        <v>45</v>
      </c>
      <c r="H466">
        <v>0</v>
      </c>
    </row>
    <row r="467" spans="1:8" x14ac:dyDescent="0.25">
      <c r="A467">
        <v>11220354</v>
      </c>
      <c r="B467">
        <v>86</v>
      </c>
      <c r="C467">
        <v>0</v>
      </c>
      <c r="D467">
        <v>3</v>
      </c>
      <c r="E467">
        <v>7</v>
      </c>
      <c r="F467">
        <v>34</v>
      </c>
      <c r="G467">
        <v>52</v>
      </c>
      <c r="H467">
        <v>8.99</v>
      </c>
    </row>
    <row r="468" spans="1:8" x14ac:dyDescent="0.25">
      <c r="A468">
        <v>11221481</v>
      </c>
      <c r="B468">
        <v>27</v>
      </c>
      <c r="C468">
        <v>0</v>
      </c>
      <c r="D468">
        <v>0</v>
      </c>
      <c r="E468">
        <v>0</v>
      </c>
      <c r="F468">
        <v>0</v>
      </c>
      <c r="G468">
        <v>2</v>
      </c>
      <c r="H468">
        <v>0</v>
      </c>
    </row>
    <row r="469" spans="1:8" x14ac:dyDescent="0.25">
      <c r="A469">
        <v>11222013</v>
      </c>
      <c r="B469">
        <v>20</v>
      </c>
      <c r="C469">
        <v>25</v>
      </c>
      <c r="D469">
        <v>2</v>
      </c>
      <c r="E469">
        <v>5</v>
      </c>
      <c r="F469">
        <v>34</v>
      </c>
      <c r="G469">
        <v>59</v>
      </c>
      <c r="H469">
        <v>9.99</v>
      </c>
    </row>
    <row r="470" spans="1:8" x14ac:dyDescent="0.25">
      <c r="A470">
        <v>11222016</v>
      </c>
      <c r="B470">
        <v>20</v>
      </c>
      <c r="C470">
        <v>0</v>
      </c>
      <c r="D470">
        <v>0</v>
      </c>
      <c r="E470">
        <v>3</v>
      </c>
      <c r="F470">
        <v>7</v>
      </c>
      <c r="G470">
        <v>9</v>
      </c>
      <c r="H470">
        <v>0</v>
      </c>
    </row>
    <row r="471" spans="1:8" x14ac:dyDescent="0.25">
      <c r="A471">
        <v>11222017</v>
      </c>
      <c r="B471">
        <v>17</v>
      </c>
      <c r="C471">
        <v>30</v>
      </c>
      <c r="D471">
        <v>4</v>
      </c>
      <c r="E471">
        <v>20</v>
      </c>
      <c r="F471">
        <v>56</v>
      </c>
      <c r="G471">
        <v>89</v>
      </c>
      <c r="H471">
        <v>7.99</v>
      </c>
    </row>
    <row r="472" spans="1:8" x14ac:dyDescent="0.25">
      <c r="A472">
        <v>11222018</v>
      </c>
      <c r="B472">
        <v>21</v>
      </c>
      <c r="C472">
        <v>0</v>
      </c>
      <c r="D472">
        <v>0</v>
      </c>
      <c r="E472">
        <v>0</v>
      </c>
      <c r="F472">
        <v>7</v>
      </c>
      <c r="G472">
        <v>12</v>
      </c>
      <c r="H472">
        <v>0</v>
      </c>
    </row>
    <row r="473" spans="1:8" x14ac:dyDescent="0.25">
      <c r="A473">
        <v>11222019</v>
      </c>
      <c r="B473">
        <v>5</v>
      </c>
      <c r="C473">
        <v>0</v>
      </c>
      <c r="D473">
        <v>0</v>
      </c>
      <c r="E473">
        <v>0</v>
      </c>
      <c r="F473">
        <v>1</v>
      </c>
      <c r="G473">
        <v>2</v>
      </c>
      <c r="H473">
        <v>0</v>
      </c>
    </row>
    <row r="474" spans="1:8" x14ac:dyDescent="0.25">
      <c r="A474">
        <v>11222021</v>
      </c>
      <c r="B474">
        <v>16</v>
      </c>
      <c r="C474">
        <v>1</v>
      </c>
      <c r="D474">
        <v>0</v>
      </c>
      <c r="E474">
        <v>0</v>
      </c>
      <c r="F474">
        <v>2</v>
      </c>
      <c r="G474">
        <v>4</v>
      </c>
      <c r="H474">
        <v>0</v>
      </c>
    </row>
    <row r="475" spans="1:8" x14ac:dyDescent="0.25">
      <c r="A475">
        <v>11222022</v>
      </c>
      <c r="B475">
        <v>12</v>
      </c>
      <c r="C475">
        <v>0</v>
      </c>
      <c r="D475">
        <v>0</v>
      </c>
      <c r="E475">
        <v>0</v>
      </c>
      <c r="F475">
        <v>3</v>
      </c>
      <c r="G475">
        <v>6</v>
      </c>
      <c r="H475">
        <v>0</v>
      </c>
    </row>
    <row r="476" spans="1:8" x14ac:dyDescent="0.25">
      <c r="A476">
        <v>11222025</v>
      </c>
      <c r="B476">
        <v>2</v>
      </c>
      <c r="C476">
        <v>25</v>
      </c>
      <c r="D476">
        <v>-1</v>
      </c>
      <c r="E476">
        <v>12</v>
      </c>
      <c r="F476">
        <v>26</v>
      </c>
      <c r="G476">
        <v>31</v>
      </c>
      <c r="H476">
        <v>19.989999999999998</v>
      </c>
    </row>
    <row r="477" spans="1:8" x14ac:dyDescent="0.25">
      <c r="A477">
        <v>11242662</v>
      </c>
      <c r="B477">
        <v>109</v>
      </c>
      <c r="C477">
        <v>8</v>
      </c>
      <c r="D477">
        <v>6</v>
      </c>
      <c r="E477">
        <v>19</v>
      </c>
      <c r="F477">
        <v>55</v>
      </c>
      <c r="G477">
        <v>195</v>
      </c>
      <c r="H477">
        <v>24.5883</v>
      </c>
    </row>
    <row r="478" spans="1:8" x14ac:dyDescent="0.25">
      <c r="A478">
        <v>11256921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</row>
    <row r="479" spans="1:8" x14ac:dyDescent="0.25">
      <c r="A479">
        <v>11278762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25">
      <c r="A480">
        <v>11279146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</row>
    <row r="481" spans="1:8" x14ac:dyDescent="0.25">
      <c r="A481">
        <v>11279395</v>
      </c>
      <c r="B481">
        <v>11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 x14ac:dyDescent="0.25">
      <c r="A482">
        <v>11279396</v>
      </c>
      <c r="B482">
        <v>16</v>
      </c>
      <c r="C482">
        <v>0</v>
      </c>
      <c r="D482">
        <v>0</v>
      </c>
      <c r="E482">
        <v>0</v>
      </c>
      <c r="F482">
        <v>1</v>
      </c>
      <c r="G482">
        <v>4</v>
      </c>
      <c r="H482">
        <v>0</v>
      </c>
    </row>
    <row r="483" spans="1:8" x14ac:dyDescent="0.25">
      <c r="A483">
        <v>11297873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 x14ac:dyDescent="0.25">
      <c r="A484">
        <v>11298751</v>
      </c>
      <c r="B484">
        <v>1</v>
      </c>
      <c r="C484">
        <v>0</v>
      </c>
      <c r="D484">
        <v>0</v>
      </c>
      <c r="E484">
        <v>0</v>
      </c>
      <c r="F484">
        <v>2</v>
      </c>
      <c r="G484">
        <v>3</v>
      </c>
      <c r="H484">
        <v>0</v>
      </c>
    </row>
    <row r="485" spans="1:8" x14ac:dyDescent="0.25">
      <c r="A485">
        <v>11299258</v>
      </c>
      <c r="B485">
        <v>25</v>
      </c>
      <c r="C485">
        <v>1</v>
      </c>
      <c r="D485">
        <v>1</v>
      </c>
      <c r="E485">
        <v>1</v>
      </c>
      <c r="F485">
        <v>4</v>
      </c>
      <c r="G485">
        <v>7</v>
      </c>
      <c r="H485">
        <v>1087.49</v>
      </c>
    </row>
    <row r="486" spans="1:8" x14ac:dyDescent="0.25">
      <c r="A486">
        <v>11299598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</row>
    <row r="487" spans="1:8" x14ac:dyDescent="0.25">
      <c r="A487">
        <v>11300701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 x14ac:dyDescent="0.25">
      <c r="A488">
        <v>11307833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</row>
    <row r="489" spans="1:8" x14ac:dyDescent="0.25">
      <c r="A489">
        <v>11307876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 x14ac:dyDescent="0.25">
      <c r="A490">
        <v>11314473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</row>
    <row r="491" spans="1:8" x14ac:dyDescent="0.25">
      <c r="A491">
        <v>11316912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 x14ac:dyDescent="0.25">
      <c r="A492">
        <v>11317380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</row>
    <row r="493" spans="1:8" x14ac:dyDescent="0.25">
      <c r="A493">
        <v>11321519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</row>
    <row r="494" spans="1:8" x14ac:dyDescent="0.25">
      <c r="A494">
        <v>11321533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</row>
    <row r="495" spans="1:8" x14ac:dyDescent="0.25">
      <c r="A495">
        <v>11322044</v>
      </c>
      <c r="B495">
        <v>135</v>
      </c>
      <c r="C495">
        <v>0</v>
      </c>
      <c r="D495">
        <v>3</v>
      </c>
      <c r="E495">
        <v>26</v>
      </c>
      <c r="F495">
        <v>141</v>
      </c>
      <c r="G495">
        <v>735</v>
      </c>
      <c r="H495">
        <v>13.826700000000001</v>
      </c>
    </row>
    <row r="496" spans="1:8" x14ac:dyDescent="0.25">
      <c r="A496">
        <v>11323195</v>
      </c>
      <c r="B496">
        <v>25</v>
      </c>
      <c r="C496">
        <v>0</v>
      </c>
      <c r="D496">
        <v>8</v>
      </c>
      <c r="E496">
        <v>16</v>
      </c>
      <c r="F496">
        <v>33</v>
      </c>
      <c r="G496">
        <v>73</v>
      </c>
      <c r="H496">
        <v>48.836199999999998</v>
      </c>
    </row>
    <row r="497" spans="1:8" x14ac:dyDescent="0.25">
      <c r="A497">
        <v>11323212</v>
      </c>
      <c r="B497">
        <v>19</v>
      </c>
      <c r="C497">
        <v>0</v>
      </c>
      <c r="D497">
        <v>10</v>
      </c>
      <c r="E497">
        <v>17</v>
      </c>
      <c r="F497">
        <v>28</v>
      </c>
      <c r="G497">
        <v>36</v>
      </c>
      <c r="H497">
        <v>49.073</v>
      </c>
    </row>
    <row r="498" spans="1:8" x14ac:dyDescent="0.25">
      <c r="A498">
        <v>11323293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</row>
    <row r="499" spans="1:8" x14ac:dyDescent="0.25">
      <c r="A499">
        <v>11323324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</row>
    <row r="500" spans="1:8" x14ac:dyDescent="0.25">
      <c r="A500">
        <v>11323333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8" x14ac:dyDescent="0.25">
      <c r="A501">
        <v>11323335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</row>
    <row r="502" spans="1:8" x14ac:dyDescent="0.25">
      <c r="A502">
        <v>11323914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</row>
    <row r="503" spans="1:8" x14ac:dyDescent="0.25">
      <c r="A503">
        <v>11323961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</row>
    <row r="504" spans="1:8" x14ac:dyDescent="0.25">
      <c r="A504">
        <v>11324320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</row>
    <row r="505" spans="1:8" x14ac:dyDescent="0.25">
      <c r="A505">
        <v>11324333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</row>
    <row r="506" spans="1:8" x14ac:dyDescent="0.25">
      <c r="A506">
        <v>11324380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</row>
    <row r="507" spans="1:8" x14ac:dyDescent="0.25">
      <c r="A507">
        <v>11325368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</row>
    <row r="508" spans="1:8" x14ac:dyDescent="0.25">
      <c r="A508">
        <v>11327694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16</v>
      </c>
      <c r="H508">
        <v>0</v>
      </c>
    </row>
    <row r="509" spans="1:8" x14ac:dyDescent="0.25">
      <c r="A509">
        <v>11335317</v>
      </c>
      <c r="B509">
        <v>35</v>
      </c>
      <c r="C509">
        <v>0</v>
      </c>
      <c r="D509">
        <v>1</v>
      </c>
      <c r="E509">
        <v>6</v>
      </c>
      <c r="F509">
        <v>34</v>
      </c>
      <c r="G509">
        <v>103</v>
      </c>
      <c r="H509">
        <v>24.04</v>
      </c>
    </row>
    <row r="510" spans="1:8" x14ac:dyDescent="0.25">
      <c r="A510">
        <v>11336274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</row>
    <row r="511" spans="1:8" x14ac:dyDescent="0.25">
      <c r="A511">
        <v>11337414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</row>
    <row r="512" spans="1:8" x14ac:dyDescent="0.25">
      <c r="A512">
        <v>11339775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</row>
    <row r="513" spans="1:8" x14ac:dyDescent="0.25">
      <c r="A513">
        <v>11342964</v>
      </c>
      <c r="B513">
        <v>227</v>
      </c>
      <c r="C513">
        <v>0</v>
      </c>
      <c r="D513">
        <v>3</v>
      </c>
      <c r="E513">
        <v>30</v>
      </c>
      <c r="F513">
        <v>144</v>
      </c>
      <c r="G513">
        <v>555</v>
      </c>
      <c r="H513">
        <v>113.3233</v>
      </c>
    </row>
    <row r="514" spans="1:8" x14ac:dyDescent="0.25">
      <c r="A514">
        <v>11342971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</row>
    <row r="515" spans="1:8" x14ac:dyDescent="0.25">
      <c r="A515">
        <v>11343056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</row>
    <row r="516" spans="1:8" x14ac:dyDescent="0.25">
      <c r="A516">
        <v>11345486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</row>
    <row r="517" spans="1:8" x14ac:dyDescent="0.25">
      <c r="A517">
        <v>11348823</v>
      </c>
      <c r="B517">
        <v>41</v>
      </c>
      <c r="C517">
        <v>0</v>
      </c>
      <c r="D517">
        <v>5</v>
      </c>
      <c r="E517">
        <v>13</v>
      </c>
      <c r="F517">
        <v>24</v>
      </c>
      <c r="G517">
        <v>37</v>
      </c>
      <c r="H517">
        <v>27.99</v>
      </c>
    </row>
    <row r="518" spans="1:8" x14ac:dyDescent="0.25">
      <c r="A518">
        <v>11351551</v>
      </c>
      <c r="B518">
        <v>186</v>
      </c>
      <c r="C518">
        <v>0</v>
      </c>
      <c r="D518">
        <v>9</v>
      </c>
      <c r="E518">
        <v>35</v>
      </c>
      <c r="F518">
        <v>106</v>
      </c>
      <c r="G518">
        <v>294</v>
      </c>
      <c r="H518">
        <v>66.195599999999999</v>
      </c>
    </row>
    <row r="519" spans="1:8" x14ac:dyDescent="0.25">
      <c r="A519">
        <v>11351582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</row>
    <row r="520" spans="1:8" x14ac:dyDescent="0.25">
      <c r="A520">
        <v>11351602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</row>
    <row r="521" spans="1:8" x14ac:dyDescent="0.25">
      <c r="A521">
        <v>11354666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</row>
    <row r="522" spans="1:8" x14ac:dyDescent="0.25">
      <c r="A522">
        <v>11355651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</row>
    <row r="523" spans="1:8" x14ac:dyDescent="0.25">
      <c r="A523">
        <v>11357769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</row>
    <row r="524" spans="1:8" x14ac:dyDescent="0.25">
      <c r="A524">
        <v>11361879</v>
      </c>
      <c r="B524">
        <v>3</v>
      </c>
      <c r="C524">
        <v>0</v>
      </c>
      <c r="D524">
        <v>0</v>
      </c>
      <c r="E524">
        <v>1</v>
      </c>
      <c r="F524">
        <v>7</v>
      </c>
      <c r="G524">
        <v>15</v>
      </c>
      <c r="H524">
        <v>0</v>
      </c>
    </row>
    <row r="525" spans="1:8" x14ac:dyDescent="0.25">
      <c r="A525">
        <v>11361883</v>
      </c>
      <c r="B525">
        <v>2</v>
      </c>
      <c r="C525">
        <v>0</v>
      </c>
      <c r="D525">
        <v>0</v>
      </c>
      <c r="E525">
        <v>1</v>
      </c>
      <c r="F525">
        <v>5</v>
      </c>
      <c r="G525">
        <v>47</v>
      </c>
      <c r="H525">
        <v>0</v>
      </c>
    </row>
    <row r="526" spans="1:8" x14ac:dyDescent="0.25">
      <c r="A526">
        <v>11362181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</row>
    <row r="527" spans="1:8" x14ac:dyDescent="0.25">
      <c r="A527">
        <v>11362774</v>
      </c>
      <c r="B527">
        <v>17</v>
      </c>
      <c r="C527">
        <v>0</v>
      </c>
      <c r="D527">
        <v>0</v>
      </c>
      <c r="E527">
        <v>1</v>
      </c>
      <c r="F527">
        <v>6</v>
      </c>
      <c r="G527">
        <v>11</v>
      </c>
      <c r="H527">
        <v>0</v>
      </c>
    </row>
    <row r="528" spans="1:8" x14ac:dyDescent="0.25">
      <c r="A528">
        <v>11366565</v>
      </c>
      <c r="B528">
        <v>-1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</row>
    <row r="529" spans="1:8" x14ac:dyDescent="0.25">
      <c r="A529">
        <v>11379115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</row>
    <row r="530" spans="1:8" x14ac:dyDescent="0.25">
      <c r="A530">
        <v>12518767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</row>
    <row r="531" spans="1:8" x14ac:dyDescent="0.25">
      <c r="A531">
        <v>12518768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</row>
    <row r="532" spans="1:8" x14ac:dyDescent="0.25">
      <c r="A532">
        <v>12528726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</row>
    <row r="533" spans="1:8" x14ac:dyDescent="0.25">
      <c r="A533">
        <v>12528729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</row>
    <row r="534" spans="1:8" x14ac:dyDescent="0.25">
      <c r="A534">
        <v>12540419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</row>
    <row r="535" spans="1:8" x14ac:dyDescent="0.25">
      <c r="A535">
        <v>12543434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</row>
    <row r="536" spans="1:8" x14ac:dyDescent="0.25">
      <c r="A536">
        <v>12543435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</row>
    <row r="537" spans="1:8" x14ac:dyDescent="0.25">
      <c r="A537">
        <v>12543702</v>
      </c>
      <c r="B537">
        <v>59</v>
      </c>
      <c r="C537">
        <v>0</v>
      </c>
      <c r="D537">
        <v>0</v>
      </c>
      <c r="E537">
        <v>7</v>
      </c>
      <c r="F537">
        <v>25</v>
      </c>
      <c r="G537">
        <v>99</v>
      </c>
      <c r="H537">
        <v>0</v>
      </c>
    </row>
    <row r="538" spans="1:8" x14ac:dyDescent="0.25">
      <c r="A538">
        <v>12543703</v>
      </c>
      <c r="B538">
        <v>3</v>
      </c>
      <c r="C538">
        <v>0</v>
      </c>
      <c r="D538">
        <v>0</v>
      </c>
      <c r="E538">
        <v>0</v>
      </c>
      <c r="F538">
        <v>0</v>
      </c>
      <c r="G538">
        <v>31</v>
      </c>
      <c r="H538">
        <v>0</v>
      </c>
    </row>
    <row r="539" spans="1:8" x14ac:dyDescent="0.25">
      <c r="A539">
        <v>12543732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</row>
    <row r="540" spans="1:8" x14ac:dyDescent="0.25">
      <c r="A540">
        <v>12545614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</row>
    <row r="541" spans="1:8" x14ac:dyDescent="0.25">
      <c r="A541">
        <v>12545615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</row>
    <row r="542" spans="1:8" x14ac:dyDescent="0.25">
      <c r="A542">
        <v>12545639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</row>
    <row r="543" spans="1:8" x14ac:dyDescent="0.25">
      <c r="A543">
        <v>12554736</v>
      </c>
      <c r="B543">
        <v>16</v>
      </c>
      <c r="C543">
        <v>1</v>
      </c>
      <c r="D543">
        <v>0</v>
      </c>
      <c r="E543">
        <v>0</v>
      </c>
      <c r="F543">
        <v>1</v>
      </c>
      <c r="G543">
        <v>3</v>
      </c>
      <c r="H543">
        <v>0</v>
      </c>
    </row>
    <row r="544" spans="1:8" x14ac:dyDescent="0.25">
      <c r="A544">
        <v>12554737</v>
      </c>
      <c r="B544">
        <v>15</v>
      </c>
      <c r="C544">
        <v>0</v>
      </c>
      <c r="D544">
        <v>1</v>
      </c>
      <c r="E544">
        <v>1</v>
      </c>
      <c r="F544">
        <v>4</v>
      </c>
      <c r="G544">
        <v>6</v>
      </c>
      <c r="H544">
        <v>44.99</v>
      </c>
    </row>
    <row r="545" spans="1:8" x14ac:dyDescent="0.25">
      <c r="A545">
        <v>12558741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</row>
    <row r="546" spans="1:8" x14ac:dyDescent="0.25">
      <c r="A546">
        <v>12558743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</row>
    <row r="547" spans="1:8" x14ac:dyDescent="0.25">
      <c r="A547">
        <v>12564114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</row>
    <row r="548" spans="1:8" x14ac:dyDescent="0.25">
      <c r="A548">
        <v>12564116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8" x14ac:dyDescent="0.25">
      <c r="A549">
        <v>12575681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8" x14ac:dyDescent="0.25">
      <c r="A550">
        <v>12577504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</row>
    <row r="551" spans="1:8" x14ac:dyDescent="0.25">
      <c r="A551">
        <v>12577505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</row>
    <row r="552" spans="1:8" x14ac:dyDescent="0.25">
      <c r="A552">
        <v>12583968</v>
      </c>
      <c r="B552">
        <v>11</v>
      </c>
      <c r="C552">
        <v>8</v>
      </c>
      <c r="D552">
        <v>1</v>
      </c>
      <c r="E552">
        <v>1</v>
      </c>
      <c r="F552">
        <v>11</v>
      </c>
      <c r="G552">
        <v>32</v>
      </c>
      <c r="H552">
        <v>1804.99</v>
      </c>
    </row>
    <row r="553" spans="1:8" x14ac:dyDescent="0.25">
      <c r="A553">
        <v>12604483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</row>
    <row r="554" spans="1:8" x14ac:dyDescent="0.25">
      <c r="A554">
        <v>12606944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</row>
    <row r="555" spans="1:8" x14ac:dyDescent="0.25">
      <c r="A555">
        <v>12613419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</row>
    <row r="556" spans="1:8" x14ac:dyDescent="0.25">
      <c r="A556">
        <v>12613420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</row>
    <row r="557" spans="1:8" x14ac:dyDescent="0.25">
      <c r="A557">
        <v>12613421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</row>
    <row r="558" spans="1:8" x14ac:dyDescent="0.25">
      <c r="A558">
        <v>12618650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</row>
    <row r="559" spans="1:8" x14ac:dyDescent="0.25">
      <c r="A559">
        <v>12618846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</row>
    <row r="560" spans="1:8" x14ac:dyDescent="0.25">
      <c r="A560">
        <v>12623032</v>
      </c>
      <c r="B560">
        <v>0</v>
      </c>
      <c r="C560">
        <v>0</v>
      </c>
      <c r="D560">
        <v>0</v>
      </c>
      <c r="E560">
        <v>0</v>
      </c>
      <c r="F560">
        <v>26</v>
      </c>
      <c r="G560">
        <v>38</v>
      </c>
      <c r="H560">
        <v>0</v>
      </c>
    </row>
    <row r="561" spans="1:8" x14ac:dyDescent="0.25">
      <c r="A561">
        <v>12623368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</row>
    <row r="562" spans="1:8" x14ac:dyDescent="0.25">
      <c r="A562">
        <v>12627516</v>
      </c>
      <c r="B562">
        <v>139</v>
      </c>
      <c r="C562">
        <v>25</v>
      </c>
      <c r="D562">
        <v>2</v>
      </c>
      <c r="E562">
        <v>12</v>
      </c>
      <c r="F562">
        <v>85</v>
      </c>
      <c r="G562">
        <v>162</v>
      </c>
      <c r="H562">
        <v>17.989999999999998</v>
      </c>
    </row>
    <row r="563" spans="1:8" x14ac:dyDescent="0.25">
      <c r="A563">
        <v>12627517</v>
      </c>
      <c r="B563">
        <v>118</v>
      </c>
      <c r="C563">
        <v>30</v>
      </c>
      <c r="D563">
        <v>2</v>
      </c>
      <c r="E563">
        <v>11</v>
      </c>
      <c r="F563">
        <v>43</v>
      </c>
      <c r="G563">
        <v>107</v>
      </c>
      <c r="H563">
        <v>17.989999999999998</v>
      </c>
    </row>
    <row r="564" spans="1:8" x14ac:dyDescent="0.25">
      <c r="A564">
        <v>12627524</v>
      </c>
      <c r="B564">
        <v>24</v>
      </c>
      <c r="C564">
        <v>8</v>
      </c>
      <c r="D564">
        <v>1</v>
      </c>
      <c r="E564">
        <v>3</v>
      </c>
      <c r="F564">
        <v>14</v>
      </c>
      <c r="G564">
        <v>71</v>
      </c>
      <c r="H564">
        <v>10.99</v>
      </c>
    </row>
    <row r="565" spans="1:8" x14ac:dyDescent="0.25">
      <c r="A565">
        <v>12627525</v>
      </c>
      <c r="B565">
        <v>25</v>
      </c>
      <c r="C565">
        <v>90</v>
      </c>
      <c r="D565">
        <v>0</v>
      </c>
      <c r="E565">
        <v>6</v>
      </c>
      <c r="F565">
        <v>59</v>
      </c>
      <c r="G565">
        <v>74</v>
      </c>
      <c r="H565">
        <v>0</v>
      </c>
    </row>
    <row r="566" spans="1:8" x14ac:dyDescent="0.25">
      <c r="A566">
        <v>12627529</v>
      </c>
      <c r="B566">
        <v>49</v>
      </c>
      <c r="C566">
        <v>75</v>
      </c>
      <c r="D566">
        <v>7</v>
      </c>
      <c r="E566">
        <v>24</v>
      </c>
      <c r="F566">
        <v>103</v>
      </c>
      <c r="G566">
        <v>182</v>
      </c>
      <c r="H566">
        <v>8.5756999999999994</v>
      </c>
    </row>
    <row r="567" spans="1:8" x14ac:dyDescent="0.25">
      <c r="A567">
        <v>12627530</v>
      </c>
      <c r="B567">
        <v>18</v>
      </c>
      <c r="C567">
        <v>43</v>
      </c>
      <c r="D567">
        <v>0</v>
      </c>
      <c r="E567">
        <v>6</v>
      </c>
      <c r="F567">
        <v>24</v>
      </c>
      <c r="G567">
        <v>31</v>
      </c>
      <c r="H567">
        <v>0</v>
      </c>
    </row>
    <row r="568" spans="1:8" x14ac:dyDescent="0.25">
      <c r="A568">
        <v>12630639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</row>
    <row r="569" spans="1:8" x14ac:dyDescent="0.25">
      <c r="A569">
        <v>12639467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</row>
    <row r="570" spans="1:8" x14ac:dyDescent="0.25">
      <c r="A570">
        <v>12639469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</row>
    <row r="571" spans="1:8" x14ac:dyDescent="0.25">
      <c r="A571">
        <v>12640689</v>
      </c>
      <c r="B571">
        <v>2</v>
      </c>
      <c r="C571">
        <v>0</v>
      </c>
      <c r="D571">
        <v>0</v>
      </c>
      <c r="E571">
        <v>0</v>
      </c>
      <c r="F571">
        <v>0</v>
      </c>
      <c r="G571">
        <v>1</v>
      </c>
      <c r="H571">
        <v>0</v>
      </c>
    </row>
    <row r="572" spans="1:8" x14ac:dyDescent="0.25">
      <c r="A572">
        <v>12640695</v>
      </c>
      <c r="B572">
        <v>31</v>
      </c>
      <c r="C572">
        <v>18</v>
      </c>
      <c r="D572">
        <v>2</v>
      </c>
      <c r="E572">
        <v>3</v>
      </c>
      <c r="F572">
        <v>16</v>
      </c>
      <c r="G572">
        <v>17</v>
      </c>
      <c r="H572">
        <v>37.99</v>
      </c>
    </row>
    <row r="573" spans="1:8" x14ac:dyDescent="0.25">
      <c r="A573">
        <v>12640697</v>
      </c>
      <c r="B573">
        <v>46</v>
      </c>
      <c r="C573">
        <v>11</v>
      </c>
      <c r="D573">
        <v>5</v>
      </c>
      <c r="E573">
        <v>8</v>
      </c>
      <c r="F573">
        <v>40</v>
      </c>
      <c r="G573">
        <v>68</v>
      </c>
      <c r="H573">
        <v>15.916</v>
      </c>
    </row>
    <row r="574" spans="1:8" x14ac:dyDescent="0.25">
      <c r="A574">
        <v>12640706</v>
      </c>
      <c r="B574">
        <v>37</v>
      </c>
      <c r="C574">
        <v>39</v>
      </c>
      <c r="D574">
        <v>0</v>
      </c>
      <c r="E574">
        <v>5</v>
      </c>
      <c r="F574">
        <v>15</v>
      </c>
      <c r="G574">
        <v>18</v>
      </c>
      <c r="H574">
        <v>0</v>
      </c>
    </row>
    <row r="575" spans="1:8" x14ac:dyDescent="0.25">
      <c r="A575">
        <v>12640757</v>
      </c>
      <c r="B575">
        <v>44</v>
      </c>
      <c r="C575">
        <v>25</v>
      </c>
      <c r="D575">
        <v>1</v>
      </c>
      <c r="E575">
        <v>9</v>
      </c>
      <c r="F575">
        <v>44</v>
      </c>
      <c r="G575">
        <v>47</v>
      </c>
      <c r="H575">
        <v>14.09</v>
      </c>
    </row>
    <row r="576" spans="1:8" x14ac:dyDescent="0.25">
      <c r="A576">
        <v>12640764</v>
      </c>
      <c r="B576">
        <v>6</v>
      </c>
      <c r="C576">
        <v>0</v>
      </c>
      <c r="D576">
        <v>0</v>
      </c>
      <c r="E576">
        <v>1</v>
      </c>
      <c r="F576">
        <v>2</v>
      </c>
      <c r="G576">
        <v>5</v>
      </c>
      <c r="H576">
        <v>0</v>
      </c>
    </row>
    <row r="577" spans="1:8" x14ac:dyDescent="0.25">
      <c r="A577">
        <v>12640768</v>
      </c>
      <c r="B577">
        <v>39</v>
      </c>
      <c r="C577">
        <v>35</v>
      </c>
      <c r="D577">
        <v>4</v>
      </c>
      <c r="E577">
        <v>11</v>
      </c>
      <c r="F577">
        <v>44</v>
      </c>
      <c r="G577">
        <v>45</v>
      </c>
      <c r="H577">
        <v>16.989999999999998</v>
      </c>
    </row>
    <row r="578" spans="1:8" x14ac:dyDescent="0.25">
      <c r="A578">
        <v>12644053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</row>
    <row r="579" spans="1:8" x14ac:dyDescent="0.25">
      <c r="A579">
        <v>12644058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</row>
    <row r="580" spans="1:8" x14ac:dyDescent="0.25">
      <c r="A580">
        <v>12655371</v>
      </c>
      <c r="B580">
        <v>-1</v>
      </c>
      <c r="C580">
        <v>0</v>
      </c>
      <c r="D580">
        <v>0</v>
      </c>
      <c r="E580">
        <v>0</v>
      </c>
      <c r="F580">
        <v>0</v>
      </c>
      <c r="G580">
        <v>1</v>
      </c>
      <c r="H580">
        <v>0</v>
      </c>
    </row>
    <row r="581" spans="1:8" x14ac:dyDescent="0.25">
      <c r="A581">
        <v>12670290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</row>
    <row r="582" spans="1:8" x14ac:dyDescent="0.25">
      <c r="A582">
        <v>12674752</v>
      </c>
      <c r="B582">
        <v>54</v>
      </c>
      <c r="C582">
        <v>0</v>
      </c>
      <c r="D582">
        <v>0</v>
      </c>
      <c r="E582">
        <v>0</v>
      </c>
      <c r="F582">
        <v>1</v>
      </c>
      <c r="G582">
        <v>3</v>
      </c>
      <c r="H582">
        <v>0</v>
      </c>
    </row>
    <row r="583" spans="1:8" x14ac:dyDescent="0.25">
      <c r="A583">
        <v>12691554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</row>
    <row r="584" spans="1:8" x14ac:dyDescent="0.25">
      <c r="A584">
        <v>12693551</v>
      </c>
      <c r="B584">
        <v>7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</row>
    <row r="585" spans="1:8" x14ac:dyDescent="0.25">
      <c r="A585">
        <v>12693552</v>
      </c>
      <c r="B585">
        <v>1</v>
      </c>
      <c r="C585">
        <v>0</v>
      </c>
      <c r="D585">
        <v>0</v>
      </c>
      <c r="E585">
        <v>0</v>
      </c>
      <c r="F585">
        <v>1</v>
      </c>
      <c r="G585">
        <v>1</v>
      </c>
      <c r="H585">
        <v>0</v>
      </c>
    </row>
    <row r="586" spans="1:8" x14ac:dyDescent="0.25">
      <c r="A586">
        <v>12693553</v>
      </c>
      <c r="B586">
        <v>2</v>
      </c>
      <c r="C586">
        <v>0</v>
      </c>
      <c r="D586">
        <v>0</v>
      </c>
      <c r="E586">
        <v>0</v>
      </c>
      <c r="F586">
        <v>1</v>
      </c>
      <c r="G586">
        <v>1</v>
      </c>
      <c r="H586">
        <v>0</v>
      </c>
    </row>
    <row r="587" spans="1:8" x14ac:dyDescent="0.25">
      <c r="A587">
        <v>12693554</v>
      </c>
      <c r="B587">
        <v>2</v>
      </c>
      <c r="C587">
        <v>0</v>
      </c>
      <c r="D587">
        <v>0</v>
      </c>
      <c r="E587">
        <v>0</v>
      </c>
      <c r="F587">
        <v>0</v>
      </c>
      <c r="G587">
        <v>2</v>
      </c>
      <c r="H587">
        <v>0</v>
      </c>
    </row>
    <row r="588" spans="1:8" x14ac:dyDescent="0.25">
      <c r="A588">
        <v>12694180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</row>
    <row r="589" spans="1:8" x14ac:dyDescent="0.25">
      <c r="A589">
        <v>12695679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</row>
    <row r="590" spans="1:8" x14ac:dyDescent="0.25">
      <c r="A590">
        <v>12695680</v>
      </c>
      <c r="B590">
        <v>102</v>
      </c>
      <c r="C590">
        <v>12</v>
      </c>
      <c r="D590">
        <v>6</v>
      </c>
      <c r="E590">
        <v>26</v>
      </c>
      <c r="F590">
        <v>95</v>
      </c>
      <c r="G590">
        <v>257</v>
      </c>
      <c r="H590">
        <v>42.11</v>
      </c>
    </row>
    <row r="591" spans="1:8" x14ac:dyDescent="0.25">
      <c r="A591">
        <v>12695682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</row>
    <row r="592" spans="1:8" x14ac:dyDescent="0.25">
      <c r="A592">
        <v>12696479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</row>
    <row r="593" spans="1:8" x14ac:dyDescent="0.25">
      <c r="A593">
        <v>12696480</v>
      </c>
      <c r="B593">
        <v>1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</row>
    <row r="594" spans="1:8" x14ac:dyDescent="0.25">
      <c r="A594">
        <v>12696488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</row>
    <row r="595" spans="1:8" x14ac:dyDescent="0.25">
      <c r="A595">
        <v>12697580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</row>
    <row r="596" spans="1:8" x14ac:dyDescent="0.25">
      <c r="A596">
        <v>12702450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</row>
    <row r="597" spans="1:8" x14ac:dyDescent="0.25">
      <c r="A597">
        <v>12702451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</row>
    <row r="598" spans="1:8" x14ac:dyDescent="0.25">
      <c r="A598">
        <v>12702452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</row>
    <row r="599" spans="1:8" x14ac:dyDescent="0.25">
      <c r="A599">
        <v>12713808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</row>
    <row r="600" spans="1:8" x14ac:dyDescent="0.25">
      <c r="A600">
        <v>12716238</v>
      </c>
      <c r="B600">
        <v>171</v>
      </c>
      <c r="C600">
        <v>63</v>
      </c>
      <c r="D600">
        <v>20</v>
      </c>
      <c r="E600">
        <v>34</v>
      </c>
      <c r="F600">
        <v>93</v>
      </c>
      <c r="G600">
        <v>715</v>
      </c>
      <c r="H600">
        <v>53.534500000000001</v>
      </c>
    </row>
    <row r="601" spans="1:8" x14ac:dyDescent="0.25">
      <c r="A601">
        <v>12719901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</row>
    <row r="602" spans="1:8" x14ac:dyDescent="0.25">
      <c r="A602">
        <v>12727334</v>
      </c>
      <c r="B602">
        <v>397</v>
      </c>
      <c r="C602">
        <v>0</v>
      </c>
      <c r="D602">
        <v>20</v>
      </c>
      <c r="E602">
        <v>71</v>
      </c>
      <c r="F602">
        <v>223</v>
      </c>
      <c r="G602">
        <v>473</v>
      </c>
      <c r="H602">
        <v>11.6995</v>
      </c>
    </row>
    <row r="603" spans="1:8" x14ac:dyDescent="0.25">
      <c r="A603">
        <v>12727343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</row>
    <row r="604" spans="1:8" x14ac:dyDescent="0.25">
      <c r="A604">
        <v>12727346</v>
      </c>
      <c r="B604">
        <v>278</v>
      </c>
      <c r="C604">
        <v>0</v>
      </c>
      <c r="D604">
        <v>10</v>
      </c>
      <c r="E604">
        <v>24</v>
      </c>
      <c r="F604">
        <v>94</v>
      </c>
      <c r="G604">
        <v>297</v>
      </c>
      <c r="H604">
        <v>24.937000000000001</v>
      </c>
    </row>
    <row r="605" spans="1:8" x14ac:dyDescent="0.25">
      <c r="A605">
        <v>12727486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1</v>
      </c>
      <c r="H605">
        <v>0</v>
      </c>
    </row>
    <row r="606" spans="1:8" x14ac:dyDescent="0.25">
      <c r="A606">
        <v>12728325</v>
      </c>
      <c r="B606">
        <v>125</v>
      </c>
      <c r="C606">
        <v>13</v>
      </c>
      <c r="D606">
        <v>1</v>
      </c>
      <c r="E606">
        <v>5</v>
      </c>
      <c r="F606">
        <v>39</v>
      </c>
      <c r="G606">
        <v>143</v>
      </c>
      <c r="H606">
        <v>499</v>
      </c>
    </row>
    <row r="607" spans="1:8" x14ac:dyDescent="0.25">
      <c r="A607">
        <v>12728326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</row>
    <row r="608" spans="1:8" x14ac:dyDescent="0.25">
      <c r="A608">
        <v>12728328</v>
      </c>
      <c r="B608">
        <v>133</v>
      </c>
      <c r="C608">
        <v>0</v>
      </c>
      <c r="D608">
        <v>2</v>
      </c>
      <c r="E608">
        <v>8</v>
      </c>
      <c r="F608">
        <v>40</v>
      </c>
      <c r="G608">
        <v>159</v>
      </c>
      <c r="H608">
        <v>697.94</v>
      </c>
    </row>
    <row r="609" spans="1:8" x14ac:dyDescent="0.25">
      <c r="A609">
        <v>12728329</v>
      </c>
      <c r="B609">
        <v>57</v>
      </c>
      <c r="C609">
        <v>0</v>
      </c>
      <c r="D609">
        <v>2</v>
      </c>
      <c r="E609">
        <v>2</v>
      </c>
      <c r="F609">
        <v>3</v>
      </c>
      <c r="G609">
        <v>19</v>
      </c>
      <c r="H609">
        <v>349</v>
      </c>
    </row>
    <row r="610" spans="1:8" x14ac:dyDescent="0.25">
      <c r="A610">
        <v>12728374</v>
      </c>
      <c r="B610">
        <v>3</v>
      </c>
      <c r="C610">
        <v>0</v>
      </c>
      <c r="D610">
        <v>0</v>
      </c>
      <c r="E610">
        <v>0</v>
      </c>
      <c r="F610">
        <v>1</v>
      </c>
      <c r="G610">
        <v>1</v>
      </c>
      <c r="H610">
        <v>0</v>
      </c>
    </row>
    <row r="611" spans="1:8" x14ac:dyDescent="0.25">
      <c r="A611">
        <v>12728377</v>
      </c>
      <c r="B611">
        <v>31</v>
      </c>
      <c r="C611">
        <v>0</v>
      </c>
      <c r="D611">
        <v>1</v>
      </c>
      <c r="E611">
        <v>6</v>
      </c>
      <c r="F611">
        <v>18</v>
      </c>
      <c r="G611">
        <v>60</v>
      </c>
      <c r="H611">
        <v>349</v>
      </c>
    </row>
    <row r="612" spans="1:8" x14ac:dyDescent="0.25">
      <c r="A612">
        <v>12728423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</row>
    <row r="613" spans="1:8" x14ac:dyDescent="0.25">
      <c r="A613">
        <v>12737124</v>
      </c>
      <c r="B613">
        <v>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</row>
    <row r="614" spans="1:8" x14ac:dyDescent="0.25">
      <c r="A614">
        <v>12737140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</row>
    <row r="615" spans="1:8" x14ac:dyDescent="0.25">
      <c r="A615">
        <v>12738386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</row>
    <row r="616" spans="1:8" x14ac:dyDescent="0.25">
      <c r="A616">
        <v>12749767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</row>
    <row r="617" spans="1:8" x14ac:dyDescent="0.25">
      <c r="A617">
        <v>12749768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</row>
    <row r="618" spans="1:8" x14ac:dyDescent="0.25">
      <c r="A618">
        <v>12751097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</row>
    <row r="619" spans="1:8" x14ac:dyDescent="0.25">
      <c r="A619">
        <v>12754123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</row>
    <row r="620" spans="1:8" x14ac:dyDescent="0.25">
      <c r="A620">
        <v>12754125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</row>
    <row r="621" spans="1:8" x14ac:dyDescent="0.25">
      <c r="A621">
        <v>12754126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</row>
    <row r="622" spans="1:8" x14ac:dyDescent="0.25">
      <c r="A622">
        <v>12757191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</row>
    <row r="623" spans="1:8" x14ac:dyDescent="0.25">
      <c r="A623">
        <v>12761444</v>
      </c>
      <c r="B623">
        <v>6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</row>
    <row r="624" spans="1:8" x14ac:dyDescent="0.25">
      <c r="A624">
        <v>12768889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</row>
    <row r="625" spans="1:8" x14ac:dyDescent="0.25">
      <c r="A625">
        <v>12769662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</row>
    <row r="626" spans="1:8" x14ac:dyDescent="0.25">
      <c r="A626">
        <v>12770286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</row>
    <row r="627" spans="1:8" x14ac:dyDescent="0.25">
      <c r="A627">
        <v>12791921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</row>
    <row r="628" spans="1:8" x14ac:dyDescent="0.25">
      <c r="A628">
        <v>12793437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</row>
    <row r="629" spans="1:8" x14ac:dyDescent="0.25">
      <c r="A629">
        <v>12815977</v>
      </c>
      <c r="B629">
        <v>-1</v>
      </c>
      <c r="C629">
        <v>0</v>
      </c>
      <c r="D629">
        <v>0</v>
      </c>
      <c r="E629">
        <v>0</v>
      </c>
      <c r="F629">
        <v>0</v>
      </c>
      <c r="G629">
        <v>1</v>
      </c>
      <c r="H629">
        <v>0</v>
      </c>
    </row>
    <row r="630" spans="1:8" x14ac:dyDescent="0.25">
      <c r="A630">
        <v>12826228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</row>
    <row r="631" spans="1:8" x14ac:dyDescent="0.25">
      <c r="A631">
        <v>12832631</v>
      </c>
      <c r="B631">
        <v>113</v>
      </c>
      <c r="C631">
        <v>18</v>
      </c>
      <c r="D631">
        <v>7</v>
      </c>
      <c r="E631">
        <v>25</v>
      </c>
      <c r="F631">
        <v>94</v>
      </c>
      <c r="G631">
        <v>257</v>
      </c>
      <c r="H631">
        <v>69.898600000000002</v>
      </c>
    </row>
    <row r="632" spans="1:8" x14ac:dyDescent="0.25">
      <c r="A632">
        <v>12840408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</row>
    <row r="633" spans="1:8" x14ac:dyDescent="0.25">
      <c r="A633">
        <v>12852431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</row>
    <row r="634" spans="1:8" x14ac:dyDescent="0.25">
      <c r="A634">
        <v>12854111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</row>
    <row r="635" spans="1:8" x14ac:dyDescent="0.25">
      <c r="A635">
        <v>12854131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</row>
    <row r="636" spans="1:8" x14ac:dyDescent="0.25">
      <c r="A636">
        <v>12854134</v>
      </c>
      <c r="B636">
        <v>45</v>
      </c>
      <c r="C636">
        <v>14</v>
      </c>
      <c r="D636">
        <v>13</v>
      </c>
      <c r="E636">
        <v>38</v>
      </c>
      <c r="F636">
        <v>126</v>
      </c>
      <c r="G636">
        <v>300</v>
      </c>
      <c r="H636">
        <v>32.900799999999997</v>
      </c>
    </row>
    <row r="637" spans="1:8" x14ac:dyDescent="0.25">
      <c r="A637">
        <v>12854144</v>
      </c>
      <c r="B637">
        <v>828</v>
      </c>
      <c r="C637">
        <v>133</v>
      </c>
      <c r="D637">
        <v>97</v>
      </c>
      <c r="E637">
        <v>444</v>
      </c>
      <c r="F637">
        <v>1714</v>
      </c>
      <c r="G637">
        <v>3503</v>
      </c>
      <c r="H637">
        <v>8.6521000000000008</v>
      </c>
    </row>
    <row r="638" spans="1:8" x14ac:dyDescent="0.25">
      <c r="A638">
        <v>12854151</v>
      </c>
      <c r="B638">
        <v>6</v>
      </c>
      <c r="C638">
        <v>0</v>
      </c>
      <c r="D638">
        <v>0</v>
      </c>
      <c r="E638">
        <v>-1</v>
      </c>
      <c r="F638">
        <v>-2</v>
      </c>
      <c r="G638">
        <v>0</v>
      </c>
      <c r="H638">
        <v>0</v>
      </c>
    </row>
    <row r="639" spans="1:8" x14ac:dyDescent="0.25">
      <c r="A639">
        <v>12854152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</row>
    <row r="640" spans="1:8" x14ac:dyDescent="0.25">
      <c r="A640">
        <v>12867120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</row>
    <row r="641" spans="1:8" x14ac:dyDescent="0.25">
      <c r="A641">
        <v>12878384</v>
      </c>
      <c r="B641">
        <v>0</v>
      </c>
      <c r="C641">
        <v>0</v>
      </c>
      <c r="D641">
        <v>0</v>
      </c>
      <c r="E641">
        <v>0</v>
      </c>
      <c r="F641">
        <v>3</v>
      </c>
      <c r="G641">
        <v>7</v>
      </c>
      <c r="H641">
        <v>0</v>
      </c>
    </row>
    <row r="642" spans="1:8" x14ac:dyDescent="0.25">
      <c r="A642">
        <v>12890060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1</v>
      </c>
      <c r="H642">
        <v>0</v>
      </c>
    </row>
    <row r="643" spans="1:8" x14ac:dyDescent="0.25">
      <c r="A643">
        <v>12890062</v>
      </c>
      <c r="B643">
        <v>16</v>
      </c>
      <c r="C643">
        <v>0</v>
      </c>
      <c r="D643">
        <v>1</v>
      </c>
      <c r="E643">
        <v>3</v>
      </c>
      <c r="F643">
        <v>10</v>
      </c>
      <c r="G643">
        <v>38</v>
      </c>
      <c r="H643">
        <v>19.989999999999998</v>
      </c>
    </row>
    <row r="644" spans="1:8" x14ac:dyDescent="0.25">
      <c r="A644">
        <v>12890066</v>
      </c>
      <c r="B644">
        <v>7</v>
      </c>
      <c r="C644">
        <v>0</v>
      </c>
      <c r="D644">
        <v>0</v>
      </c>
      <c r="E644">
        <v>0</v>
      </c>
      <c r="F644">
        <v>4</v>
      </c>
      <c r="G644">
        <v>18</v>
      </c>
      <c r="H644">
        <v>0</v>
      </c>
    </row>
    <row r="645" spans="1:8" x14ac:dyDescent="0.25">
      <c r="A645">
        <v>12890146</v>
      </c>
      <c r="B645">
        <v>5</v>
      </c>
      <c r="C645">
        <v>0</v>
      </c>
      <c r="D645">
        <v>0</v>
      </c>
      <c r="E645">
        <v>1</v>
      </c>
      <c r="F645">
        <v>1</v>
      </c>
      <c r="G645">
        <v>1</v>
      </c>
      <c r="H645">
        <v>0</v>
      </c>
    </row>
    <row r="646" spans="1:8" x14ac:dyDescent="0.25">
      <c r="A646">
        <v>12890148</v>
      </c>
      <c r="B646">
        <v>8</v>
      </c>
      <c r="C646">
        <v>0</v>
      </c>
      <c r="D646">
        <v>0</v>
      </c>
      <c r="E646">
        <v>0</v>
      </c>
      <c r="F646">
        <v>0</v>
      </c>
      <c r="G646">
        <v>1</v>
      </c>
      <c r="H646">
        <v>0</v>
      </c>
    </row>
    <row r="647" spans="1:8" x14ac:dyDescent="0.25">
      <c r="A647">
        <v>12890156</v>
      </c>
      <c r="B647">
        <v>-1</v>
      </c>
      <c r="C647">
        <v>0</v>
      </c>
      <c r="D647">
        <v>0</v>
      </c>
      <c r="E647">
        <v>0</v>
      </c>
      <c r="F647">
        <v>0</v>
      </c>
      <c r="G647">
        <v>2</v>
      </c>
      <c r="H647">
        <v>0</v>
      </c>
    </row>
    <row r="648" spans="1:8" x14ac:dyDescent="0.25">
      <c r="A648">
        <v>12890163</v>
      </c>
      <c r="B648">
        <v>3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</row>
    <row r="649" spans="1:8" x14ac:dyDescent="0.25">
      <c r="A649">
        <v>12895369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</row>
    <row r="650" spans="1:8" x14ac:dyDescent="0.25">
      <c r="A650">
        <v>12913342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</row>
    <row r="651" spans="1:8" x14ac:dyDescent="0.25">
      <c r="A651">
        <v>12920477</v>
      </c>
      <c r="B651">
        <v>222</v>
      </c>
      <c r="C651">
        <v>170</v>
      </c>
      <c r="D651">
        <v>27</v>
      </c>
      <c r="E651">
        <v>116</v>
      </c>
      <c r="F651">
        <v>451</v>
      </c>
      <c r="G651">
        <v>1331</v>
      </c>
      <c r="H651">
        <v>11.412599999999999</v>
      </c>
    </row>
    <row r="652" spans="1:8" x14ac:dyDescent="0.25">
      <c r="A652">
        <v>12942229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</row>
    <row r="653" spans="1:8" x14ac:dyDescent="0.25">
      <c r="A653">
        <v>12958687</v>
      </c>
      <c r="B653">
        <v>-1</v>
      </c>
      <c r="C653">
        <v>0</v>
      </c>
      <c r="D653">
        <v>0</v>
      </c>
      <c r="E653">
        <v>0</v>
      </c>
      <c r="F653">
        <v>0</v>
      </c>
      <c r="G653">
        <v>4</v>
      </c>
      <c r="H653">
        <v>0</v>
      </c>
    </row>
    <row r="654" spans="1:8" x14ac:dyDescent="0.25">
      <c r="A654">
        <v>12958688</v>
      </c>
      <c r="B654">
        <v>16</v>
      </c>
      <c r="C654">
        <v>0</v>
      </c>
      <c r="D654">
        <v>7</v>
      </c>
      <c r="E654">
        <v>24</v>
      </c>
      <c r="F654">
        <v>68</v>
      </c>
      <c r="G654">
        <v>110</v>
      </c>
      <c r="H654">
        <v>19.371400000000001</v>
      </c>
    </row>
    <row r="655" spans="1:8" x14ac:dyDescent="0.25">
      <c r="A655">
        <v>12961078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</row>
    <row r="656" spans="1:8" x14ac:dyDescent="0.25">
      <c r="A656">
        <v>12962479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</row>
    <row r="657" spans="1:8" x14ac:dyDescent="0.25">
      <c r="A657">
        <v>12964102</v>
      </c>
      <c r="B657">
        <v>1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</row>
    <row r="658" spans="1:8" x14ac:dyDescent="0.25">
      <c r="A658">
        <v>12972389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</row>
    <row r="659" spans="1:8" x14ac:dyDescent="0.25">
      <c r="A659">
        <v>12978688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2</v>
      </c>
      <c r="H659">
        <v>0</v>
      </c>
    </row>
    <row r="660" spans="1:8" x14ac:dyDescent="0.25">
      <c r="A660">
        <v>12982286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</row>
    <row r="661" spans="1:8" x14ac:dyDescent="0.25">
      <c r="A661">
        <v>12982866</v>
      </c>
      <c r="B661">
        <v>4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</row>
    <row r="662" spans="1:8" x14ac:dyDescent="0.25">
      <c r="A662">
        <v>12983603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</row>
    <row r="663" spans="1:8" x14ac:dyDescent="0.25">
      <c r="A663">
        <v>12984954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</row>
    <row r="664" spans="1:8" x14ac:dyDescent="0.25">
      <c r="A664">
        <v>12985147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</row>
    <row r="665" spans="1:8" x14ac:dyDescent="0.25">
      <c r="A665">
        <v>12985591</v>
      </c>
      <c r="B665">
        <v>1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</row>
    <row r="666" spans="1:8" x14ac:dyDescent="0.25">
      <c r="A666">
        <v>12989042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</row>
    <row r="667" spans="1:8" x14ac:dyDescent="0.25">
      <c r="A667">
        <v>12991275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</row>
    <row r="668" spans="1:8" x14ac:dyDescent="0.25">
      <c r="A668">
        <v>12991276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</row>
    <row r="669" spans="1:8" x14ac:dyDescent="0.25">
      <c r="A669">
        <v>12999493</v>
      </c>
      <c r="B669">
        <v>2</v>
      </c>
      <c r="C669">
        <v>0</v>
      </c>
      <c r="D669">
        <v>3</v>
      </c>
      <c r="E669">
        <v>5</v>
      </c>
      <c r="F669">
        <v>30</v>
      </c>
      <c r="G669">
        <v>86</v>
      </c>
      <c r="H669">
        <v>34.99</v>
      </c>
    </row>
    <row r="670" spans="1:8" x14ac:dyDescent="0.25">
      <c r="A670">
        <v>12999494</v>
      </c>
      <c r="B670">
        <v>12</v>
      </c>
      <c r="C670">
        <v>0</v>
      </c>
      <c r="D670">
        <v>2</v>
      </c>
      <c r="E670">
        <v>5</v>
      </c>
      <c r="F670">
        <v>37</v>
      </c>
      <c r="G670">
        <v>182</v>
      </c>
      <c r="H670">
        <v>19.885000000000002</v>
      </c>
    </row>
    <row r="671" spans="1:8" x14ac:dyDescent="0.25">
      <c r="A671">
        <v>13008576</v>
      </c>
      <c r="B671">
        <v>57</v>
      </c>
      <c r="C671">
        <v>100</v>
      </c>
      <c r="D671">
        <v>7</v>
      </c>
      <c r="E671">
        <v>60</v>
      </c>
      <c r="F671">
        <v>131</v>
      </c>
      <c r="G671">
        <v>231</v>
      </c>
      <c r="H671">
        <v>455.70710000000003</v>
      </c>
    </row>
    <row r="672" spans="1:8" x14ac:dyDescent="0.25">
      <c r="A672">
        <v>13015031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</row>
    <row r="673" spans="1:8" x14ac:dyDescent="0.25">
      <c r="A673">
        <v>13015045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</row>
    <row r="674" spans="1:8" x14ac:dyDescent="0.25">
      <c r="A674">
        <v>13015046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</row>
    <row r="675" spans="1:8" x14ac:dyDescent="0.25">
      <c r="A675">
        <v>13015073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</row>
    <row r="676" spans="1:8" x14ac:dyDescent="0.25">
      <c r="A676">
        <v>13015086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</row>
    <row r="677" spans="1:8" x14ac:dyDescent="0.25">
      <c r="A677">
        <v>13015088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</row>
    <row r="678" spans="1:8" x14ac:dyDescent="0.25">
      <c r="A678">
        <v>13018337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</row>
    <row r="679" spans="1:8" x14ac:dyDescent="0.25">
      <c r="A679">
        <v>13018631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</row>
    <row r="680" spans="1:8" x14ac:dyDescent="0.25">
      <c r="A680">
        <v>13018636</v>
      </c>
      <c r="B680">
        <v>10</v>
      </c>
      <c r="C680">
        <v>0</v>
      </c>
      <c r="D680">
        <v>0</v>
      </c>
      <c r="E680">
        <v>0</v>
      </c>
      <c r="F680">
        <v>0</v>
      </c>
      <c r="G680">
        <v>5</v>
      </c>
      <c r="H680">
        <v>0</v>
      </c>
    </row>
    <row r="681" spans="1:8" x14ac:dyDescent="0.25">
      <c r="A681">
        <v>13023247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</row>
    <row r="682" spans="1:8" x14ac:dyDescent="0.25">
      <c r="A682">
        <v>13023250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</row>
    <row r="683" spans="1:8" x14ac:dyDescent="0.25">
      <c r="A683">
        <v>13023252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</row>
    <row r="684" spans="1:8" x14ac:dyDescent="0.25">
      <c r="A684">
        <v>13023862</v>
      </c>
      <c r="B684">
        <v>41</v>
      </c>
      <c r="C684">
        <v>0</v>
      </c>
      <c r="D684">
        <v>1</v>
      </c>
      <c r="E684">
        <v>1</v>
      </c>
      <c r="F684">
        <v>4</v>
      </c>
      <c r="G684">
        <v>4</v>
      </c>
      <c r="H684">
        <v>29.99</v>
      </c>
    </row>
    <row r="685" spans="1:8" x14ac:dyDescent="0.25">
      <c r="A685">
        <v>13023863</v>
      </c>
      <c r="B685">
        <v>18</v>
      </c>
      <c r="C685">
        <v>0</v>
      </c>
      <c r="D685">
        <v>0</v>
      </c>
      <c r="E685">
        <v>2</v>
      </c>
      <c r="F685">
        <v>3</v>
      </c>
      <c r="G685">
        <v>5</v>
      </c>
      <c r="H685">
        <v>0</v>
      </c>
    </row>
    <row r="686" spans="1:8" x14ac:dyDescent="0.25">
      <c r="A686">
        <v>13026116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</row>
    <row r="687" spans="1:8" x14ac:dyDescent="0.25">
      <c r="A687">
        <v>13027682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</row>
    <row r="688" spans="1:8" x14ac:dyDescent="0.25">
      <c r="A688">
        <v>13029075</v>
      </c>
      <c r="B688">
        <v>4</v>
      </c>
      <c r="C688">
        <v>0</v>
      </c>
      <c r="D688">
        <v>0</v>
      </c>
      <c r="E688">
        <v>0</v>
      </c>
      <c r="F688">
        <v>1</v>
      </c>
      <c r="G688">
        <v>7</v>
      </c>
      <c r="H688">
        <v>0</v>
      </c>
    </row>
    <row r="689" spans="1:8" x14ac:dyDescent="0.25">
      <c r="A689">
        <v>13029095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</row>
    <row r="690" spans="1:8" x14ac:dyDescent="0.25">
      <c r="A690">
        <v>13029112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</row>
    <row r="691" spans="1:8" x14ac:dyDescent="0.25">
      <c r="A691">
        <v>13029113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</row>
    <row r="692" spans="1:8" x14ac:dyDescent="0.25">
      <c r="A692">
        <v>13029540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</row>
    <row r="693" spans="1:8" x14ac:dyDescent="0.25">
      <c r="A693">
        <v>13029541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</row>
    <row r="694" spans="1:8" x14ac:dyDescent="0.25">
      <c r="A694">
        <v>13031240</v>
      </c>
      <c r="B694">
        <v>9</v>
      </c>
      <c r="C694">
        <v>47</v>
      </c>
      <c r="D694">
        <v>0</v>
      </c>
      <c r="E694">
        <v>0</v>
      </c>
      <c r="F694">
        <v>22</v>
      </c>
      <c r="G694">
        <v>35</v>
      </c>
      <c r="H694">
        <v>0</v>
      </c>
    </row>
    <row r="695" spans="1:8" x14ac:dyDescent="0.25">
      <c r="A695">
        <v>13031242</v>
      </c>
      <c r="B695">
        <v>2</v>
      </c>
      <c r="C695">
        <v>0</v>
      </c>
      <c r="D695">
        <v>0</v>
      </c>
      <c r="E695">
        <v>0</v>
      </c>
      <c r="F695">
        <v>9</v>
      </c>
      <c r="G695">
        <v>9</v>
      </c>
      <c r="H695">
        <v>0</v>
      </c>
    </row>
    <row r="696" spans="1:8" x14ac:dyDescent="0.25">
      <c r="A696">
        <v>13031869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</row>
    <row r="697" spans="1:8" x14ac:dyDescent="0.25">
      <c r="A697">
        <v>13032223</v>
      </c>
      <c r="B697">
        <v>0</v>
      </c>
      <c r="C697">
        <v>0</v>
      </c>
      <c r="D697">
        <v>1</v>
      </c>
      <c r="E697">
        <v>1</v>
      </c>
      <c r="F697">
        <v>8</v>
      </c>
      <c r="G697">
        <v>9</v>
      </c>
      <c r="H697">
        <v>37.29</v>
      </c>
    </row>
    <row r="698" spans="1:8" x14ac:dyDescent="0.25">
      <c r="A698">
        <v>13035208</v>
      </c>
      <c r="B698">
        <v>1</v>
      </c>
      <c r="C698">
        <v>0</v>
      </c>
      <c r="D698">
        <v>0</v>
      </c>
      <c r="E698">
        <v>0</v>
      </c>
      <c r="F698">
        <v>0</v>
      </c>
      <c r="G698">
        <v>4</v>
      </c>
      <c r="H698">
        <v>0</v>
      </c>
    </row>
    <row r="699" spans="1:8" x14ac:dyDescent="0.25">
      <c r="A699">
        <v>13037051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</row>
    <row r="700" spans="1:8" x14ac:dyDescent="0.25">
      <c r="A700">
        <v>13038763</v>
      </c>
      <c r="B700">
        <v>2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</row>
    <row r="701" spans="1:8" x14ac:dyDescent="0.25">
      <c r="A701">
        <v>13045202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</row>
    <row r="702" spans="1:8" x14ac:dyDescent="0.25">
      <c r="A702">
        <v>13047992</v>
      </c>
      <c r="B702">
        <v>1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</row>
    <row r="703" spans="1:8" x14ac:dyDescent="0.25">
      <c r="A703">
        <v>13048186</v>
      </c>
      <c r="B703">
        <v>348</v>
      </c>
      <c r="C703">
        <v>101</v>
      </c>
      <c r="D703">
        <v>30</v>
      </c>
      <c r="E703">
        <v>128</v>
      </c>
      <c r="F703">
        <v>402</v>
      </c>
      <c r="G703">
        <v>764</v>
      </c>
      <c r="H703">
        <v>11.7723</v>
      </c>
    </row>
    <row r="704" spans="1:8" x14ac:dyDescent="0.25">
      <c r="A704">
        <v>13049091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</row>
    <row r="705" spans="1:8" x14ac:dyDescent="0.25">
      <c r="A705">
        <v>13049092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</row>
    <row r="706" spans="1:8" x14ac:dyDescent="0.25">
      <c r="A706">
        <v>13051311</v>
      </c>
      <c r="B706">
        <v>1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</row>
    <row r="707" spans="1:8" x14ac:dyDescent="0.25">
      <c r="A707">
        <v>13058825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</row>
    <row r="708" spans="1:8" x14ac:dyDescent="0.25">
      <c r="A708">
        <v>13058841</v>
      </c>
      <c r="B708">
        <v>174</v>
      </c>
      <c r="C708">
        <v>0</v>
      </c>
      <c r="D708">
        <v>1</v>
      </c>
      <c r="E708">
        <v>1</v>
      </c>
      <c r="F708">
        <v>3</v>
      </c>
      <c r="G708">
        <v>10</v>
      </c>
      <c r="H708">
        <v>199.99</v>
      </c>
    </row>
    <row r="709" spans="1:8" x14ac:dyDescent="0.25">
      <c r="A709">
        <v>13058940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</row>
    <row r="710" spans="1:8" x14ac:dyDescent="0.25">
      <c r="A710">
        <v>13059043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</row>
    <row r="711" spans="1:8" x14ac:dyDescent="0.25">
      <c r="A711">
        <v>13062129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</row>
    <row r="712" spans="1:8" x14ac:dyDescent="0.25">
      <c r="A712">
        <v>13062131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</row>
    <row r="713" spans="1:8" x14ac:dyDescent="0.25">
      <c r="A713">
        <v>13062132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</row>
    <row r="714" spans="1:8" x14ac:dyDescent="0.25">
      <c r="A714">
        <v>13064749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</row>
    <row r="715" spans="1:8" x14ac:dyDescent="0.25">
      <c r="A715">
        <v>13064750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</row>
    <row r="716" spans="1:8" x14ac:dyDescent="0.25">
      <c r="A716">
        <v>13064751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</row>
    <row r="717" spans="1:8" x14ac:dyDescent="0.25">
      <c r="A717">
        <v>13065182</v>
      </c>
      <c r="B717">
        <v>69</v>
      </c>
      <c r="C717">
        <v>74</v>
      </c>
      <c r="D717">
        <v>6</v>
      </c>
      <c r="E717">
        <v>23</v>
      </c>
      <c r="F717">
        <v>73</v>
      </c>
      <c r="G717">
        <v>160</v>
      </c>
      <c r="H717">
        <v>32.146700000000003</v>
      </c>
    </row>
    <row r="718" spans="1:8" x14ac:dyDescent="0.25">
      <c r="A718">
        <v>13079107</v>
      </c>
      <c r="B718">
        <v>172</v>
      </c>
      <c r="C718">
        <v>0</v>
      </c>
      <c r="D718">
        <v>6</v>
      </c>
      <c r="E718">
        <v>36</v>
      </c>
      <c r="F718">
        <v>121</v>
      </c>
      <c r="G718">
        <v>352</v>
      </c>
      <c r="H718">
        <v>31.5883</v>
      </c>
    </row>
    <row r="719" spans="1:8" x14ac:dyDescent="0.25">
      <c r="A719">
        <v>13079108</v>
      </c>
      <c r="B719">
        <v>97</v>
      </c>
      <c r="C719">
        <v>4</v>
      </c>
      <c r="D719">
        <v>1</v>
      </c>
      <c r="E719">
        <v>5</v>
      </c>
      <c r="F719">
        <v>39</v>
      </c>
      <c r="G719">
        <v>92</v>
      </c>
      <c r="H719">
        <v>49.99</v>
      </c>
    </row>
    <row r="720" spans="1:8" x14ac:dyDescent="0.25">
      <c r="A720">
        <v>13079109</v>
      </c>
      <c r="B720">
        <v>448</v>
      </c>
      <c r="C720">
        <v>0</v>
      </c>
      <c r="D720">
        <v>9</v>
      </c>
      <c r="E720">
        <v>61</v>
      </c>
      <c r="F720">
        <v>317</v>
      </c>
      <c r="G720">
        <v>830</v>
      </c>
      <c r="H720">
        <v>6.9511000000000003</v>
      </c>
    </row>
    <row r="721" spans="1:8" x14ac:dyDescent="0.25">
      <c r="A721">
        <v>13081314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</row>
    <row r="722" spans="1:8" x14ac:dyDescent="0.25">
      <c r="A722">
        <v>13081315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</row>
    <row r="723" spans="1:8" x14ac:dyDescent="0.25">
      <c r="A723">
        <v>13089219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1</v>
      </c>
      <c r="H723">
        <v>0</v>
      </c>
    </row>
    <row r="724" spans="1:8" x14ac:dyDescent="0.25">
      <c r="A724">
        <v>13090507</v>
      </c>
      <c r="B724">
        <v>852</v>
      </c>
      <c r="C724">
        <v>176</v>
      </c>
      <c r="D724">
        <v>87</v>
      </c>
      <c r="E724">
        <v>356</v>
      </c>
      <c r="F724">
        <v>1158</v>
      </c>
      <c r="G724">
        <v>2425</v>
      </c>
      <c r="H724">
        <v>23.539200000000001</v>
      </c>
    </row>
    <row r="725" spans="1:8" x14ac:dyDescent="0.25">
      <c r="A725">
        <v>13093519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</row>
    <row r="726" spans="1:8" x14ac:dyDescent="0.25">
      <c r="A726">
        <v>13095041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</row>
    <row r="727" spans="1:8" x14ac:dyDescent="0.25">
      <c r="A727">
        <v>13095042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</row>
    <row r="728" spans="1:8" x14ac:dyDescent="0.25">
      <c r="A728">
        <v>13095043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</row>
    <row r="729" spans="1:8" x14ac:dyDescent="0.25">
      <c r="A729">
        <v>13106443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</row>
    <row r="730" spans="1:8" x14ac:dyDescent="0.25">
      <c r="A730">
        <v>13106444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</row>
    <row r="731" spans="1:8" x14ac:dyDescent="0.25">
      <c r="A731">
        <v>13106854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</row>
    <row r="732" spans="1:8" x14ac:dyDescent="0.25">
      <c r="A732">
        <v>13107508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</row>
    <row r="733" spans="1:8" x14ac:dyDescent="0.25">
      <c r="A733">
        <v>13110969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</row>
    <row r="734" spans="1:8" x14ac:dyDescent="0.25">
      <c r="A734">
        <v>13117536</v>
      </c>
      <c r="B734">
        <v>27</v>
      </c>
      <c r="C734">
        <v>0</v>
      </c>
      <c r="D734">
        <v>0</v>
      </c>
      <c r="E734">
        <v>3</v>
      </c>
      <c r="F734">
        <v>24</v>
      </c>
      <c r="G734">
        <v>36</v>
      </c>
      <c r="H734">
        <v>0</v>
      </c>
    </row>
    <row r="735" spans="1:8" x14ac:dyDescent="0.25">
      <c r="A735">
        <v>13117537</v>
      </c>
      <c r="B735">
        <v>16</v>
      </c>
      <c r="C735">
        <v>0</v>
      </c>
      <c r="D735">
        <v>0</v>
      </c>
      <c r="E735">
        <v>0</v>
      </c>
      <c r="F735">
        <v>15</v>
      </c>
      <c r="G735">
        <v>32</v>
      </c>
      <c r="H735">
        <v>0</v>
      </c>
    </row>
    <row r="736" spans="1:8" x14ac:dyDescent="0.25">
      <c r="A736">
        <v>13117538</v>
      </c>
      <c r="B736">
        <v>2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</row>
    <row r="737" spans="1:8" x14ac:dyDescent="0.25">
      <c r="A737">
        <v>13120107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</row>
    <row r="738" spans="1:8" x14ac:dyDescent="0.25">
      <c r="A738">
        <v>13120108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</row>
    <row r="739" spans="1:8" x14ac:dyDescent="0.25">
      <c r="A739">
        <v>13126244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</row>
    <row r="740" spans="1:8" x14ac:dyDescent="0.25">
      <c r="A740">
        <v>13132821</v>
      </c>
      <c r="B740">
        <v>729</v>
      </c>
      <c r="C740">
        <v>120</v>
      </c>
      <c r="D740">
        <v>28</v>
      </c>
      <c r="E740">
        <v>135</v>
      </c>
      <c r="F740">
        <v>426</v>
      </c>
      <c r="G740">
        <v>854</v>
      </c>
      <c r="H740">
        <v>15.4979</v>
      </c>
    </row>
    <row r="741" spans="1:8" x14ac:dyDescent="0.25">
      <c r="A741">
        <v>13132828</v>
      </c>
      <c r="B741">
        <v>454</v>
      </c>
      <c r="C741">
        <v>48</v>
      </c>
      <c r="D741">
        <v>10</v>
      </c>
      <c r="E741">
        <v>43</v>
      </c>
      <c r="F741">
        <v>161</v>
      </c>
      <c r="G741">
        <v>310</v>
      </c>
      <c r="H741">
        <v>24.856999999999999</v>
      </c>
    </row>
    <row r="742" spans="1:8" x14ac:dyDescent="0.25">
      <c r="A742">
        <v>13132829</v>
      </c>
      <c r="B742">
        <v>604</v>
      </c>
      <c r="C742">
        <v>96</v>
      </c>
      <c r="D742">
        <v>32</v>
      </c>
      <c r="E742">
        <v>176</v>
      </c>
      <c r="F742">
        <v>544</v>
      </c>
      <c r="G742">
        <v>1027</v>
      </c>
      <c r="H742">
        <v>12.5</v>
      </c>
    </row>
    <row r="743" spans="1:8" x14ac:dyDescent="0.25">
      <c r="A743">
        <v>13132830</v>
      </c>
      <c r="B743">
        <v>727</v>
      </c>
      <c r="C743">
        <v>144</v>
      </c>
      <c r="D743">
        <v>39</v>
      </c>
      <c r="E743">
        <v>126</v>
      </c>
      <c r="F743">
        <v>374</v>
      </c>
      <c r="G743">
        <v>786</v>
      </c>
      <c r="H743">
        <v>34.297899999999998</v>
      </c>
    </row>
    <row r="744" spans="1:8" x14ac:dyDescent="0.25">
      <c r="A744">
        <v>13132831</v>
      </c>
      <c r="B744">
        <v>618</v>
      </c>
      <c r="C744">
        <v>0</v>
      </c>
      <c r="D744">
        <v>53</v>
      </c>
      <c r="E744">
        <v>160</v>
      </c>
      <c r="F744">
        <v>350</v>
      </c>
      <c r="G744">
        <v>633</v>
      </c>
      <c r="H744">
        <v>29.316199999999998</v>
      </c>
    </row>
    <row r="745" spans="1:8" x14ac:dyDescent="0.25">
      <c r="A745">
        <v>13132843</v>
      </c>
      <c r="B745">
        <v>357</v>
      </c>
      <c r="C745">
        <v>144</v>
      </c>
      <c r="D745">
        <v>17</v>
      </c>
      <c r="E745">
        <v>104</v>
      </c>
      <c r="F745">
        <v>336</v>
      </c>
      <c r="G745">
        <v>705</v>
      </c>
      <c r="H745">
        <v>71.271799999999999</v>
      </c>
    </row>
    <row r="746" spans="1:8" x14ac:dyDescent="0.25">
      <c r="A746">
        <v>13143952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</row>
    <row r="747" spans="1:8" x14ac:dyDescent="0.25">
      <c r="A747">
        <v>13165980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</row>
    <row r="748" spans="1:8" x14ac:dyDescent="0.25">
      <c r="A748">
        <v>13176362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</row>
    <row r="749" spans="1:8" x14ac:dyDescent="0.25">
      <c r="A749">
        <v>13205378</v>
      </c>
      <c r="B749">
        <v>5</v>
      </c>
      <c r="C749">
        <v>0</v>
      </c>
      <c r="D749">
        <v>0</v>
      </c>
      <c r="E749">
        <v>0</v>
      </c>
      <c r="F749">
        <v>0</v>
      </c>
      <c r="G749">
        <v>29</v>
      </c>
      <c r="H749">
        <v>0</v>
      </c>
    </row>
    <row r="750" spans="1:8" x14ac:dyDescent="0.25">
      <c r="A750">
        <v>13205380</v>
      </c>
      <c r="B750">
        <v>6</v>
      </c>
      <c r="C750">
        <v>0</v>
      </c>
      <c r="D750">
        <v>0</v>
      </c>
      <c r="E750">
        <v>2</v>
      </c>
      <c r="F750">
        <v>15</v>
      </c>
      <c r="G750">
        <v>22</v>
      </c>
      <c r="H750">
        <v>0</v>
      </c>
    </row>
    <row r="751" spans="1:8" x14ac:dyDescent="0.25">
      <c r="A751">
        <v>13205397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</row>
    <row r="752" spans="1:8" x14ac:dyDescent="0.25">
      <c r="A752">
        <v>13205403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</row>
    <row r="753" spans="1:8" x14ac:dyDescent="0.25">
      <c r="A753">
        <v>13205405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</row>
    <row r="754" spans="1:8" x14ac:dyDescent="0.25">
      <c r="A754">
        <v>13227392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</row>
    <row r="755" spans="1:8" x14ac:dyDescent="0.25">
      <c r="A755">
        <v>13229130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</row>
    <row r="756" spans="1:8" x14ac:dyDescent="0.25">
      <c r="A756">
        <v>13231079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</row>
    <row r="757" spans="1:8" x14ac:dyDescent="0.25">
      <c r="A757">
        <v>13242627</v>
      </c>
      <c r="B757">
        <v>159</v>
      </c>
      <c r="C757">
        <v>0</v>
      </c>
      <c r="D757">
        <v>8</v>
      </c>
      <c r="E757">
        <v>81</v>
      </c>
      <c r="F757">
        <v>284</v>
      </c>
      <c r="G757">
        <v>921</v>
      </c>
      <c r="H757">
        <v>37.002499999999998</v>
      </c>
    </row>
    <row r="758" spans="1:8" x14ac:dyDescent="0.25">
      <c r="A758">
        <v>13242628</v>
      </c>
      <c r="B758">
        <v>244</v>
      </c>
      <c r="C758">
        <v>10</v>
      </c>
      <c r="D758">
        <v>30</v>
      </c>
      <c r="E758">
        <v>69</v>
      </c>
      <c r="F758">
        <v>223</v>
      </c>
      <c r="G758">
        <v>942</v>
      </c>
      <c r="H758">
        <v>24.335000000000001</v>
      </c>
    </row>
    <row r="759" spans="1:8" x14ac:dyDescent="0.25">
      <c r="A759">
        <v>13242789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</row>
    <row r="760" spans="1:8" x14ac:dyDescent="0.25">
      <c r="A760">
        <v>13246609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</row>
    <row r="761" spans="1:8" x14ac:dyDescent="0.25">
      <c r="A761">
        <v>13249835</v>
      </c>
      <c r="B761">
        <v>177</v>
      </c>
      <c r="C761">
        <v>0</v>
      </c>
      <c r="D761">
        <v>3</v>
      </c>
      <c r="E761">
        <v>21</v>
      </c>
      <c r="F761">
        <v>81</v>
      </c>
      <c r="G761">
        <v>196</v>
      </c>
      <c r="H761">
        <v>14.99</v>
      </c>
    </row>
    <row r="762" spans="1:8" x14ac:dyDescent="0.25">
      <c r="A762">
        <v>13257806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</row>
    <row r="763" spans="1:8" x14ac:dyDescent="0.25">
      <c r="A763">
        <v>13266378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</row>
    <row r="764" spans="1:8" x14ac:dyDescent="0.25">
      <c r="A764">
        <v>13277295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</row>
    <row r="765" spans="1:8" x14ac:dyDescent="0.25">
      <c r="A765">
        <v>13278608</v>
      </c>
      <c r="B765">
        <v>103</v>
      </c>
      <c r="C765">
        <v>27</v>
      </c>
      <c r="D765">
        <v>21</v>
      </c>
      <c r="E765">
        <v>79</v>
      </c>
      <c r="F765">
        <v>220</v>
      </c>
      <c r="G765">
        <v>221</v>
      </c>
      <c r="H765">
        <v>66.374799999999993</v>
      </c>
    </row>
    <row r="766" spans="1:8" x14ac:dyDescent="0.25">
      <c r="A766">
        <v>13291688</v>
      </c>
      <c r="B766">
        <v>526</v>
      </c>
      <c r="C766">
        <v>156</v>
      </c>
      <c r="D766">
        <v>16</v>
      </c>
      <c r="E766">
        <v>100</v>
      </c>
      <c r="F766">
        <v>420</v>
      </c>
      <c r="G766">
        <v>1043</v>
      </c>
      <c r="H766">
        <v>194.46879999999999</v>
      </c>
    </row>
    <row r="767" spans="1:8" x14ac:dyDescent="0.25">
      <c r="A767">
        <v>13293512</v>
      </c>
      <c r="B767">
        <v>1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</row>
    <row r="768" spans="1:8" x14ac:dyDescent="0.25">
      <c r="A768">
        <v>13293513</v>
      </c>
      <c r="B768">
        <v>-1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</row>
    <row r="769" spans="1:8" x14ac:dyDescent="0.25">
      <c r="A769">
        <v>13293641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</row>
    <row r="770" spans="1:8" x14ac:dyDescent="0.25">
      <c r="A770">
        <v>13293642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</row>
    <row r="771" spans="1:8" x14ac:dyDescent="0.25">
      <c r="A771">
        <v>13293684</v>
      </c>
      <c r="B771">
        <v>5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</row>
    <row r="772" spans="1:8" x14ac:dyDescent="0.25">
      <c r="A772">
        <v>13309063</v>
      </c>
      <c r="B772">
        <v>0</v>
      </c>
      <c r="C772">
        <v>0</v>
      </c>
      <c r="D772">
        <v>0</v>
      </c>
      <c r="E772">
        <v>0</v>
      </c>
      <c r="F772">
        <v>4</v>
      </c>
      <c r="G772">
        <v>6</v>
      </c>
      <c r="H772">
        <v>0</v>
      </c>
    </row>
    <row r="773" spans="1:8" x14ac:dyDescent="0.25">
      <c r="A773">
        <v>13309064</v>
      </c>
      <c r="B773">
        <v>-1</v>
      </c>
      <c r="C773">
        <v>0</v>
      </c>
      <c r="D773">
        <v>0</v>
      </c>
      <c r="E773">
        <v>0</v>
      </c>
      <c r="F773">
        <v>0</v>
      </c>
      <c r="G773">
        <v>39</v>
      </c>
      <c r="H773">
        <v>0</v>
      </c>
    </row>
    <row r="774" spans="1:8" x14ac:dyDescent="0.25">
      <c r="A774">
        <v>13309065</v>
      </c>
      <c r="B774">
        <v>46</v>
      </c>
      <c r="C774">
        <v>72</v>
      </c>
      <c r="D774">
        <v>6</v>
      </c>
      <c r="E774">
        <v>8</v>
      </c>
      <c r="F774">
        <v>27</v>
      </c>
      <c r="G774">
        <v>96</v>
      </c>
      <c r="H774">
        <v>76.993300000000005</v>
      </c>
    </row>
    <row r="775" spans="1:8" x14ac:dyDescent="0.25">
      <c r="A775">
        <v>13309066</v>
      </c>
      <c r="B775">
        <v>1</v>
      </c>
      <c r="C775">
        <v>0</v>
      </c>
      <c r="D775">
        <v>0</v>
      </c>
      <c r="E775">
        <v>0</v>
      </c>
      <c r="F775">
        <v>0</v>
      </c>
      <c r="G775">
        <v>33</v>
      </c>
      <c r="H775">
        <v>0</v>
      </c>
    </row>
    <row r="776" spans="1:8" x14ac:dyDescent="0.25">
      <c r="A776">
        <v>13309913</v>
      </c>
      <c r="B776">
        <v>109</v>
      </c>
      <c r="C776">
        <v>12</v>
      </c>
      <c r="D776">
        <v>4</v>
      </c>
      <c r="E776">
        <v>14</v>
      </c>
      <c r="F776">
        <v>31</v>
      </c>
      <c r="G776">
        <v>94</v>
      </c>
      <c r="H776">
        <v>359</v>
      </c>
    </row>
    <row r="777" spans="1:8" x14ac:dyDescent="0.25">
      <c r="A777">
        <v>13309914</v>
      </c>
      <c r="B777">
        <v>90</v>
      </c>
      <c r="C777">
        <v>0</v>
      </c>
      <c r="D777">
        <v>2</v>
      </c>
      <c r="E777">
        <v>3</v>
      </c>
      <c r="F777">
        <v>10</v>
      </c>
      <c r="G777">
        <v>34</v>
      </c>
      <c r="H777">
        <v>357.05</v>
      </c>
    </row>
    <row r="778" spans="1:8" x14ac:dyDescent="0.25">
      <c r="A778">
        <v>13309916</v>
      </c>
      <c r="B778">
        <v>5</v>
      </c>
      <c r="C778">
        <v>0</v>
      </c>
      <c r="D778">
        <v>0</v>
      </c>
      <c r="E778">
        <v>0</v>
      </c>
      <c r="F778">
        <v>0</v>
      </c>
      <c r="G778">
        <v>1</v>
      </c>
      <c r="H778">
        <v>0</v>
      </c>
    </row>
    <row r="779" spans="1:8" x14ac:dyDescent="0.25">
      <c r="A779">
        <v>13313159</v>
      </c>
      <c r="B779">
        <v>3</v>
      </c>
      <c r="C779">
        <v>0</v>
      </c>
      <c r="D779">
        <v>1</v>
      </c>
      <c r="E779">
        <v>3</v>
      </c>
      <c r="F779">
        <v>6</v>
      </c>
      <c r="G779">
        <v>16</v>
      </c>
      <c r="H779">
        <v>371.45</v>
      </c>
    </row>
    <row r="780" spans="1:8" x14ac:dyDescent="0.25">
      <c r="A780">
        <v>13319084</v>
      </c>
      <c r="B780">
        <v>22</v>
      </c>
      <c r="C780">
        <v>0</v>
      </c>
      <c r="D780">
        <v>0</v>
      </c>
      <c r="E780">
        <v>0</v>
      </c>
      <c r="F780">
        <v>3</v>
      </c>
      <c r="G780">
        <v>13</v>
      </c>
      <c r="H780">
        <v>0</v>
      </c>
    </row>
    <row r="781" spans="1:8" x14ac:dyDescent="0.25">
      <c r="A781">
        <v>13319088</v>
      </c>
      <c r="B781">
        <v>40</v>
      </c>
      <c r="C781">
        <v>0</v>
      </c>
      <c r="D781">
        <v>4</v>
      </c>
      <c r="E781">
        <v>7</v>
      </c>
      <c r="F781">
        <v>28</v>
      </c>
      <c r="G781">
        <v>120</v>
      </c>
      <c r="H781">
        <v>31.35</v>
      </c>
    </row>
    <row r="782" spans="1:8" x14ac:dyDescent="0.25">
      <c r="A782">
        <v>13327680</v>
      </c>
      <c r="B782">
        <v>16</v>
      </c>
      <c r="C782">
        <v>4</v>
      </c>
      <c r="D782">
        <v>4</v>
      </c>
      <c r="E782">
        <v>7</v>
      </c>
      <c r="F782">
        <v>33</v>
      </c>
      <c r="G782">
        <v>58</v>
      </c>
      <c r="H782">
        <v>232.49</v>
      </c>
    </row>
    <row r="783" spans="1:8" x14ac:dyDescent="0.25">
      <c r="A783">
        <v>13353755</v>
      </c>
      <c r="B783">
        <v>59</v>
      </c>
      <c r="C783">
        <v>53</v>
      </c>
      <c r="D783">
        <v>4</v>
      </c>
      <c r="E783">
        <v>26</v>
      </c>
      <c r="F783">
        <v>69</v>
      </c>
      <c r="G783">
        <v>134</v>
      </c>
      <c r="H783">
        <v>99.99</v>
      </c>
    </row>
    <row r="784" spans="1:8" x14ac:dyDescent="0.25">
      <c r="A784">
        <v>13362534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</row>
    <row r="785" spans="1:8" x14ac:dyDescent="0.25">
      <c r="A785">
        <v>13364057</v>
      </c>
      <c r="B785">
        <v>103</v>
      </c>
      <c r="C785">
        <v>1</v>
      </c>
      <c r="D785">
        <v>4</v>
      </c>
      <c r="E785">
        <v>17</v>
      </c>
      <c r="F785">
        <v>60</v>
      </c>
      <c r="G785">
        <v>129</v>
      </c>
      <c r="H785">
        <v>65.502499999999998</v>
      </c>
    </row>
    <row r="786" spans="1:8" x14ac:dyDescent="0.25">
      <c r="A786">
        <v>13364059</v>
      </c>
      <c r="B786">
        <v>24</v>
      </c>
      <c r="C786">
        <v>0</v>
      </c>
      <c r="D786">
        <v>1</v>
      </c>
      <c r="E786">
        <v>3</v>
      </c>
      <c r="F786">
        <v>17</v>
      </c>
      <c r="G786">
        <v>105</v>
      </c>
      <c r="H786">
        <v>17.989999999999998</v>
      </c>
    </row>
    <row r="787" spans="1:8" x14ac:dyDescent="0.25">
      <c r="A787">
        <v>13374161</v>
      </c>
      <c r="B787">
        <v>0</v>
      </c>
      <c r="C787">
        <v>0</v>
      </c>
      <c r="D787">
        <v>0</v>
      </c>
      <c r="E787">
        <v>1</v>
      </c>
      <c r="F787">
        <v>1</v>
      </c>
      <c r="G787">
        <v>1</v>
      </c>
      <c r="H787">
        <v>0</v>
      </c>
    </row>
    <row r="788" spans="1:8" x14ac:dyDescent="0.25">
      <c r="A788">
        <v>13377273</v>
      </c>
      <c r="B788">
        <v>16</v>
      </c>
      <c r="C788">
        <v>10</v>
      </c>
      <c r="D788">
        <v>1</v>
      </c>
      <c r="E788">
        <v>11</v>
      </c>
      <c r="F788">
        <v>28</v>
      </c>
      <c r="G788">
        <v>43</v>
      </c>
      <c r="H788">
        <v>9.99</v>
      </c>
    </row>
    <row r="789" spans="1:8" x14ac:dyDescent="0.25">
      <c r="A789">
        <v>13377274</v>
      </c>
      <c r="B789">
        <v>24</v>
      </c>
      <c r="C789">
        <v>0</v>
      </c>
      <c r="D789">
        <v>0</v>
      </c>
      <c r="E789">
        <v>11</v>
      </c>
      <c r="F789">
        <v>36</v>
      </c>
      <c r="G789">
        <v>51</v>
      </c>
      <c r="H789">
        <v>0</v>
      </c>
    </row>
    <row r="790" spans="1:8" x14ac:dyDescent="0.25">
      <c r="A790">
        <v>13378029</v>
      </c>
      <c r="B790">
        <v>0</v>
      </c>
      <c r="C790">
        <v>0</v>
      </c>
      <c r="D790">
        <v>0</v>
      </c>
      <c r="E790">
        <v>0</v>
      </c>
      <c r="F790">
        <v>5</v>
      </c>
      <c r="G790">
        <v>5</v>
      </c>
      <c r="H790">
        <v>0</v>
      </c>
    </row>
    <row r="791" spans="1:8" x14ac:dyDescent="0.25">
      <c r="A791">
        <v>13390564</v>
      </c>
      <c r="B791">
        <v>50</v>
      </c>
      <c r="C791">
        <v>0</v>
      </c>
      <c r="D791">
        <v>1</v>
      </c>
      <c r="E791">
        <v>10</v>
      </c>
      <c r="F791">
        <v>71</v>
      </c>
      <c r="G791">
        <v>277</v>
      </c>
      <c r="H791">
        <v>10</v>
      </c>
    </row>
    <row r="792" spans="1:8" x14ac:dyDescent="0.25">
      <c r="A792">
        <v>13390569</v>
      </c>
      <c r="B792">
        <v>29</v>
      </c>
      <c r="C792">
        <v>0</v>
      </c>
      <c r="D792">
        <v>0</v>
      </c>
      <c r="E792">
        <v>3</v>
      </c>
      <c r="F792">
        <v>17</v>
      </c>
      <c r="G792">
        <v>35</v>
      </c>
      <c r="H792">
        <v>0</v>
      </c>
    </row>
    <row r="793" spans="1:8" x14ac:dyDescent="0.25">
      <c r="A793">
        <v>13390570</v>
      </c>
      <c r="B793">
        <v>84</v>
      </c>
      <c r="C793">
        <v>0</v>
      </c>
      <c r="D793">
        <v>5</v>
      </c>
      <c r="E793">
        <v>16</v>
      </c>
      <c r="F793">
        <v>34</v>
      </c>
      <c r="G793">
        <v>64</v>
      </c>
      <c r="H793">
        <v>29.99</v>
      </c>
    </row>
    <row r="794" spans="1:8" x14ac:dyDescent="0.25">
      <c r="A794">
        <v>13395738</v>
      </c>
      <c r="B794">
        <v>1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</row>
    <row r="795" spans="1:8" x14ac:dyDescent="0.25">
      <c r="A795">
        <v>13399102</v>
      </c>
      <c r="B795">
        <v>-2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</row>
    <row r="796" spans="1:8" x14ac:dyDescent="0.25">
      <c r="A796">
        <v>13399103</v>
      </c>
      <c r="B796">
        <v>5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</row>
    <row r="797" spans="1:8" x14ac:dyDescent="0.25">
      <c r="A797">
        <v>13401810</v>
      </c>
      <c r="B797">
        <v>1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</row>
    <row r="798" spans="1:8" x14ac:dyDescent="0.25">
      <c r="A798">
        <v>13401812</v>
      </c>
      <c r="B798">
        <v>2</v>
      </c>
      <c r="C798">
        <v>0</v>
      </c>
      <c r="D798">
        <v>0</v>
      </c>
      <c r="E798">
        <v>0</v>
      </c>
      <c r="F798">
        <v>0</v>
      </c>
      <c r="G798">
        <v>1</v>
      </c>
      <c r="H798">
        <v>0</v>
      </c>
    </row>
    <row r="799" spans="1:8" x14ac:dyDescent="0.25">
      <c r="A799">
        <v>13428727</v>
      </c>
      <c r="B799">
        <v>0</v>
      </c>
      <c r="C799">
        <v>0</v>
      </c>
      <c r="D799">
        <v>0</v>
      </c>
      <c r="E799">
        <v>0</v>
      </c>
      <c r="F799">
        <v>2</v>
      </c>
      <c r="G799">
        <v>6</v>
      </c>
      <c r="H799">
        <v>0</v>
      </c>
    </row>
    <row r="800" spans="1:8" x14ac:dyDescent="0.25">
      <c r="A800">
        <v>13430588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</row>
    <row r="801" spans="1:8" x14ac:dyDescent="0.25">
      <c r="A801">
        <v>13437689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</row>
    <row r="802" spans="1:8" x14ac:dyDescent="0.25">
      <c r="A802">
        <v>13442930</v>
      </c>
      <c r="B802">
        <v>55</v>
      </c>
      <c r="C802">
        <v>30</v>
      </c>
      <c r="D802">
        <v>4</v>
      </c>
      <c r="E802">
        <v>11</v>
      </c>
      <c r="F802">
        <v>51</v>
      </c>
      <c r="G802">
        <v>100</v>
      </c>
      <c r="H802">
        <v>17.989999999999998</v>
      </c>
    </row>
    <row r="803" spans="1:8" x14ac:dyDescent="0.25">
      <c r="A803">
        <v>13442931</v>
      </c>
      <c r="B803">
        <v>101</v>
      </c>
      <c r="C803">
        <v>39</v>
      </c>
      <c r="D803">
        <v>1</v>
      </c>
      <c r="E803">
        <v>8</v>
      </c>
      <c r="F803">
        <v>45</v>
      </c>
      <c r="G803">
        <v>79</v>
      </c>
      <c r="H803">
        <v>17.989999999999998</v>
      </c>
    </row>
    <row r="804" spans="1:8" x14ac:dyDescent="0.25">
      <c r="A804">
        <v>13442933</v>
      </c>
      <c r="B804">
        <v>1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</row>
    <row r="805" spans="1:8" x14ac:dyDescent="0.25">
      <c r="A805">
        <v>13442935</v>
      </c>
      <c r="B805">
        <v>0</v>
      </c>
      <c r="C805">
        <v>0</v>
      </c>
      <c r="D805">
        <v>0</v>
      </c>
      <c r="E805">
        <v>0</v>
      </c>
      <c r="F805">
        <v>2</v>
      </c>
      <c r="G805">
        <v>3</v>
      </c>
      <c r="H805">
        <v>0</v>
      </c>
    </row>
    <row r="806" spans="1:8" x14ac:dyDescent="0.25">
      <c r="A806">
        <v>13444348</v>
      </c>
      <c r="B806">
        <v>17</v>
      </c>
      <c r="C806">
        <v>47</v>
      </c>
      <c r="D806">
        <v>2</v>
      </c>
      <c r="E806">
        <v>16</v>
      </c>
      <c r="F806">
        <v>48</v>
      </c>
      <c r="G806">
        <v>77</v>
      </c>
      <c r="H806">
        <v>13.445</v>
      </c>
    </row>
    <row r="807" spans="1:8" x14ac:dyDescent="0.25">
      <c r="A807">
        <v>13444352</v>
      </c>
      <c r="B807">
        <v>11</v>
      </c>
      <c r="C807">
        <v>9</v>
      </c>
      <c r="D807">
        <v>2</v>
      </c>
      <c r="E807">
        <v>4</v>
      </c>
      <c r="F807">
        <v>12</v>
      </c>
      <c r="G807">
        <v>27</v>
      </c>
      <c r="H807">
        <v>21.99</v>
      </c>
    </row>
    <row r="808" spans="1:8" x14ac:dyDescent="0.25">
      <c r="A808">
        <v>13444354</v>
      </c>
      <c r="B808">
        <v>99</v>
      </c>
      <c r="C808">
        <v>35</v>
      </c>
      <c r="D808">
        <v>3</v>
      </c>
      <c r="E808">
        <v>16</v>
      </c>
      <c r="F808">
        <v>69</v>
      </c>
      <c r="G808">
        <v>110</v>
      </c>
      <c r="H808">
        <v>16.989999999999998</v>
      </c>
    </row>
    <row r="809" spans="1:8" x14ac:dyDescent="0.25">
      <c r="A809">
        <v>13447297</v>
      </c>
      <c r="B809">
        <v>0</v>
      </c>
      <c r="C809">
        <v>0</v>
      </c>
      <c r="D809">
        <v>0</v>
      </c>
      <c r="E809">
        <v>1</v>
      </c>
      <c r="F809">
        <v>2</v>
      </c>
      <c r="G809">
        <v>2</v>
      </c>
      <c r="H809">
        <v>0</v>
      </c>
    </row>
    <row r="810" spans="1:8" x14ac:dyDescent="0.25">
      <c r="A810">
        <v>13447299</v>
      </c>
      <c r="B810">
        <v>2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</row>
    <row r="811" spans="1:8" x14ac:dyDescent="0.25">
      <c r="A811">
        <v>13448591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</row>
    <row r="812" spans="1:8" x14ac:dyDescent="0.25">
      <c r="A812">
        <v>13450408</v>
      </c>
      <c r="B812">
        <v>36</v>
      </c>
      <c r="C812">
        <v>0</v>
      </c>
      <c r="D812">
        <v>1</v>
      </c>
      <c r="E812">
        <v>42</v>
      </c>
      <c r="F812">
        <v>75</v>
      </c>
      <c r="G812">
        <v>322</v>
      </c>
      <c r="H812">
        <v>48.39</v>
      </c>
    </row>
    <row r="813" spans="1:8" x14ac:dyDescent="0.25">
      <c r="A813">
        <v>13455284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</row>
    <row r="814" spans="1:8" x14ac:dyDescent="0.25">
      <c r="A814">
        <v>13458615</v>
      </c>
      <c r="B814">
        <v>316</v>
      </c>
      <c r="C814">
        <v>0</v>
      </c>
      <c r="D814">
        <v>11</v>
      </c>
      <c r="E814">
        <v>58</v>
      </c>
      <c r="F814">
        <v>196</v>
      </c>
      <c r="G814">
        <v>437</v>
      </c>
      <c r="H814">
        <v>14.747299999999999</v>
      </c>
    </row>
    <row r="815" spans="1:8" x14ac:dyDescent="0.25">
      <c r="A815">
        <v>13462500</v>
      </c>
      <c r="B815">
        <v>5</v>
      </c>
      <c r="C815">
        <v>0</v>
      </c>
      <c r="D815">
        <v>0</v>
      </c>
      <c r="E815">
        <v>0</v>
      </c>
      <c r="F815">
        <v>0</v>
      </c>
      <c r="G815">
        <v>2</v>
      </c>
      <c r="H815">
        <v>0</v>
      </c>
    </row>
    <row r="816" spans="1:8" x14ac:dyDescent="0.25">
      <c r="A816">
        <v>13468732</v>
      </c>
      <c r="B816">
        <v>39</v>
      </c>
      <c r="C816">
        <v>0</v>
      </c>
      <c r="D816">
        <v>4</v>
      </c>
      <c r="E816">
        <v>7</v>
      </c>
      <c r="F816">
        <v>15</v>
      </c>
      <c r="G816">
        <v>40</v>
      </c>
      <c r="H816">
        <v>58.83</v>
      </c>
    </row>
    <row r="817" spans="1:8" x14ac:dyDescent="0.25">
      <c r="A817">
        <v>13468988</v>
      </c>
      <c r="B817">
        <v>43</v>
      </c>
      <c r="C817">
        <v>6</v>
      </c>
      <c r="D817">
        <v>5</v>
      </c>
      <c r="E817">
        <v>26</v>
      </c>
      <c r="F817">
        <v>71</v>
      </c>
      <c r="G817">
        <v>125</v>
      </c>
      <c r="H817">
        <v>35.99</v>
      </c>
    </row>
    <row r="818" spans="1:8" x14ac:dyDescent="0.25">
      <c r="A818">
        <v>13468989</v>
      </c>
      <c r="B818">
        <v>22</v>
      </c>
      <c r="C818">
        <v>0</v>
      </c>
      <c r="D818">
        <v>0</v>
      </c>
      <c r="E818">
        <v>1</v>
      </c>
      <c r="F818">
        <v>3</v>
      </c>
      <c r="G818">
        <v>18</v>
      </c>
      <c r="H818">
        <v>0</v>
      </c>
    </row>
    <row r="819" spans="1:8" x14ac:dyDescent="0.25">
      <c r="A819">
        <v>13468990</v>
      </c>
      <c r="B819">
        <v>3</v>
      </c>
      <c r="C819">
        <v>0</v>
      </c>
      <c r="D819">
        <v>0</v>
      </c>
      <c r="E819">
        <v>0</v>
      </c>
      <c r="F819">
        <v>3</v>
      </c>
      <c r="G819">
        <v>8</v>
      </c>
      <c r="H819">
        <v>0</v>
      </c>
    </row>
    <row r="820" spans="1:8" x14ac:dyDescent="0.25">
      <c r="A820">
        <v>13468991</v>
      </c>
      <c r="B820">
        <v>40</v>
      </c>
      <c r="C820">
        <v>0</v>
      </c>
      <c r="D820">
        <v>2</v>
      </c>
      <c r="E820">
        <v>17</v>
      </c>
      <c r="F820">
        <v>37</v>
      </c>
      <c r="G820">
        <v>78</v>
      </c>
      <c r="H820">
        <v>19.989999999999998</v>
      </c>
    </row>
    <row r="821" spans="1:8" x14ac:dyDescent="0.25">
      <c r="A821">
        <v>13468993</v>
      </c>
      <c r="B821">
        <v>31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</row>
    <row r="822" spans="1:8" x14ac:dyDescent="0.25">
      <c r="A822">
        <v>13468994</v>
      </c>
      <c r="B822">
        <v>1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</row>
    <row r="823" spans="1:8" x14ac:dyDescent="0.25">
      <c r="A823">
        <v>13468999</v>
      </c>
      <c r="B823">
        <v>5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</row>
    <row r="824" spans="1:8" x14ac:dyDescent="0.25">
      <c r="A824">
        <v>13469004</v>
      </c>
      <c r="B824">
        <v>6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</row>
    <row r="825" spans="1:8" x14ac:dyDescent="0.25">
      <c r="A825">
        <v>13469005</v>
      </c>
      <c r="B825">
        <v>27</v>
      </c>
      <c r="C825">
        <v>0</v>
      </c>
      <c r="D825">
        <v>0</v>
      </c>
      <c r="E825">
        <v>0</v>
      </c>
      <c r="F825">
        <v>0</v>
      </c>
      <c r="G825">
        <v>2</v>
      </c>
      <c r="H825">
        <v>0</v>
      </c>
    </row>
    <row r="826" spans="1:8" x14ac:dyDescent="0.25">
      <c r="A826">
        <v>13469017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</row>
    <row r="827" spans="1:8" x14ac:dyDescent="0.25">
      <c r="A827">
        <v>13478087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</row>
    <row r="828" spans="1:8" x14ac:dyDescent="0.25">
      <c r="A828">
        <v>13478099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2</v>
      </c>
      <c r="H828">
        <v>0</v>
      </c>
    </row>
    <row r="829" spans="1:8" x14ac:dyDescent="0.25">
      <c r="A829">
        <v>13478101</v>
      </c>
      <c r="B829">
        <v>1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</row>
    <row r="830" spans="1:8" x14ac:dyDescent="0.25">
      <c r="A830">
        <v>13478103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</row>
    <row r="831" spans="1:8" x14ac:dyDescent="0.25">
      <c r="A831">
        <v>13478104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</row>
    <row r="832" spans="1:8" x14ac:dyDescent="0.25">
      <c r="A832">
        <v>13478105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</row>
    <row r="833" spans="1:8" x14ac:dyDescent="0.25">
      <c r="A833">
        <v>13479763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1</v>
      </c>
      <c r="H833">
        <v>0</v>
      </c>
    </row>
    <row r="834" spans="1:8" x14ac:dyDescent="0.25">
      <c r="A834">
        <v>13497009</v>
      </c>
      <c r="B834">
        <v>238</v>
      </c>
      <c r="C834">
        <v>0</v>
      </c>
      <c r="D834">
        <v>15</v>
      </c>
      <c r="E834">
        <v>42</v>
      </c>
      <c r="F834">
        <v>152</v>
      </c>
      <c r="G834">
        <v>464</v>
      </c>
      <c r="H834">
        <v>223.98</v>
      </c>
    </row>
    <row r="835" spans="1:8" x14ac:dyDescent="0.25">
      <c r="A835">
        <v>13497010</v>
      </c>
      <c r="B835">
        <v>332</v>
      </c>
      <c r="C835">
        <v>0</v>
      </c>
      <c r="D835">
        <v>13</v>
      </c>
      <c r="E835">
        <v>33</v>
      </c>
      <c r="F835">
        <v>74</v>
      </c>
      <c r="G835">
        <v>219</v>
      </c>
      <c r="H835">
        <v>227.52850000000001</v>
      </c>
    </row>
    <row r="836" spans="1:8" x14ac:dyDescent="0.25">
      <c r="A836">
        <v>13501533</v>
      </c>
      <c r="B836">
        <v>1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</row>
    <row r="837" spans="1:8" x14ac:dyDescent="0.25">
      <c r="A837">
        <v>13507932</v>
      </c>
      <c r="B837">
        <v>344</v>
      </c>
      <c r="C837">
        <v>0</v>
      </c>
      <c r="D837">
        <v>13</v>
      </c>
      <c r="E837">
        <v>55</v>
      </c>
      <c r="F837">
        <v>186</v>
      </c>
      <c r="G837">
        <v>462</v>
      </c>
      <c r="H837">
        <v>33.1462</v>
      </c>
    </row>
    <row r="838" spans="1:8" x14ac:dyDescent="0.25">
      <c r="A838">
        <v>13507933</v>
      </c>
      <c r="B838">
        <v>11</v>
      </c>
      <c r="C838">
        <v>0</v>
      </c>
      <c r="D838">
        <v>0</v>
      </c>
      <c r="E838">
        <v>0</v>
      </c>
      <c r="F838">
        <v>1</v>
      </c>
      <c r="G838">
        <v>2</v>
      </c>
      <c r="H838">
        <v>0</v>
      </c>
    </row>
    <row r="839" spans="1:8" x14ac:dyDescent="0.25">
      <c r="A839">
        <v>13507934</v>
      </c>
      <c r="B839">
        <v>171</v>
      </c>
      <c r="C839">
        <v>18</v>
      </c>
      <c r="D839">
        <v>6</v>
      </c>
      <c r="E839">
        <v>23</v>
      </c>
      <c r="F839">
        <v>92</v>
      </c>
      <c r="G839">
        <v>240</v>
      </c>
      <c r="H839">
        <v>38.6083</v>
      </c>
    </row>
    <row r="840" spans="1:8" x14ac:dyDescent="0.25">
      <c r="A840">
        <v>13507935</v>
      </c>
      <c r="B840">
        <v>15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</row>
    <row r="841" spans="1:8" x14ac:dyDescent="0.25">
      <c r="A841">
        <v>13507938</v>
      </c>
      <c r="B841">
        <v>0</v>
      </c>
      <c r="C841">
        <v>0</v>
      </c>
      <c r="D841">
        <v>0</v>
      </c>
      <c r="E841">
        <v>0</v>
      </c>
      <c r="F841">
        <v>1</v>
      </c>
      <c r="G841">
        <v>1</v>
      </c>
      <c r="H841">
        <v>0</v>
      </c>
    </row>
    <row r="842" spans="1:8" x14ac:dyDescent="0.25">
      <c r="A842">
        <v>13507940</v>
      </c>
      <c r="B842">
        <v>155</v>
      </c>
      <c r="C842">
        <v>22</v>
      </c>
      <c r="D842">
        <v>4</v>
      </c>
      <c r="E842">
        <v>18</v>
      </c>
      <c r="F842">
        <v>71</v>
      </c>
      <c r="G842">
        <v>166</v>
      </c>
      <c r="H842">
        <v>80.819999999999993</v>
      </c>
    </row>
    <row r="843" spans="1:8" x14ac:dyDescent="0.25">
      <c r="A843">
        <v>13507941</v>
      </c>
      <c r="B843">
        <v>172</v>
      </c>
      <c r="C843">
        <v>0</v>
      </c>
      <c r="D843">
        <v>1</v>
      </c>
      <c r="E843">
        <v>9</v>
      </c>
      <c r="F843">
        <v>36</v>
      </c>
      <c r="G843">
        <v>97</v>
      </c>
      <c r="H843">
        <v>32.99</v>
      </c>
    </row>
    <row r="844" spans="1:8" x14ac:dyDescent="0.25">
      <c r="A844">
        <v>13507942</v>
      </c>
      <c r="B844">
        <v>63</v>
      </c>
      <c r="C844">
        <v>0</v>
      </c>
      <c r="D844">
        <v>0</v>
      </c>
      <c r="E844">
        <v>2</v>
      </c>
      <c r="F844">
        <v>7</v>
      </c>
      <c r="G844">
        <v>27</v>
      </c>
      <c r="H844">
        <v>0</v>
      </c>
    </row>
    <row r="845" spans="1:8" x14ac:dyDescent="0.25">
      <c r="A845">
        <v>13507943</v>
      </c>
      <c r="B845">
        <v>61</v>
      </c>
      <c r="C845">
        <v>0</v>
      </c>
      <c r="D845">
        <v>1</v>
      </c>
      <c r="E845">
        <v>4</v>
      </c>
      <c r="F845">
        <v>9</v>
      </c>
      <c r="G845">
        <v>28</v>
      </c>
      <c r="H845">
        <v>35.979999999999997</v>
      </c>
    </row>
    <row r="846" spans="1:8" x14ac:dyDescent="0.25">
      <c r="A846">
        <v>13507944</v>
      </c>
      <c r="B846">
        <v>27</v>
      </c>
      <c r="C846">
        <v>0</v>
      </c>
      <c r="D846">
        <v>0</v>
      </c>
      <c r="E846">
        <v>1</v>
      </c>
      <c r="F846">
        <v>2</v>
      </c>
      <c r="G846">
        <v>8</v>
      </c>
      <c r="H846">
        <v>0</v>
      </c>
    </row>
    <row r="847" spans="1:8" x14ac:dyDescent="0.25">
      <c r="A847">
        <v>13507945</v>
      </c>
      <c r="B847">
        <v>51</v>
      </c>
      <c r="C847">
        <v>0</v>
      </c>
      <c r="D847">
        <v>0</v>
      </c>
      <c r="E847">
        <v>-1</v>
      </c>
      <c r="F847">
        <v>1</v>
      </c>
      <c r="G847">
        <v>4</v>
      </c>
      <c r="H847">
        <v>0</v>
      </c>
    </row>
    <row r="848" spans="1:8" x14ac:dyDescent="0.25">
      <c r="A848">
        <v>13508238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</row>
    <row r="849" spans="1:8" x14ac:dyDescent="0.25">
      <c r="A849">
        <v>13513156</v>
      </c>
      <c r="B849">
        <v>25</v>
      </c>
      <c r="C849">
        <v>0</v>
      </c>
      <c r="D849">
        <v>0</v>
      </c>
      <c r="E849">
        <v>0</v>
      </c>
      <c r="F849">
        <v>10</v>
      </c>
      <c r="G849">
        <v>24</v>
      </c>
      <c r="H849">
        <v>0</v>
      </c>
    </row>
    <row r="850" spans="1:8" x14ac:dyDescent="0.25">
      <c r="A850">
        <v>13513157</v>
      </c>
      <c r="B850">
        <v>11</v>
      </c>
      <c r="C850">
        <v>0</v>
      </c>
      <c r="D850">
        <v>0</v>
      </c>
      <c r="E850">
        <v>2</v>
      </c>
      <c r="F850">
        <v>8</v>
      </c>
      <c r="G850">
        <v>27</v>
      </c>
      <c r="H850">
        <v>0</v>
      </c>
    </row>
    <row r="851" spans="1:8" x14ac:dyDescent="0.25">
      <c r="A851">
        <v>13516605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</row>
    <row r="852" spans="1:8" x14ac:dyDescent="0.25">
      <c r="A852">
        <v>13517161</v>
      </c>
      <c r="B852">
        <v>7</v>
      </c>
      <c r="C852">
        <v>0</v>
      </c>
      <c r="D852">
        <v>0</v>
      </c>
      <c r="E852">
        <v>3</v>
      </c>
      <c r="F852">
        <v>5</v>
      </c>
      <c r="G852">
        <v>5</v>
      </c>
      <c r="H852">
        <v>0</v>
      </c>
    </row>
    <row r="853" spans="1:8" x14ac:dyDescent="0.25">
      <c r="A853">
        <v>13519007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3</v>
      </c>
      <c r="H853">
        <v>0</v>
      </c>
    </row>
    <row r="854" spans="1:8" x14ac:dyDescent="0.25">
      <c r="A854">
        <v>13520705</v>
      </c>
      <c r="B854">
        <v>2</v>
      </c>
      <c r="C854">
        <v>0</v>
      </c>
      <c r="D854">
        <v>0</v>
      </c>
      <c r="E854">
        <v>0</v>
      </c>
      <c r="F854">
        <v>2</v>
      </c>
      <c r="G854">
        <v>38</v>
      </c>
      <c r="H854">
        <v>0</v>
      </c>
    </row>
    <row r="855" spans="1:8" x14ac:dyDescent="0.25">
      <c r="A855">
        <v>13520708</v>
      </c>
      <c r="B855">
        <v>3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25">
      <c r="A856">
        <v>13520710</v>
      </c>
      <c r="B856">
        <v>3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25">
      <c r="A857">
        <v>13520711</v>
      </c>
      <c r="B857">
        <v>170</v>
      </c>
      <c r="C857">
        <v>80</v>
      </c>
      <c r="D857">
        <v>22</v>
      </c>
      <c r="E857">
        <v>75</v>
      </c>
      <c r="F857">
        <v>273</v>
      </c>
      <c r="G857">
        <v>736</v>
      </c>
      <c r="H857">
        <v>53.806800000000003</v>
      </c>
    </row>
    <row r="858" spans="1:8" x14ac:dyDescent="0.25">
      <c r="A858">
        <v>13520712</v>
      </c>
      <c r="B858">
        <v>42</v>
      </c>
      <c r="C858">
        <v>15</v>
      </c>
      <c r="D858">
        <v>11</v>
      </c>
      <c r="E858">
        <v>27</v>
      </c>
      <c r="F858">
        <v>88</v>
      </c>
      <c r="G858">
        <v>264</v>
      </c>
      <c r="H858">
        <v>91.416399999999996</v>
      </c>
    </row>
    <row r="859" spans="1:8" x14ac:dyDescent="0.25">
      <c r="A859">
        <v>13520713</v>
      </c>
      <c r="B859">
        <v>16</v>
      </c>
      <c r="C859">
        <v>0</v>
      </c>
      <c r="D859">
        <v>0</v>
      </c>
      <c r="E859">
        <v>2</v>
      </c>
      <c r="F859">
        <v>4</v>
      </c>
      <c r="G859">
        <v>13</v>
      </c>
      <c r="H859">
        <v>0</v>
      </c>
    </row>
    <row r="860" spans="1:8" x14ac:dyDescent="0.25">
      <c r="A860">
        <v>13520714</v>
      </c>
      <c r="B860">
        <v>489</v>
      </c>
      <c r="C860">
        <v>170</v>
      </c>
      <c r="D860">
        <v>44</v>
      </c>
      <c r="E860">
        <v>167</v>
      </c>
      <c r="F860">
        <v>588</v>
      </c>
      <c r="G860">
        <v>1304</v>
      </c>
      <c r="H860">
        <v>9.6747999999999994</v>
      </c>
    </row>
    <row r="861" spans="1:8" x14ac:dyDescent="0.25">
      <c r="A861">
        <v>13522327</v>
      </c>
      <c r="B861">
        <v>3</v>
      </c>
      <c r="C861">
        <v>0</v>
      </c>
      <c r="D861">
        <v>0</v>
      </c>
      <c r="E861">
        <v>1</v>
      </c>
      <c r="F861">
        <v>1</v>
      </c>
      <c r="G861">
        <v>5</v>
      </c>
      <c r="H861">
        <v>0</v>
      </c>
    </row>
    <row r="862" spans="1:8" x14ac:dyDescent="0.25">
      <c r="A862">
        <v>13522504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25">
      <c r="A863">
        <v>13522535</v>
      </c>
      <c r="B863">
        <v>1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25">
      <c r="A864">
        <v>13527006</v>
      </c>
      <c r="B864">
        <v>16</v>
      </c>
      <c r="C864">
        <v>0</v>
      </c>
      <c r="D864">
        <v>1</v>
      </c>
      <c r="E864">
        <v>3</v>
      </c>
      <c r="F864">
        <v>6</v>
      </c>
      <c r="G864">
        <v>10</v>
      </c>
      <c r="H864">
        <v>99.99</v>
      </c>
    </row>
    <row r="865" spans="1:8" x14ac:dyDescent="0.25">
      <c r="A865">
        <v>13529260</v>
      </c>
      <c r="B865">
        <v>20</v>
      </c>
      <c r="C865">
        <v>0</v>
      </c>
      <c r="D865">
        <v>0</v>
      </c>
      <c r="E865">
        <v>1</v>
      </c>
      <c r="F865">
        <v>10</v>
      </c>
      <c r="G865">
        <v>20</v>
      </c>
      <c r="H865">
        <v>0</v>
      </c>
    </row>
    <row r="866" spans="1:8" x14ac:dyDescent="0.25">
      <c r="A866">
        <v>13529429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2</v>
      </c>
      <c r="H866">
        <v>0</v>
      </c>
    </row>
    <row r="867" spans="1:8" x14ac:dyDescent="0.25">
      <c r="A867">
        <v>13529430</v>
      </c>
      <c r="B867">
        <v>15</v>
      </c>
      <c r="C867">
        <v>0</v>
      </c>
      <c r="D867">
        <v>1</v>
      </c>
      <c r="E867">
        <v>2</v>
      </c>
      <c r="F867">
        <v>4</v>
      </c>
      <c r="G867">
        <v>8</v>
      </c>
      <c r="H867">
        <v>174.99</v>
      </c>
    </row>
    <row r="868" spans="1:8" x14ac:dyDescent="0.25">
      <c r="A868">
        <v>13529431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2</v>
      </c>
      <c r="H868">
        <v>0</v>
      </c>
    </row>
    <row r="869" spans="1:8" x14ac:dyDescent="0.25">
      <c r="A869">
        <v>13529436</v>
      </c>
      <c r="B869">
        <v>4</v>
      </c>
      <c r="C869">
        <v>0</v>
      </c>
      <c r="D869">
        <v>0</v>
      </c>
      <c r="E869">
        <v>0</v>
      </c>
      <c r="F869">
        <v>1</v>
      </c>
      <c r="G869">
        <v>2</v>
      </c>
      <c r="H869">
        <v>0</v>
      </c>
    </row>
    <row r="870" spans="1:8" x14ac:dyDescent="0.25">
      <c r="A870">
        <v>13529438</v>
      </c>
      <c r="B870">
        <v>36</v>
      </c>
      <c r="C870">
        <v>0</v>
      </c>
      <c r="D870">
        <v>0</v>
      </c>
      <c r="E870">
        <v>3</v>
      </c>
      <c r="F870">
        <v>12</v>
      </c>
      <c r="G870">
        <v>40</v>
      </c>
      <c r="H870">
        <v>0</v>
      </c>
    </row>
    <row r="871" spans="1:8" x14ac:dyDescent="0.25">
      <c r="A871">
        <v>13529439</v>
      </c>
      <c r="B871">
        <v>19</v>
      </c>
      <c r="C871">
        <v>0</v>
      </c>
      <c r="D871">
        <v>0</v>
      </c>
      <c r="E871">
        <v>0</v>
      </c>
      <c r="F871">
        <v>0</v>
      </c>
      <c r="G871">
        <v>1</v>
      </c>
      <c r="H871">
        <v>0</v>
      </c>
    </row>
    <row r="872" spans="1:8" x14ac:dyDescent="0.25">
      <c r="A872">
        <v>13534460</v>
      </c>
      <c r="B872">
        <v>1</v>
      </c>
      <c r="C872">
        <v>0</v>
      </c>
      <c r="D872">
        <v>0</v>
      </c>
      <c r="E872">
        <v>0</v>
      </c>
      <c r="F872">
        <v>0</v>
      </c>
      <c r="G872">
        <v>1</v>
      </c>
      <c r="H872">
        <v>0</v>
      </c>
    </row>
    <row r="873" spans="1:8" x14ac:dyDescent="0.25">
      <c r="A873">
        <v>13534463</v>
      </c>
      <c r="B873">
        <v>3</v>
      </c>
      <c r="C873">
        <v>0</v>
      </c>
      <c r="D873">
        <v>0</v>
      </c>
      <c r="E873">
        <v>0</v>
      </c>
      <c r="F873">
        <v>0</v>
      </c>
      <c r="G873">
        <v>1</v>
      </c>
      <c r="H873">
        <v>0</v>
      </c>
    </row>
    <row r="874" spans="1:8" x14ac:dyDescent="0.25">
      <c r="A874">
        <v>13534464</v>
      </c>
      <c r="B874">
        <v>3</v>
      </c>
      <c r="C874">
        <v>0</v>
      </c>
      <c r="D874">
        <v>0</v>
      </c>
      <c r="E874">
        <v>0</v>
      </c>
      <c r="F874">
        <v>3</v>
      </c>
      <c r="G874">
        <v>6</v>
      </c>
      <c r="H874">
        <v>0</v>
      </c>
    </row>
    <row r="875" spans="1:8" x14ac:dyDescent="0.25">
      <c r="A875">
        <v>13534465</v>
      </c>
      <c r="B875">
        <v>6</v>
      </c>
      <c r="C875">
        <v>0</v>
      </c>
      <c r="D875">
        <v>0</v>
      </c>
      <c r="E875">
        <v>1</v>
      </c>
      <c r="F875">
        <v>9</v>
      </c>
      <c r="G875">
        <v>27</v>
      </c>
      <c r="H875">
        <v>0</v>
      </c>
    </row>
    <row r="876" spans="1:8" x14ac:dyDescent="0.25">
      <c r="A876">
        <v>13534814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25">
      <c r="A877">
        <v>13534823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25">
      <c r="A878">
        <v>13536615</v>
      </c>
      <c r="B878">
        <v>11</v>
      </c>
      <c r="C878">
        <v>0</v>
      </c>
      <c r="D878">
        <v>0</v>
      </c>
      <c r="E878">
        <v>0</v>
      </c>
      <c r="F878">
        <v>13</v>
      </c>
      <c r="G878">
        <v>24</v>
      </c>
      <c r="H878">
        <v>0</v>
      </c>
    </row>
    <row r="879" spans="1:8" x14ac:dyDescent="0.25">
      <c r="A879">
        <v>13540290</v>
      </c>
      <c r="B879">
        <v>32</v>
      </c>
      <c r="C879">
        <v>0</v>
      </c>
      <c r="D879">
        <v>0</v>
      </c>
      <c r="E879">
        <v>7</v>
      </c>
      <c r="F879">
        <v>26</v>
      </c>
      <c r="G879">
        <v>52</v>
      </c>
      <c r="H879">
        <v>0</v>
      </c>
    </row>
    <row r="880" spans="1:8" x14ac:dyDescent="0.25">
      <c r="A880">
        <v>13541148</v>
      </c>
      <c r="B880">
        <v>1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25">
      <c r="A881">
        <v>13545423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25">
      <c r="A882">
        <v>13547048</v>
      </c>
      <c r="B882">
        <v>23</v>
      </c>
      <c r="C882">
        <v>0</v>
      </c>
      <c r="D882">
        <v>0</v>
      </c>
      <c r="E882">
        <v>3</v>
      </c>
      <c r="F882">
        <v>5</v>
      </c>
      <c r="G882">
        <v>6</v>
      </c>
      <c r="H882">
        <v>0</v>
      </c>
    </row>
    <row r="883" spans="1:8" x14ac:dyDescent="0.25">
      <c r="A883">
        <v>13547049</v>
      </c>
      <c r="B883">
        <v>35</v>
      </c>
      <c r="C883">
        <v>0</v>
      </c>
      <c r="D883">
        <v>0</v>
      </c>
      <c r="E883">
        <v>0</v>
      </c>
      <c r="F883">
        <v>1</v>
      </c>
      <c r="G883">
        <v>5</v>
      </c>
      <c r="H883">
        <v>0</v>
      </c>
    </row>
    <row r="884" spans="1:8" x14ac:dyDescent="0.25">
      <c r="A884">
        <v>13549386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25">
      <c r="A885">
        <v>13549899</v>
      </c>
      <c r="B885">
        <v>62</v>
      </c>
      <c r="C885">
        <v>0</v>
      </c>
      <c r="D885">
        <v>-1</v>
      </c>
      <c r="E885">
        <v>2</v>
      </c>
      <c r="F885">
        <v>5</v>
      </c>
      <c r="G885">
        <v>40</v>
      </c>
      <c r="H885">
        <v>559</v>
      </c>
    </row>
    <row r="886" spans="1:8" x14ac:dyDescent="0.25">
      <c r="A886">
        <v>13549900</v>
      </c>
      <c r="B886">
        <v>7</v>
      </c>
      <c r="C886">
        <v>0</v>
      </c>
      <c r="D886">
        <v>1</v>
      </c>
      <c r="E886">
        <v>1</v>
      </c>
      <c r="F886">
        <v>2</v>
      </c>
      <c r="G886">
        <v>8</v>
      </c>
      <c r="H886">
        <v>559</v>
      </c>
    </row>
    <row r="887" spans="1:8" x14ac:dyDescent="0.25">
      <c r="A887">
        <v>13549901</v>
      </c>
      <c r="B887">
        <v>13</v>
      </c>
      <c r="C887">
        <v>0</v>
      </c>
      <c r="D887">
        <v>0</v>
      </c>
      <c r="E887">
        <v>0</v>
      </c>
      <c r="F887">
        <v>6</v>
      </c>
      <c r="G887">
        <v>18</v>
      </c>
      <c r="H887">
        <v>0</v>
      </c>
    </row>
    <row r="888" spans="1:8" x14ac:dyDescent="0.25">
      <c r="A888">
        <v>13550053</v>
      </c>
      <c r="B888">
        <v>2</v>
      </c>
      <c r="C888">
        <v>0</v>
      </c>
      <c r="D888">
        <v>0</v>
      </c>
      <c r="E888">
        <v>0</v>
      </c>
      <c r="F888">
        <v>1</v>
      </c>
      <c r="G888">
        <v>4</v>
      </c>
      <c r="H888">
        <v>0</v>
      </c>
    </row>
    <row r="889" spans="1:8" x14ac:dyDescent="0.25">
      <c r="A889">
        <v>13550054</v>
      </c>
      <c r="B889">
        <v>3</v>
      </c>
      <c r="C889">
        <v>0</v>
      </c>
      <c r="D889">
        <v>0</v>
      </c>
      <c r="E889">
        <v>1</v>
      </c>
      <c r="F889">
        <v>3</v>
      </c>
      <c r="G889">
        <v>19</v>
      </c>
      <c r="H889">
        <v>0</v>
      </c>
    </row>
    <row r="890" spans="1:8" x14ac:dyDescent="0.25">
      <c r="A890">
        <v>13550055</v>
      </c>
      <c r="B890">
        <v>17</v>
      </c>
      <c r="C890">
        <v>0</v>
      </c>
      <c r="D890">
        <v>0</v>
      </c>
      <c r="E890">
        <v>1</v>
      </c>
      <c r="F890">
        <v>2</v>
      </c>
      <c r="G890">
        <v>5</v>
      </c>
      <c r="H890">
        <v>0</v>
      </c>
    </row>
    <row r="891" spans="1:8" x14ac:dyDescent="0.25">
      <c r="A891">
        <v>13552407</v>
      </c>
      <c r="B891">
        <v>3</v>
      </c>
      <c r="C891">
        <v>0</v>
      </c>
      <c r="D891">
        <v>0</v>
      </c>
      <c r="E891">
        <v>0</v>
      </c>
      <c r="F891">
        <v>1</v>
      </c>
      <c r="G891">
        <v>3</v>
      </c>
      <c r="H891">
        <v>0</v>
      </c>
    </row>
    <row r="892" spans="1:8" x14ac:dyDescent="0.25">
      <c r="A892">
        <v>13553674</v>
      </c>
      <c r="B892">
        <v>3</v>
      </c>
      <c r="C892">
        <v>0</v>
      </c>
      <c r="D892">
        <v>0</v>
      </c>
      <c r="E892">
        <v>0</v>
      </c>
      <c r="F892">
        <v>5</v>
      </c>
      <c r="G892">
        <v>18</v>
      </c>
      <c r="H892">
        <v>0</v>
      </c>
    </row>
    <row r="893" spans="1:8" x14ac:dyDescent="0.25">
      <c r="A893">
        <v>13555045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25">
      <c r="A894">
        <v>13565299</v>
      </c>
      <c r="B894">
        <v>-5</v>
      </c>
      <c r="C894">
        <v>0</v>
      </c>
      <c r="D894">
        <v>0</v>
      </c>
      <c r="E894">
        <v>0</v>
      </c>
      <c r="F894">
        <v>1</v>
      </c>
      <c r="G894">
        <v>2</v>
      </c>
      <c r="H894">
        <v>0</v>
      </c>
    </row>
    <row r="895" spans="1:8" x14ac:dyDescent="0.25">
      <c r="A895">
        <v>13568708</v>
      </c>
      <c r="B895">
        <v>101</v>
      </c>
      <c r="C895">
        <v>81</v>
      </c>
      <c r="D895">
        <v>9</v>
      </c>
      <c r="E895">
        <v>33</v>
      </c>
      <c r="F895">
        <v>143</v>
      </c>
      <c r="G895">
        <v>230</v>
      </c>
      <c r="H895">
        <v>8.9656000000000002</v>
      </c>
    </row>
    <row r="896" spans="1:8" x14ac:dyDescent="0.25">
      <c r="A896">
        <v>13583382</v>
      </c>
      <c r="B896">
        <v>17</v>
      </c>
      <c r="C896">
        <v>16</v>
      </c>
      <c r="D896">
        <v>3</v>
      </c>
      <c r="E896">
        <v>18</v>
      </c>
      <c r="F896">
        <v>41</v>
      </c>
      <c r="G896">
        <v>73</v>
      </c>
      <c r="H896">
        <v>106.0633</v>
      </c>
    </row>
    <row r="897" spans="1:8" x14ac:dyDescent="0.25">
      <c r="A897">
        <v>13587037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25">
      <c r="A898">
        <v>13587038</v>
      </c>
      <c r="B898">
        <v>0</v>
      </c>
      <c r="C898">
        <v>0</v>
      </c>
      <c r="D898">
        <v>0</v>
      </c>
      <c r="E898">
        <v>0</v>
      </c>
      <c r="F898">
        <v>1</v>
      </c>
      <c r="G898">
        <v>1</v>
      </c>
      <c r="H898">
        <v>0</v>
      </c>
    </row>
    <row r="899" spans="1:8" x14ac:dyDescent="0.25">
      <c r="A899">
        <v>13587039</v>
      </c>
      <c r="B899">
        <v>-1</v>
      </c>
      <c r="C899">
        <v>0</v>
      </c>
      <c r="D899">
        <v>0</v>
      </c>
      <c r="E899">
        <v>0</v>
      </c>
      <c r="F899">
        <v>4</v>
      </c>
      <c r="G899">
        <v>6</v>
      </c>
      <c r="H899">
        <v>0</v>
      </c>
    </row>
    <row r="900" spans="1:8" x14ac:dyDescent="0.25">
      <c r="A900">
        <v>13587042</v>
      </c>
      <c r="B900">
        <v>-2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25">
      <c r="A901">
        <v>13587043</v>
      </c>
      <c r="B901">
        <v>2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25">
      <c r="A902">
        <v>13587044</v>
      </c>
      <c r="B902">
        <v>138</v>
      </c>
      <c r="C902">
        <v>36</v>
      </c>
      <c r="D902">
        <v>11</v>
      </c>
      <c r="E902">
        <v>46</v>
      </c>
      <c r="F902">
        <v>144</v>
      </c>
      <c r="G902">
        <v>302</v>
      </c>
      <c r="H902">
        <v>48.078200000000002</v>
      </c>
    </row>
    <row r="903" spans="1:8" x14ac:dyDescent="0.25">
      <c r="A903">
        <v>13587045</v>
      </c>
      <c r="B903">
        <v>2</v>
      </c>
      <c r="C903">
        <v>0</v>
      </c>
      <c r="D903">
        <v>1</v>
      </c>
      <c r="E903">
        <v>1</v>
      </c>
      <c r="F903">
        <v>2</v>
      </c>
      <c r="G903">
        <v>3</v>
      </c>
      <c r="H903">
        <v>69.989999999999995</v>
      </c>
    </row>
    <row r="904" spans="1:8" x14ac:dyDescent="0.25">
      <c r="A904">
        <v>13587048</v>
      </c>
      <c r="B904">
        <v>31</v>
      </c>
      <c r="C904">
        <v>6</v>
      </c>
      <c r="D904">
        <v>4</v>
      </c>
      <c r="E904">
        <v>8</v>
      </c>
      <c r="F904">
        <v>28</v>
      </c>
      <c r="G904">
        <v>69</v>
      </c>
      <c r="H904">
        <v>49.99</v>
      </c>
    </row>
    <row r="905" spans="1:8" x14ac:dyDescent="0.25">
      <c r="A905">
        <v>13597217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25">
      <c r="A906">
        <v>13603736</v>
      </c>
      <c r="B906">
        <v>56</v>
      </c>
      <c r="C906">
        <v>0</v>
      </c>
      <c r="D906">
        <v>2</v>
      </c>
      <c r="E906">
        <v>19</v>
      </c>
      <c r="F906">
        <v>35</v>
      </c>
      <c r="G906">
        <v>67</v>
      </c>
      <c r="H906">
        <v>837.56</v>
      </c>
    </row>
    <row r="907" spans="1:8" x14ac:dyDescent="0.25">
      <c r="A907">
        <v>13603737</v>
      </c>
      <c r="B907">
        <v>14</v>
      </c>
      <c r="C907">
        <v>22</v>
      </c>
      <c r="D907">
        <v>0</v>
      </c>
      <c r="E907">
        <v>2</v>
      </c>
      <c r="F907">
        <v>11</v>
      </c>
      <c r="G907">
        <v>40</v>
      </c>
      <c r="H907">
        <v>0</v>
      </c>
    </row>
    <row r="908" spans="1:8" x14ac:dyDescent="0.25">
      <c r="A908">
        <v>13614523</v>
      </c>
      <c r="B908">
        <v>24</v>
      </c>
      <c r="C908">
        <v>0</v>
      </c>
      <c r="D908">
        <v>0</v>
      </c>
      <c r="E908">
        <v>2</v>
      </c>
      <c r="F908">
        <v>6</v>
      </c>
      <c r="G908">
        <v>25</v>
      </c>
      <c r="H908">
        <v>0</v>
      </c>
    </row>
    <row r="909" spans="1:8" x14ac:dyDescent="0.25">
      <c r="A909">
        <v>13634825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25">
      <c r="A910">
        <v>13634826</v>
      </c>
      <c r="B910">
        <v>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25">
      <c r="A911">
        <v>13636565</v>
      </c>
      <c r="B911">
        <v>13</v>
      </c>
      <c r="C911">
        <v>0</v>
      </c>
      <c r="D911">
        <v>2</v>
      </c>
      <c r="E911">
        <v>17</v>
      </c>
      <c r="F911">
        <v>45</v>
      </c>
      <c r="G911">
        <v>90</v>
      </c>
      <c r="H911">
        <v>16.989999999999998</v>
      </c>
    </row>
    <row r="912" spans="1:8" x14ac:dyDescent="0.25">
      <c r="A912">
        <v>13636568</v>
      </c>
      <c r="B912">
        <v>19</v>
      </c>
      <c r="C912">
        <v>0</v>
      </c>
      <c r="D912">
        <v>8</v>
      </c>
      <c r="E912">
        <v>34</v>
      </c>
      <c r="F912">
        <v>100</v>
      </c>
      <c r="G912">
        <v>211</v>
      </c>
      <c r="H912">
        <v>14.258699999999999</v>
      </c>
    </row>
    <row r="913" spans="1:8" x14ac:dyDescent="0.25">
      <c r="A913">
        <v>13636571</v>
      </c>
      <c r="B913">
        <v>113</v>
      </c>
      <c r="C913">
        <v>0</v>
      </c>
      <c r="D913">
        <v>17</v>
      </c>
      <c r="E913">
        <v>61</v>
      </c>
      <c r="F913">
        <v>237</v>
      </c>
      <c r="G913">
        <v>438</v>
      </c>
      <c r="H913">
        <v>14.3453</v>
      </c>
    </row>
    <row r="914" spans="1:8" x14ac:dyDescent="0.25">
      <c r="A914">
        <v>13636572</v>
      </c>
      <c r="B914">
        <v>93</v>
      </c>
      <c r="C914">
        <v>0</v>
      </c>
      <c r="D914">
        <v>31</v>
      </c>
      <c r="E914">
        <v>129</v>
      </c>
      <c r="F914">
        <v>380</v>
      </c>
      <c r="G914">
        <v>720</v>
      </c>
      <c r="H914">
        <v>14.7255</v>
      </c>
    </row>
    <row r="915" spans="1:8" x14ac:dyDescent="0.25">
      <c r="A915">
        <v>13636573</v>
      </c>
      <c r="B915">
        <v>90</v>
      </c>
      <c r="C915">
        <v>0</v>
      </c>
      <c r="D915">
        <v>17</v>
      </c>
      <c r="E915">
        <v>76</v>
      </c>
      <c r="F915">
        <v>192</v>
      </c>
      <c r="G915">
        <v>352</v>
      </c>
      <c r="H915">
        <v>24.8429</v>
      </c>
    </row>
    <row r="916" spans="1:8" x14ac:dyDescent="0.25">
      <c r="A916">
        <v>13636574</v>
      </c>
      <c r="B916">
        <v>42</v>
      </c>
      <c r="C916">
        <v>0</v>
      </c>
      <c r="D916">
        <v>5</v>
      </c>
      <c r="E916">
        <v>49</v>
      </c>
      <c r="F916">
        <v>205</v>
      </c>
      <c r="G916">
        <v>383</v>
      </c>
      <c r="H916">
        <v>69.683999999999997</v>
      </c>
    </row>
    <row r="917" spans="1:8" x14ac:dyDescent="0.25">
      <c r="A917">
        <v>13636575</v>
      </c>
      <c r="B917">
        <v>23</v>
      </c>
      <c r="C917">
        <v>0</v>
      </c>
      <c r="D917">
        <v>0</v>
      </c>
      <c r="E917">
        <v>9</v>
      </c>
      <c r="F917">
        <v>73</v>
      </c>
      <c r="G917">
        <v>133</v>
      </c>
      <c r="H917">
        <v>0</v>
      </c>
    </row>
    <row r="918" spans="1:8" x14ac:dyDescent="0.25">
      <c r="A918">
        <v>13636853</v>
      </c>
      <c r="B918">
        <v>223</v>
      </c>
      <c r="C918">
        <v>49</v>
      </c>
      <c r="D918">
        <v>5</v>
      </c>
      <c r="E918">
        <v>15</v>
      </c>
      <c r="F918">
        <v>125</v>
      </c>
      <c r="G918">
        <v>536</v>
      </c>
      <c r="H918">
        <v>229.19800000000001</v>
      </c>
    </row>
    <row r="919" spans="1:8" x14ac:dyDescent="0.25">
      <c r="A919">
        <v>13636857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25">
      <c r="A920">
        <v>13641855</v>
      </c>
      <c r="B920">
        <v>22</v>
      </c>
      <c r="C920">
        <v>0</v>
      </c>
      <c r="D920">
        <v>0</v>
      </c>
      <c r="E920">
        <v>3</v>
      </c>
      <c r="F920">
        <v>13</v>
      </c>
      <c r="G920">
        <v>44</v>
      </c>
      <c r="H920">
        <v>0</v>
      </c>
    </row>
    <row r="921" spans="1:8" x14ac:dyDescent="0.25">
      <c r="A921">
        <v>13649504</v>
      </c>
      <c r="B921">
        <v>6</v>
      </c>
      <c r="C921">
        <v>0</v>
      </c>
      <c r="D921">
        <v>0</v>
      </c>
      <c r="E921">
        <v>0</v>
      </c>
      <c r="F921">
        <v>1</v>
      </c>
      <c r="G921">
        <v>1</v>
      </c>
      <c r="H921">
        <v>0</v>
      </c>
    </row>
    <row r="922" spans="1:8" x14ac:dyDescent="0.25">
      <c r="A922">
        <v>13649505</v>
      </c>
      <c r="B922">
        <v>1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25">
      <c r="A923">
        <v>13649509</v>
      </c>
      <c r="B923">
        <v>362</v>
      </c>
      <c r="C923">
        <v>0</v>
      </c>
      <c r="D923">
        <v>2</v>
      </c>
      <c r="E923">
        <v>9</v>
      </c>
      <c r="F923">
        <v>54</v>
      </c>
      <c r="G923">
        <v>144</v>
      </c>
      <c r="H923">
        <v>27.99</v>
      </c>
    </row>
    <row r="924" spans="1:8" x14ac:dyDescent="0.25">
      <c r="A924">
        <v>13649510</v>
      </c>
      <c r="B924">
        <v>173</v>
      </c>
      <c r="C924">
        <v>0</v>
      </c>
      <c r="D924">
        <v>3</v>
      </c>
      <c r="E924">
        <v>15</v>
      </c>
      <c r="F924">
        <v>61</v>
      </c>
      <c r="G924">
        <v>131</v>
      </c>
      <c r="H924">
        <v>16.47</v>
      </c>
    </row>
    <row r="925" spans="1:8" x14ac:dyDescent="0.25">
      <c r="A925">
        <v>13652552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25">
      <c r="A926">
        <v>13656739</v>
      </c>
      <c r="B926">
        <v>324</v>
      </c>
      <c r="C926">
        <v>0</v>
      </c>
      <c r="D926">
        <v>3</v>
      </c>
      <c r="E926">
        <v>12</v>
      </c>
      <c r="F926">
        <v>58</v>
      </c>
      <c r="G926">
        <v>147</v>
      </c>
      <c r="H926">
        <v>20.056699999999999</v>
      </c>
    </row>
    <row r="927" spans="1:8" x14ac:dyDescent="0.25">
      <c r="A927">
        <v>13656740</v>
      </c>
      <c r="B927">
        <v>431</v>
      </c>
      <c r="C927">
        <v>0</v>
      </c>
      <c r="D927">
        <v>4</v>
      </c>
      <c r="E927">
        <v>16</v>
      </c>
      <c r="F927">
        <v>66</v>
      </c>
      <c r="G927">
        <v>215</v>
      </c>
      <c r="H927">
        <v>19.23</v>
      </c>
    </row>
    <row r="928" spans="1:8" x14ac:dyDescent="0.25">
      <c r="A928">
        <v>13656741</v>
      </c>
      <c r="B928">
        <v>10</v>
      </c>
      <c r="C928">
        <v>0</v>
      </c>
      <c r="D928">
        <v>1</v>
      </c>
      <c r="E928">
        <v>4</v>
      </c>
      <c r="F928">
        <v>15</v>
      </c>
      <c r="G928">
        <v>43</v>
      </c>
      <c r="H928">
        <v>11.99</v>
      </c>
    </row>
    <row r="929" spans="1:8" x14ac:dyDescent="0.25">
      <c r="A929">
        <v>13656742</v>
      </c>
      <c r="B929">
        <v>14</v>
      </c>
      <c r="C929">
        <v>0</v>
      </c>
      <c r="D929">
        <v>0</v>
      </c>
      <c r="E929">
        <v>0</v>
      </c>
      <c r="F929">
        <v>2</v>
      </c>
      <c r="G929">
        <v>4</v>
      </c>
      <c r="H929">
        <v>0</v>
      </c>
    </row>
    <row r="930" spans="1:8" x14ac:dyDescent="0.25">
      <c r="A930">
        <v>13656743</v>
      </c>
      <c r="B930">
        <v>219</v>
      </c>
      <c r="C930">
        <v>0</v>
      </c>
      <c r="D930">
        <v>1</v>
      </c>
      <c r="E930">
        <v>7</v>
      </c>
      <c r="F930">
        <v>22</v>
      </c>
      <c r="G930">
        <v>53</v>
      </c>
      <c r="H930">
        <v>27.99</v>
      </c>
    </row>
    <row r="931" spans="1:8" x14ac:dyDescent="0.25">
      <c r="A931">
        <v>13656744</v>
      </c>
      <c r="B931">
        <v>18</v>
      </c>
      <c r="C931">
        <v>0</v>
      </c>
      <c r="D931">
        <v>0</v>
      </c>
      <c r="E931">
        <v>1</v>
      </c>
      <c r="F931">
        <v>4</v>
      </c>
      <c r="G931">
        <v>13</v>
      </c>
      <c r="H931">
        <v>0</v>
      </c>
    </row>
    <row r="932" spans="1:8" x14ac:dyDescent="0.25">
      <c r="A932">
        <v>13656745</v>
      </c>
      <c r="B932">
        <v>58</v>
      </c>
      <c r="C932">
        <v>0</v>
      </c>
      <c r="D932">
        <v>1</v>
      </c>
      <c r="E932">
        <v>4</v>
      </c>
      <c r="F932">
        <v>16</v>
      </c>
      <c r="G932">
        <v>37</v>
      </c>
      <c r="H932">
        <v>19.989999999999998</v>
      </c>
    </row>
    <row r="933" spans="1:8" x14ac:dyDescent="0.25">
      <c r="A933">
        <v>13656749</v>
      </c>
      <c r="B933">
        <v>31</v>
      </c>
      <c r="C933">
        <v>0</v>
      </c>
      <c r="D933">
        <v>0</v>
      </c>
      <c r="E933">
        <v>4</v>
      </c>
      <c r="F933">
        <v>23</v>
      </c>
      <c r="G933">
        <v>107</v>
      </c>
      <c r="H933">
        <v>0</v>
      </c>
    </row>
    <row r="934" spans="1:8" x14ac:dyDescent="0.25">
      <c r="A934">
        <v>13656750</v>
      </c>
      <c r="B934">
        <v>-2</v>
      </c>
      <c r="C934">
        <v>0</v>
      </c>
      <c r="D934">
        <v>0</v>
      </c>
      <c r="E934">
        <v>1</v>
      </c>
      <c r="F934">
        <v>7</v>
      </c>
      <c r="G934">
        <v>17</v>
      </c>
      <c r="H934">
        <v>0</v>
      </c>
    </row>
    <row r="935" spans="1:8" x14ac:dyDescent="0.25">
      <c r="A935">
        <v>13659976</v>
      </c>
      <c r="B935">
        <v>352</v>
      </c>
      <c r="C935">
        <v>72</v>
      </c>
      <c r="D935">
        <v>18</v>
      </c>
      <c r="E935">
        <v>75</v>
      </c>
      <c r="F935">
        <v>244</v>
      </c>
      <c r="G935">
        <v>609</v>
      </c>
      <c r="H935">
        <v>55.267200000000003</v>
      </c>
    </row>
    <row r="936" spans="1:8" x14ac:dyDescent="0.25">
      <c r="A936">
        <v>13659977</v>
      </c>
      <c r="B936">
        <v>31</v>
      </c>
      <c r="C936">
        <v>0</v>
      </c>
      <c r="D936">
        <v>1</v>
      </c>
      <c r="E936">
        <v>3</v>
      </c>
      <c r="F936">
        <v>7</v>
      </c>
      <c r="G936">
        <v>20</v>
      </c>
      <c r="H936">
        <v>9.9700000000000006</v>
      </c>
    </row>
    <row r="937" spans="1:8" x14ac:dyDescent="0.25">
      <c r="A937">
        <v>13659978</v>
      </c>
      <c r="B937">
        <v>10</v>
      </c>
      <c r="C937">
        <v>0</v>
      </c>
      <c r="D937">
        <v>0</v>
      </c>
      <c r="E937">
        <v>0</v>
      </c>
      <c r="F937">
        <v>3</v>
      </c>
      <c r="G937">
        <v>8</v>
      </c>
      <c r="H937">
        <v>0</v>
      </c>
    </row>
    <row r="938" spans="1:8" x14ac:dyDescent="0.25">
      <c r="A938">
        <v>13660370</v>
      </c>
      <c r="B938">
        <v>693</v>
      </c>
      <c r="C938">
        <v>0</v>
      </c>
      <c r="D938">
        <v>11</v>
      </c>
      <c r="E938">
        <v>62</v>
      </c>
      <c r="F938">
        <v>274</v>
      </c>
      <c r="G938">
        <v>542</v>
      </c>
      <c r="H938">
        <v>153.0909</v>
      </c>
    </row>
    <row r="939" spans="1:8" x14ac:dyDescent="0.25">
      <c r="A939">
        <v>13671935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25">
      <c r="A940">
        <v>13672778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25">
      <c r="A941">
        <v>13673010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25">
      <c r="A942">
        <v>13673012</v>
      </c>
      <c r="B942">
        <v>2</v>
      </c>
      <c r="C942">
        <v>0</v>
      </c>
      <c r="D942">
        <v>0</v>
      </c>
      <c r="E942">
        <v>0</v>
      </c>
      <c r="F942">
        <v>16</v>
      </c>
      <c r="G942">
        <v>144</v>
      </c>
      <c r="H942">
        <v>0</v>
      </c>
    </row>
    <row r="943" spans="1:8" x14ac:dyDescent="0.25">
      <c r="A943">
        <v>13673013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25">
      <c r="A944">
        <v>13673014</v>
      </c>
      <c r="B944">
        <v>109</v>
      </c>
      <c r="C944">
        <v>0</v>
      </c>
      <c r="D944">
        <v>7</v>
      </c>
      <c r="E944">
        <v>39</v>
      </c>
      <c r="F944">
        <v>133</v>
      </c>
      <c r="G944">
        <v>323</v>
      </c>
      <c r="H944">
        <v>79.989999999999995</v>
      </c>
    </row>
    <row r="945" spans="1:8" x14ac:dyDescent="0.25">
      <c r="A945">
        <v>13674186</v>
      </c>
      <c r="B945">
        <v>0</v>
      </c>
      <c r="C945">
        <v>0</v>
      </c>
      <c r="D945">
        <v>0</v>
      </c>
      <c r="E945">
        <v>0</v>
      </c>
      <c r="F945">
        <v>1</v>
      </c>
      <c r="G945">
        <v>1</v>
      </c>
      <c r="H945">
        <v>0</v>
      </c>
    </row>
    <row r="946" spans="1:8" x14ac:dyDescent="0.25">
      <c r="A946">
        <v>13684851</v>
      </c>
      <c r="B946">
        <v>271</v>
      </c>
      <c r="C946">
        <v>0</v>
      </c>
      <c r="D946">
        <v>20</v>
      </c>
      <c r="E946">
        <v>65</v>
      </c>
      <c r="F946">
        <v>257</v>
      </c>
      <c r="G946">
        <v>811</v>
      </c>
      <c r="H946">
        <v>29.317499999999999</v>
      </c>
    </row>
    <row r="947" spans="1:8" x14ac:dyDescent="0.25">
      <c r="A947">
        <v>13684852</v>
      </c>
      <c r="B947">
        <v>3</v>
      </c>
      <c r="C947">
        <v>0</v>
      </c>
      <c r="D947">
        <v>0</v>
      </c>
      <c r="E947">
        <v>0</v>
      </c>
      <c r="F947">
        <v>0</v>
      </c>
      <c r="G947">
        <v>4</v>
      </c>
      <c r="H947">
        <v>0</v>
      </c>
    </row>
    <row r="948" spans="1:8" x14ac:dyDescent="0.25">
      <c r="A948">
        <v>13684853</v>
      </c>
      <c r="B948">
        <v>530</v>
      </c>
      <c r="C948">
        <v>0</v>
      </c>
      <c r="D948">
        <v>9</v>
      </c>
      <c r="E948">
        <v>61</v>
      </c>
      <c r="F948">
        <v>258</v>
      </c>
      <c r="G948">
        <v>555</v>
      </c>
      <c r="H948">
        <v>17.927800000000001</v>
      </c>
    </row>
    <row r="949" spans="1:8" x14ac:dyDescent="0.25">
      <c r="A949">
        <v>13684854</v>
      </c>
      <c r="B949">
        <v>252</v>
      </c>
      <c r="C949">
        <v>0</v>
      </c>
      <c r="D949">
        <v>12</v>
      </c>
      <c r="E949">
        <v>39</v>
      </c>
      <c r="F949">
        <v>146</v>
      </c>
      <c r="G949">
        <v>379</v>
      </c>
      <c r="H949">
        <v>32.956699999999998</v>
      </c>
    </row>
    <row r="950" spans="1:8" x14ac:dyDescent="0.25">
      <c r="A950">
        <v>13684855</v>
      </c>
      <c r="B950">
        <v>24</v>
      </c>
      <c r="C950">
        <v>0</v>
      </c>
      <c r="D950">
        <v>0</v>
      </c>
      <c r="E950">
        <v>2</v>
      </c>
      <c r="F950">
        <v>3</v>
      </c>
      <c r="G950">
        <v>9</v>
      </c>
      <c r="H950">
        <v>0</v>
      </c>
    </row>
    <row r="951" spans="1:8" x14ac:dyDescent="0.25">
      <c r="A951">
        <v>13684856</v>
      </c>
      <c r="B951">
        <v>1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25">
      <c r="A952">
        <v>13684859</v>
      </c>
      <c r="B952">
        <v>236</v>
      </c>
      <c r="C952">
        <v>0</v>
      </c>
      <c r="D952">
        <v>12</v>
      </c>
      <c r="E952">
        <v>52</v>
      </c>
      <c r="F952">
        <v>173</v>
      </c>
      <c r="G952">
        <v>361</v>
      </c>
      <c r="H952">
        <v>17.388300000000001</v>
      </c>
    </row>
    <row r="953" spans="1:8" x14ac:dyDescent="0.25">
      <c r="A953">
        <v>13685657</v>
      </c>
      <c r="B953">
        <v>-1</v>
      </c>
      <c r="C953">
        <v>0</v>
      </c>
      <c r="D953">
        <v>0</v>
      </c>
      <c r="E953">
        <v>0</v>
      </c>
      <c r="F953">
        <v>1</v>
      </c>
      <c r="G953">
        <v>1</v>
      </c>
      <c r="H953">
        <v>0</v>
      </c>
    </row>
    <row r="954" spans="1:8" x14ac:dyDescent="0.25">
      <c r="A954">
        <v>13685659</v>
      </c>
      <c r="B954">
        <v>232</v>
      </c>
      <c r="C954">
        <v>0</v>
      </c>
      <c r="D954">
        <v>22</v>
      </c>
      <c r="E954">
        <v>71</v>
      </c>
      <c r="F954">
        <v>494</v>
      </c>
      <c r="G954">
        <v>1463</v>
      </c>
      <c r="H954">
        <v>74.649500000000003</v>
      </c>
    </row>
    <row r="955" spans="1:8" x14ac:dyDescent="0.25">
      <c r="A955">
        <v>13685660</v>
      </c>
      <c r="B955">
        <v>16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25">
      <c r="A956">
        <v>13685662</v>
      </c>
      <c r="B956">
        <v>101</v>
      </c>
      <c r="C956">
        <v>0</v>
      </c>
      <c r="D956">
        <v>2</v>
      </c>
      <c r="E956">
        <v>22</v>
      </c>
      <c r="F956">
        <v>67</v>
      </c>
      <c r="G956">
        <v>313</v>
      </c>
      <c r="H956">
        <v>21.864999999999998</v>
      </c>
    </row>
    <row r="957" spans="1:8" x14ac:dyDescent="0.25">
      <c r="A957">
        <v>13685663</v>
      </c>
      <c r="B957">
        <v>583</v>
      </c>
      <c r="C957">
        <v>76</v>
      </c>
      <c r="D957">
        <v>18</v>
      </c>
      <c r="E957">
        <v>83</v>
      </c>
      <c r="F957">
        <v>278</v>
      </c>
      <c r="G957">
        <v>908</v>
      </c>
      <c r="H957">
        <v>29.005600000000001</v>
      </c>
    </row>
    <row r="958" spans="1:8" x14ac:dyDescent="0.25">
      <c r="A958">
        <v>13686394</v>
      </c>
      <c r="B958">
        <v>0</v>
      </c>
      <c r="C958">
        <v>0</v>
      </c>
      <c r="D958">
        <v>2</v>
      </c>
      <c r="E958">
        <v>4</v>
      </c>
      <c r="F958">
        <v>10</v>
      </c>
      <c r="G958">
        <v>15</v>
      </c>
      <c r="H958">
        <v>299.99</v>
      </c>
    </row>
    <row r="959" spans="1:8" x14ac:dyDescent="0.25">
      <c r="A959">
        <v>13686395</v>
      </c>
      <c r="B959">
        <v>131</v>
      </c>
      <c r="C959">
        <v>0</v>
      </c>
      <c r="D959">
        <v>8</v>
      </c>
      <c r="E959">
        <v>74</v>
      </c>
      <c r="F959">
        <v>283</v>
      </c>
      <c r="G959">
        <v>488</v>
      </c>
      <c r="H959">
        <v>646.46119999999996</v>
      </c>
    </row>
    <row r="960" spans="1:8" x14ac:dyDescent="0.25">
      <c r="A960">
        <v>13686396</v>
      </c>
      <c r="B960">
        <v>-1</v>
      </c>
      <c r="C960">
        <v>0</v>
      </c>
      <c r="D960">
        <v>0</v>
      </c>
      <c r="E960">
        <v>0</v>
      </c>
      <c r="F960">
        <v>0</v>
      </c>
      <c r="G960">
        <v>2</v>
      </c>
      <c r="H960">
        <v>0</v>
      </c>
    </row>
    <row r="961" spans="1:8" x14ac:dyDescent="0.25">
      <c r="A961">
        <v>13686397</v>
      </c>
      <c r="B961">
        <v>-1</v>
      </c>
      <c r="C961">
        <v>0</v>
      </c>
      <c r="D961">
        <v>0</v>
      </c>
      <c r="E961">
        <v>0</v>
      </c>
      <c r="F961">
        <v>1</v>
      </c>
      <c r="G961">
        <v>1</v>
      </c>
      <c r="H961">
        <v>0</v>
      </c>
    </row>
    <row r="962" spans="1:8" x14ac:dyDescent="0.25">
      <c r="A962">
        <v>13686661</v>
      </c>
      <c r="B962">
        <v>35</v>
      </c>
      <c r="C962">
        <v>0</v>
      </c>
      <c r="D962">
        <v>1</v>
      </c>
      <c r="E962">
        <v>2</v>
      </c>
      <c r="F962">
        <v>10</v>
      </c>
      <c r="G962">
        <v>34</v>
      </c>
      <c r="H962">
        <v>18.989999999999998</v>
      </c>
    </row>
    <row r="963" spans="1:8" x14ac:dyDescent="0.25">
      <c r="A963">
        <v>13689565</v>
      </c>
      <c r="B963">
        <v>8</v>
      </c>
      <c r="C963">
        <v>0</v>
      </c>
      <c r="D963">
        <v>0</v>
      </c>
      <c r="E963">
        <v>0</v>
      </c>
      <c r="F963">
        <v>2</v>
      </c>
      <c r="G963">
        <v>11</v>
      </c>
      <c r="H963">
        <v>0</v>
      </c>
    </row>
    <row r="964" spans="1:8" x14ac:dyDescent="0.25">
      <c r="A964">
        <v>13689566</v>
      </c>
      <c r="B964">
        <v>13</v>
      </c>
      <c r="C964">
        <v>0</v>
      </c>
      <c r="D964">
        <v>0</v>
      </c>
      <c r="E964">
        <v>0</v>
      </c>
      <c r="F964">
        <v>2</v>
      </c>
      <c r="G964">
        <v>11</v>
      </c>
      <c r="H964">
        <v>0</v>
      </c>
    </row>
    <row r="965" spans="1:8" x14ac:dyDescent="0.25">
      <c r="A965">
        <v>13689567</v>
      </c>
      <c r="B965">
        <v>6</v>
      </c>
      <c r="C965">
        <v>0</v>
      </c>
      <c r="D965">
        <v>0</v>
      </c>
      <c r="E965">
        <v>2</v>
      </c>
      <c r="F965">
        <v>3</v>
      </c>
      <c r="G965">
        <v>13</v>
      </c>
      <c r="H965">
        <v>0</v>
      </c>
    </row>
    <row r="966" spans="1:8" x14ac:dyDescent="0.25">
      <c r="A966">
        <v>13689568</v>
      </c>
      <c r="B966">
        <v>31</v>
      </c>
      <c r="C966">
        <v>0</v>
      </c>
      <c r="D966">
        <v>2</v>
      </c>
      <c r="E966">
        <v>8</v>
      </c>
      <c r="F966">
        <v>17</v>
      </c>
      <c r="G966">
        <v>59</v>
      </c>
      <c r="H966">
        <v>192.49</v>
      </c>
    </row>
    <row r="967" spans="1:8" x14ac:dyDescent="0.25">
      <c r="A967">
        <v>13689569</v>
      </c>
      <c r="B967">
        <v>20</v>
      </c>
      <c r="C967">
        <v>0</v>
      </c>
      <c r="D967">
        <v>0</v>
      </c>
      <c r="E967">
        <v>1</v>
      </c>
      <c r="F967">
        <v>18</v>
      </c>
      <c r="G967">
        <v>50</v>
      </c>
      <c r="H967">
        <v>0</v>
      </c>
    </row>
    <row r="968" spans="1:8" x14ac:dyDescent="0.25">
      <c r="A968">
        <v>13695609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3</v>
      </c>
      <c r="H968">
        <v>0</v>
      </c>
    </row>
    <row r="969" spans="1:8" x14ac:dyDescent="0.25">
      <c r="A969">
        <v>13695610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4</v>
      </c>
      <c r="H969">
        <v>0</v>
      </c>
    </row>
    <row r="970" spans="1:8" x14ac:dyDescent="0.25">
      <c r="A970">
        <v>13701999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25">
      <c r="A971">
        <v>13705550</v>
      </c>
      <c r="B971">
        <v>1</v>
      </c>
      <c r="C971">
        <v>0</v>
      </c>
      <c r="D971">
        <v>0</v>
      </c>
      <c r="E971">
        <v>3</v>
      </c>
      <c r="F971">
        <v>20</v>
      </c>
      <c r="G971">
        <v>106</v>
      </c>
      <c r="H971">
        <v>0</v>
      </c>
    </row>
    <row r="972" spans="1:8" x14ac:dyDescent="0.25">
      <c r="A972">
        <v>13709908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25">
      <c r="A973">
        <v>13709910</v>
      </c>
      <c r="B973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25">
      <c r="A974">
        <v>13709916</v>
      </c>
      <c r="B974">
        <v>1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25">
      <c r="A975">
        <v>13709918</v>
      </c>
      <c r="B975">
        <v>7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25">
      <c r="A976">
        <v>13710547</v>
      </c>
      <c r="B976">
        <v>13</v>
      </c>
      <c r="C976">
        <v>0</v>
      </c>
      <c r="D976">
        <v>1</v>
      </c>
      <c r="E976">
        <v>1</v>
      </c>
      <c r="F976">
        <v>7</v>
      </c>
      <c r="G976">
        <v>14</v>
      </c>
      <c r="H976">
        <v>49.99</v>
      </c>
    </row>
    <row r="977" spans="1:8" x14ac:dyDescent="0.25">
      <c r="A977">
        <v>13712765</v>
      </c>
      <c r="B977">
        <v>18</v>
      </c>
      <c r="C977">
        <v>0</v>
      </c>
      <c r="D977">
        <v>0</v>
      </c>
      <c r="E977">
        <v>0</v>
      </c>
      <c r="F977">
        <v>0</v>
      </c>
      <c r="G977">
        <v>1</v>
      </c>
      <c r="H977">
        <v>0</v>
      </c>
    </row>
    <row r="978" spans="1:8" x14ac:dyDescent="0.25">
      <c r="A978">
        <v>13714263</v>
      </c>
      <c r="B978">
        <v>-1</v>
      </c>
      <c r="C978">
        <v>0</v>
      </c>
      <c r="D978">
        <v>1</v>
      </c>
      <c r="E978">
        <v>1</v>
      </c>
      <c r="F978">
        <v>1</v>
      </c>
      <c r="G978">
        <v>1</v>
      </c>
      <c r="H978">
        <v>89.1</v>
      </c>
    </row>
    <row r="979" spans="1:8" x14ac:dyDescent="0.25">
      <c r="A979">
        <v>13714264</v>
      </c>
      <c r="B979">
        <v>5</v>
      </c>
      <c r="C979">
        <v>0</v>
      </c>
      <c r="D979">
        <v>0</v>
      </c>
      <c r="E979">
        <v>0</v>
      </c>
      <c r="F979">
        <v>0</v>
      </c>
      <c r="G979">
        <v>13</v>
      </c>
      <c r="H979">
        <v>0</v>
      </c>
    </row>
    <row r="980" spans="1:8" x14ac:dyDescent="0.25">
      <c r="A980">
        <v>13715028</v>
      </c>
      <c r="B980">
        <v>24</v>
      </c>
      <c r="C980">
        <v>0</v>
      </c>
      <c r="D980">
        <v>0</v>
      </c>
      <c r="E980">
        <v>0</v>
      </c>
      <c r="F980">
        <v>2</v>
      </c>
      <c r="G980">
        <v>3</v>
      </c>
      <c r="H980">
        <v>0</v>
      </c>
    </row>
    <row r="981" spans="1:8" x14ac:dyDescent="0.25">
      <c r="A981">
        <v>13715905</v>
      </c>
      <c r="B981">
        <v>3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25">
      <c r="A982">
        <v>13718492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25">
      <c r="A983">
        <v>13721647</v>
      </c>
      <c r="B983">
        <v>16</v>
      </c>
      <c r="C983">
        <v>0</v>
      </c>
      <c r="D983">
        <v>0</v>
      </c>
      <c r="E983">
        <v>4</v>
      </c>
      <c r="F983">
        <v>33</v>
      </c>
      <c r="G983">
        <v>51</v>
      </c>
      <c r="H983">
        <v>0</v>
      </c>
    </row>
    <row r="984" spans="1:8" x14ac:dyDescent="0.25">
      <c r="A984">
        <v>13721649</v>
      </c>
      <c r="B984">
        <v>3</v>
      </c>
      <c r="C984">
        <v>0</v>
      </c>
      <c r="D984">
        <v>0</v>
      </c>
      <c r="E984">
        <v>-1</v>
      </c>
      <c r="F984">
        <v>2</v>
      </c>
      <c r="G984">
        <v>7</v>
      </c>
      <c r="H984">
        <v>0</v>
      </c>
    </row>
    <row r="985" spans="1:8" x14ac:dyDescent="0.25">
      <c r="A985">
        <v>13721650</v>
      </c>
      <c r="B985">
        <v>-1</v>
      </c>
      <c r="C985">
        <v>0</v>
      </c>
      <c r="D985">
        <v>0</v>
      </c>
      <c r="E985">
        <v>0</v>
      </c>
      <c r="F985">
        <v>0</v>
      </c>
      <c r="G985">
        <v>3</v>
      </c>
      <c r="H985">
        <v>0</v>
      </c>
    </row>
    <row r="986" spans="1:8" x14ac:dyDescent="0.25">
      <c r="A986">
        <v>13723072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25">
      <c r="A987">
        <v>13723298</v>
      </c>
      <c r="B987">
        <v>8</v>
      </c>
      <c r="C987">
        <v>0</v>
      </c>
      <c r="D987">
        <v>0</v>
      </c>
      <c r="E987">
        <v>0</v>
      </c>
      <c r="F987">
        <v>0</v>
      </c>
      <c r="G987">
        <v>4</v>
      </c>
      <c r="H987">
        <v>0</v>
      </c>
    </row>
    <row r="988" spans="1:8" x14ac:dyDescent="0.25">
      <c r="A988">
        <v>13723557</v>
      </c>
      <c r="B988">
        <v>15</v>
      </c>
      <c r="C988">
        <v>0</v>
      </c>
      <c r="D988">
        <v>0</v>
      </c>
      <c r="E988">
        <v>2</v>
      </c>
      <c r="F988">
        <v>36</v>
      </c>
      <c r="G988">
        <v>51</v>
      </c>
      <c r="H988">
        <v>0</v>
      </c>
    </row>
    <row r="989" spans="1:8" x14ac:dyDescent="0.25">
      <c r="A989">
        <v>13723558</v>
      </c>
      <c r="B989">
        <v>209</v>
      </c>
      <c r="C989">
        <v>0</v>
      </c>
      <c r="D989">
        <v>18</v>
      </c>
      <c r="E989">
        <v>36</v>
      </c>
      <c r="F989">
        <v>219</v>
      </c>
      <c r="G989">
        <v>979</v>
      </c>
      <c r="H989">
        <v>36.318300000000001</v>
      </c>
    </row>
    <row r="990" spans="1:8" x14ac:dyDescent="0.25">
      <c r="A990">
        <v>13723805</v>
      </c>
      <c r="B990">
        <v>2</v>
      </c>
      <c r="C990">
        <v>0</v>
      </c>
      <c r="D990">
        <v>0</v>
      </c>
      <c r="E990">
        <v>0</v>
      </c>
      <c r="F990">
        <v>1</v>
      </c>
      <c r="G990">
        <v>10</v>
      </c>
      <c r="H990">
        <v>0</v>
      </c>
    </row>
    <row r="991" spans="1:8" x14ac:dyDescent="0.25">
      <c r="A991">
        <v>13723806</v>
      </c>
      <c r="B991">
        <v>0</v>
      </c>
      <c r="C991">
        <v>0</v>
      </c>
      <c r="D991">
        <v>0</v>
      </c>
      <c r="E991">
        <v>0</v>
      </c>
      <c r="F991">
        <v>2</v>
      </c>
      <c r="G991">
        <v>4</v>
      </c>
      <c r="H991">
        <v>0</v>
      </c>
    </row>
    <row r="992" spans="1:8" x14ac:dyDescent="0.25">
      <c r="A992">
        <v>13723807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3</v>
      </c>
      <c r="H992">
        <v>0</v>
      </c>
    </row>
    <row r="993" spans="1:8" x14ac:dyDescent="0.25">
      <c r="A993">
        <v>13727609</v>
      </c>
      <c r="B993">
        <v>2</v>
      </c>
      <c r="C993">
        <v>0</v>
      </c>
      <c r="D993">
        <v>0</v>
      </c>
      <c r="E993">
        <v>0</v>
      </c>
      <c r="F993">
        <v>2</v>
      </c>
      <c r="G993">
        <v>2</v>
      </c>
      <c r="H993">
        <v>0</v>
      </c>
    </row>
    <row r="994" spans="1:8" x14ac:dyDescent="0.25">
      <c r="A994">
        <v>13727610</v>
      </c>
      <c r="B994">
        <v>5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25">
      <c r="A995">
        <v>13727611</v>
      </c>
      <c r="B995">
        <v>10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25">
      <c r="A996">
        <v>13732435</v>
      </c>
      <c r="B996">
        <v>0</v>
      </c>
      <c r="C996">
        <v>0</v>
      </c>
      <c r="D996">
        <v>0</v>
      </c>
      <c r="E996">
        <v>0</v>
      </c>
      <c r="F996">
        <v>3</v>
      </c>
      <c r="G996">
        <v>3</v>
      </c>
      <c r="H996">
        <v>0</v>
      </c>
    </row>
    <row r="997" spans="1:8" x14ac:dyDescent="0.25">
      <c r="A997">
        <v>13732436</v>
      </c>
      <c r="B997">
        <v>1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25">
      <c r="A998">
        <v>13733631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25">
      <c r="A999">
        <v>13735679</v>
      </c>
      <c r="B999">
        <v>6</v>
      </c>
      <c r="C999">
        <v>0</v>
      </c>
      <c r="D999">
        <v>0</v>
      </c>
      <c r="E999">
        <v>0</v>
      </c>
      <c r="F999">
        <v>0</v>
      </c>
      <c r="G999">
        <v>1</v>
      </c>
      <c r="H999">
        <v>0</v>
      </c>
    </row>
    <row r="1000" spans="1:8" x14ac:dyDescent="0.25">
      <c r="A1000">
        <v>13735682</v>
      </c>
      <c r="B1000">
        <v>198</v>
      </c>
      <c r="C1000">
        <v>0</v>
      </c>
      <c r="D1000">
        <v>2</v>
      </c>
      <c r="E1000">
        <v>29</v>
      </c>
      <c r="F1000">
        <v>118</v>
      </c>
      <c r="G1000">
        <v>168</v>
      </c>
      <c r="H1000">
        <v>57.27</v>
      </c>
    </row>
    <row r="1001" spans="1:8" x14ac:dyDescent="0.25">
      <c r="A1001">
        <v>13735683</v>
      </c>
      <c r="B1001">
        <v>54</v>
      </c>
      <c r="C1001">
        <v>0</v>
      </c>
      <c r="D1001">
        <v>2</v>
      </c>
      <c r="E1001">
        <v>2</v>
      </c>
      <c r="F1001">
        <v>2</v>
      </c>
      <c r="G1001">
        <v>5</v>
      </c>
      <c r="H1001">
        <v>92.614999999999995</v>
      </c>
    </row>
    <row r="1002" spans="1:8" x14ac:dyDescent="0.25">
      <c r="A1002">
        <v>13735687</v>
      </c>
      <c r="B1002">
        <v>60</v>
      </c>
      <c r="C1002">
        <v>0</v>
      </c>
      <c r="D1002">
        <v>0</v>
      </c>
      <c r="E1002">
        <v>0</v>
      </c>
      <c r="F1002">
        <v>0</v>
      </c>
      <c r="G1002">
        <v>5</v>
      </c>
      <c r="H1002">
        <v>0</v>
      </c>
    </row>
    <row r="1003" spans="1:8" x14ac:dyDescent="0.25">
      <c r="A1003">
        <v>13736045</v>
      </c>
      <c r="B1003">
        <v>21</v>
      </c>
      <c r="C1003">
        <v>0</v>
      </c>
      <c r="D1003">
        <v>1</v>
      </c>
      <c r="E1003">
        <v>0</v>
      </c>
      <c r="F1003">
        <v>8</v>
      </c>
      <c r="G1003">
        <v>16</v>
      </c>
      <c r="H1003">
        <v>21.59</v>
      </c>
    </row>
    <row r="1004" spans="1:8" x14ac:dyDescent="0.25">
      <c r="A1004">
        <v>13736047</v>
      </c>
      <c r="B1004">
        <v>50</v>
      </c>
      <c r="C1004">
        <v>34</v>
      </c>
      <c r="D1004">
        <v>0</v>
      </c>
      <c r="E1004">
        <v>2</v>
      </c>
      <c r="F1004">
        <v>10</v>
      </c>
      <c r="G1004">
        <v>42</v>
      </c>
      <c r="H1004">
        <v>0</v>
      </c>
    </row>
    <row r="1005" spans="1:8" x14ac:dyDescent="0.25">
      <c r="A1005">
        <v>13736434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25">
      <c r="A1006">
        <v>13739609</v>
      </c>
      <c r="B1006">
        <v>17</v>
      </c>
      <c r="C1006">
        <v>0</v>
      </c>
      <c r="D1006">
        <v>0</v>
      </c>
      <c r="E1006">
        <v>1</v>
      </c>
      <c r="F1006">
        <v>2</v>
      </c>
      <c r="G1006">
        <v>9</v>
      </c>
      <c r="H1006">
        <v>0</v>
      </c>
    </row>
    <row r="1007" spans="1:8" x14ac:dyDescent="0.25">
      <c r="A1007">
        <v>13740998</v>
      </c>
      <c r="B1007">
        <v>1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25">
      <c r="A1008">
        <v>13741830</v>
      </c>
      <c r="B1008">
        <v>498</v>
      </c>
      <c r="C1008">
        <v>8</v>
      </c>
      <c r="D1008">
        <v>23</v>
      </c>
      <c r="E1008">
        <v>103</v>
      </c>
      <c r="F1008">
        <v>412</v>
      </c>
      <c r="G1008">
        <v>1097</v>
      </c>
      <c r="H1008">
        <v>21.113</v>
      </c>
    </row>
    <row r="1009" spans="1:8" x14ac:dyDescent="0.25">
      <c r="A1009">
        <v>13751377</v>
      </c>
      <c r="B1009">
        <v>39</v>
      </c>
      <c r="C1009">
        <v>0</v>
      </c>
      <c r="D1009">
        <v>1</v>
      </c>
      <c r="E1009">
        <v>1</v>
      </c>
      <c r="F1009">
        <v>2</v>
      </c>
      <c r="G1009">
        <v>9</v>
      </c>
      <c r="H1009">
        <v>69.989999999999995</v>
      </c>
    </row>
    <row r="1010" spans="1:8" x14ac:dyDescent="0.25">
      <c r="A1010">
        <v>13753728</v>
      </c>
      <c r="B1010">
        <v>-1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25">
      <c r="A1011">
        <v>13767164</v>
      </c>
      <c r="B1011">
        <v>1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25">
      <c r="A1012">
        <v>13767165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2</v>
      </c>
      <c r="H1012">
        <v>0</v>
      </c>
    </row>
    <row r="1013" spans="1:8" x14ac:dyDescent="0.25">
      <c r="A1013">
        <v>13767215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25">
      <c r="A1014">
        <v>13769073</v>
      </c>
      <c r="B1014">
        <v>41</v>
      </c>
      <c r="C1014">
        <v>5</v>
      </c>
      <c r="D1014">
        <v>1</v>
      </c>
      <c r="E1014">
        <v>8</v>
      </c>
      <c r="F1014">
        <v>25</v>
      </c>
      <c r="G1014">
        <v>44</v>
      </c>
      <c r="H1014">
        <v>60.37</v>
      </c>
    </row>
    <row r="1015" spans="1:8" x14ac:dyDescent="0.25">
      <c r="A1015">
        <v>13772888</v>
      </c>
      <c r="B1015">
        <v>1202</v>
      </c>
      <c r="C1015">
        <v>34</v>
      </c>
      <c r="D1015">
        <v>65</v>
      </c>
      <c r="E1015">
        <v>290</v>
      </c>
      <c r="F1015">
        <v>1308</v>
      </c>
      <c r="G1015">
        <v>2614</v>
      </c>
      <c r="H1015">
        <v>23.957799999999999</v>
      </c>
    </row>
    <row r="1016" spans="1:8" x14ac:dyDescent="0.25">
      <c r="A1016">
        <v>13772889</v>
      </c>
      <c r="B1016">
        <v>812</v>
      </c>
      <c r="C1016">
        <v>32</v>
      </c>
      <c r="D1016">
        <v>81</v>
      </c>
      <c r="E1016">
        <v>319</v>
      </c>
      <c r="F1016">
        <v>1138</v>
      </c>
      <c r="G1016">
        <v>2162</v>
      </c>
      <c r="H1016">
        <v>28.752199999999998</v>
      </c>
    </row>
    <row r="1017" spans="1:8" x14ac:dyDescent="0.25">
      <c r="A1017">
        <v>13772890</v>
      </c>
      <c r="B1017">
        <v>357</v>
      </c>
      <c r="C1017">
        <v>110</v>
      </c>
      <c r="D1017">
        <v>51</v>
      </c>
      <c r="E1017">
        <v>186</v>
      </c>
      <c r="F1017">
        <v>713</v>
      </c>
      <c r="G1017">
        <v>1443</v>
      </c>
      <c r="H1017">
        <v>26.358799999999999</v>
      </c>
    </row>
    <row r="1018" spans="1:8" x14ac:dyDescent="0.25">
      <c r="A1018">
        <v>13772891</v>
      </c>
      <c r="B1018">
        <v>286</v>
      </c>
      <c r="C1018">
        <v>51</v>
      </c>
      <c r="D1018">
        <v>32</v>
      </c>
      <c r="E1018">
        <v>141</v>
      </c>
      <c r="F1018">
        <v>556</v>
      </c>
      <c r="G1018">
        <v>1077</v>
      </c>
      <c r="H1018">
        <v>43.306600000000003</v>
      </c>
    </row>
    <row r="1019" spans="1:8" x14ac:dyDescent="0.25">
      <c r="A1019">
        <v>13783657</v>
      </c>
      <c r="B1019">
        <v>1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25">
      <c r="A1020">
        <v>13798203</v>
      </c>
      <c r="B1020">
        <v>1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25">
      <c r="A1021">
        <v>13798206</v>
      </c>
      <c r="B1021">
        <v>4</v>
      </c>
      <c r="C1021">
        <v>0</v>
      </c>
      <c r="D1021">
        <v>1</v>
      </c>
      <c r="E1021">
        <v>2</v>
      </c>
      <c r="F1021">
        <v>4</v>
      </c>
      <c r="G1021">
        <v>4</v>
      </c>
      <c r="H1021">
        <v>134.29</v>
      </c>
    </row>
    <row r="1022" spans="1:8" x14ac:dyDescent="0.25">
      <c r="A1022">
        <v>13798725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1</v>
      </c>
      <c r="H1022">
        <v>0</v>
      </c>
    </row>
    <row r="1023" spans="1:8" x14ac:dyDescent="0.25">
      <c r="A1023">
        <v>13806108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25">
      <c r="A1024">
        <v>13806112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25">
      <c r="A1025">
        <v>13813034</v>
      </c>
      <c r="B1025">
        <v>6</v>
      </c>
      <c r="C1025">
        <v>0</v>
      </c>
      <c r="D1025">
        <v>1</v>
      </c>
      <c r="E1025">
        <v>1</v>
      </c>
      <c r="F1025">
        <v>3</v>
      </c>
      <c r="G1025">
        <v>44</v>
      </c>
      <c r="H1025">
        <v>49.97</v>
      </c>
    </row>
    <row r="1026" spans="1:8" x14ac:dyDescent="0.25">
      <c r="A1026">
        <v>13817482</v>
      </c>
      <c r="B1026">
        <v>15</v>
      </c>
      <c r="C1026">
        <v>9</v>
      </c>
      <c r="D1026">
        <v>0</v>
      </c>
      <c r="E1026">
        <v>1</v>
      </c>
      <c r="F1026">
        <v>12</v>
      </c>
      <c r="G1026">
        <v>26</v>
      </c>
      <c r="H1026">
        <v>0</v>
      </c>
    </row>
    <row r="1027" spans="1:8" x14ac:dyDescent="0.25">
      <c r="A1027">
        <v>13817483</v>
      </c>
      <c r="B1027">
        <v>21</v>
      </c>
      <c r="C1027">
        <v>0</v>
      </c>
      <c r="D1027">
        <v>0</v>
      </c>
      <c r="E1027">
        <v>0</v>
      </c>
      <c r="F1027">
        <v>7</v>
      </c>
      <c r="G1027">
        <v>9</v>
      </c>
      <c r="H1027">
        <v>0</v>
      </c>
    </row>
    <row r="1028" spans="1:8" x14ac:dyDescent="0.25">
      <c r="A1028">
        <v>13817484</v>
      </c>
      <c r="B1028">
        <v>14</v>
      </c>
      <c r="C1028">
        <v>0</v>
      </c>
      <c r="D1028">
        <v>0</v>
      </c>
      <c r="E1028">
        <v>2</v>
      </c>
      <c r="F1028">
        <v>3</v>
      </c>
      <c r="G1028">
        <v>4</v>
      </c>
      <c r="H1028">
        <v>0</v>
      </c>
    </row>
    <row r="1029" spans="1:8" x14ac:dyDescent="0.25">
      <c r="A1029">
        <v>13824698</v>
      </c>
      <c r="B1029">
        <v>1</v>
      </c>
      <c r="C1029">
        <v>0</v>
      </c>
      <c r="D1029">
        <v>0</v>
      </c>
      <c r="E1029">
        <v>0</v>
      </c>
      <c r="F1029">
        <v>0</v>
      </c>
      <c r="G1029">
        <v>6</v>
      </c>
      <c r="H1029">
        <v>0</v>
      </c>
    </row>
    <row r="1030" spans="1:8" x14ac:dyDescent="0.25">
      <c r="A1030">
        <v>13824799</v>
      </c>
      <c r="B1030">
        <v>6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25">
      <c r="A1031">
        <v>13835031</v>
      </c>
      <c r="B1031">
        <v>133</v>
      </c>
      <c r="C1031">
        <v>34</v>
      </c>
      <c r="D1031">
        <v>5</v>
      </c>
      <c r="E1031">
        <v>26</v>
      </c>
      <c r="F1031">
        <v>101</v>
      </c>
      <c r="G1031">
        <v>173</v>
      </c>
      <c r="H1031">
        <v>16.989999999999998</v>
      </c>
    </row>
    <row r="1032" spans="1:8" x14ac:dyDescent="0.25">
      <c r="A1032">
        <v>13835032</v>
      </c>
      <c r="B1032">
        <v>127</v>
      </c>
      <c r="C1032">
        <v>39</v>
      </c>
      <c r="D1032">
        <v>1</v>
      </c>
      <c r="E1032">
        <v>8</v>
      </c>
      <c r="F1032">
        <v>58</v>
      </c>
      <c r="G1032">
        <v>84</v>
      </c>
      <c r="H1032">
        <v>17.989999999999998</v>
      </c>
    </row>
    <row r="1033" spans="1:8" x14ac:dyDescent="0.25">
      <c r="A1033">
        <v>13840935</v>
      </c>
      <c r="B1033">
        <v>41</v>
      </c>
      <c r="C1033">
        <v>0</v>
      </c>
      <c r="D1033">
        <v>2</v>
      </c>
      <c r="E1033">
        <v>4</v>
      </c>
      <c r="F1033">
        <v>15</v>
      </c>
      <c r="G1033">
        <v>29</v>
      </c>
      <c r="H1033">
        <v>67</v>
      </c>
    </row>
    <row r="1034" spans="1:8" x14ac:dyDescent="0.25">
      <c r="A1034">
        <v>13840936</v>
      </c>
      <c r="B1034">
        <v>604</v>
      </c>
      <c r="C1034">
        <v>193</v>
      </c>
      <c r="D1034">
        <v>50</v>
      </c>
      <c r="E1034">
        <v>169</v>
      </c>
      <c r="F1034">
        <v>570</v>
      </c>
      <c r="G1034">
        <v>1099</v>
      </c>
      <c r="H1034">
        <v>85.546400000000006</v>
      </c>
    </row>
    <row r="1035" spans="1:8" x14ac:dyDescent="0.25">
      <c r="A1035">
        <v>13840937</v>
      </c>
      <c r="B1035">
        <v>23</v>
      </c>
      <c r="C1035">
        <v>0</v>
      </c>
      <c r="D1035">
        <v>2</v>
      </c>
      <c r="E1035">
        <v>3</v>
      </c>
      <c r="F1035">
        <v>12</v>
      </c>
      <c r="G1035">
        <v>31</v>
      </c>
      <c r="H1035">
        <v>85.114999999999995</v>
      </c>
    </row>
    <row r="1036" spans="1:8" x14ac:dyDescent="0.25">
      <c r="A1036">
        <v>13840938</v>
      </c>
      <c r="B1036">
        <v>71</v>
      </c>
      <c r="C1036">
        <v>0</v>
      </c>
      <c r="D1036">
        <v>0</v>
      </c>
      <c r="E1036">
        <v>3</v>
      </c>
      <c r="F1036">
        <v>7</v>
      </c>
      <c r="G1036">
        <v>13</v>
      </c>
      <c r="H1036">
        <v>0</v>
      </c>
    </row>
    <row r="1037" spans="1:8" x14ac:dyDescent="0.25">
      <c r="A1037">
        <v>13840939</v>
      </c>
      <c r="B1037">
        <v>26</v>
      </c>
      <c r="C1037">
        <v>0</v>
      </c>
      <c r="D1037">
        <v>1</v>
      </c>
      <c r="E1037">
        <v>3</v>
      </c>
      <c r="F1037">
        <v>14</v>
      </c>
      <c r="G1037">
        <v>28</v>
      </c>
      <c r="H1037">
        <v>87</v>
      </c>
    </row>
    <row r="1038" spans="1:8" x14ac:dyDescent="0.25">
      <c r="A1038">
        <v>13840940</v>
      </c>
      <c r="B1038">
        <v>395</v>
      </c>
      <c r="C1038">
        <v>385</v>
      </c>
      <c r="D1038">
        <v>40</v>
      </c>
      <c r="E1038">
        <v>177</v>
      </c>
      <c r="F1038">
        <v>680</v>
      </c>
      <c r="G1038">
        <v>1321</v>
      </c>
      <c r="H1038">
        <v>117.96680000000001</v>
      </c>
    </row>
    <row r="1039" spans="1:8" x14ac:dyDescent="0.25">
      <c r="A1039">
        <v>13840941</v>
      </c>
      <c r="B1039">
        <v>135</v>
      </c>
      <c r="C1039">
        <v>195</v>
      </c>
      <c r="D1039">
        <v>31</v>
      </c>
      <c r="E1039">
        <v>129</v>
      </c>
      <c r="F1039">
        <v>454</v>
      </c>
      <c r="G1039">
        <v>910</v>
      </c>
      <c r="H1039">
        <v>85.538399999999996</v>
      </c>
    </row>
    <row r="1040" spans="1:8" x14ac:dyDescent="0.25">
      <c r="A1040">
        <v>13840942</v>
      </c>
      <c r="B1040">
        <v>235</v>
      </c>
      <c r="C1040">
        <v>175</v>
      </c>
      <c r="D1040">
        <v>28</v>
      </c>
      <c r="E1040">
        <v>119</v>
      </c>
      <c r="F1040">
        <v>402</v>
      </c>
      <c r="G1040">
        <v>722</v>
      </c>
      <c r="H1040">
        <v>66.376099999999994</v>
      </c>
    </row>
    <row r="1041" spans="1:8" x14ac:dyDescent="0.25">
      <c r="A1041">
        <v>13848878</v>
      </c>
      <c r="B1041">
        <v>11</v>
      </c>
      <c r="C1041">
        <v>1</v>
      </c>
      <c r="D1041">
        <v>0</v>
      </c>
      <c r="E1041">
        <v>3</v>
      </c>
      <c r="F1041">
        <v>10</v>
      </c>
      <c r="G1041">
        <v>17</v>
      </c>
      <c r="H1041">
        <v>0</v>
      </c>
    </row>
    <row r="1042" spans="1:8" x14ac:dyDescent="0.25">
      <c r="A1042">
        <v>13854148</v>
      </c>
      <c r="B1042">
        <v>9</v>
      </c>
      <c r="C1042">
        <v>0</v>
      </c>
      <c r="D1042">
        <v>0</v>
      </c>
      <c r="E1042">
        <v>0</v>
      </c>
      <c r="F1042">
        <v>2</v>
      </c>
      <c r="G1042">
        <v>4</v>
      </c>
      <c r="H1042">
        <v>0</v>
      </c>
    </row>
    <row r="1043" spans="1:8" x14ac:dyDescent="0.25">
      <c r="A1043">
        <v>13854299</v>
      </c>
      <c r="B1043">
        <v>2</v>
      </c>
      <c r="C1043">
        <v>0</v>
      </c>
      <c r="D1043">
        <v>0</v>
      </c>
      <c r="E1043">
        <v>0</v>
      </c>
      <c r="F1043">
        <v>1</v>
      </c>
      <c r="G1043">
        <v>2</v>
      </c>
      <c r="H1043">
        <v>0</v>
      </c>
    </row>
    <row r="1044" spans="1:8" x14ac:dyDescent="0.25">
      <c r="A1044">
        <v>13855725</v>
      </c>
      <c r="B1044">
        <v>58</v>
      </c>
      <c r="C1044">
        <v>5</v>
      </c>
      <c r="D1044">
        <v>1</v>
      </c>
      <c r="E1044">
        <v>9</v>
      </c>
      <c r="F1044">
        <v>57</v>
      </c>
      <c r="G1044">
        <v>119</v>
      </c>
      <c r="H1044">
        <v>69.989999999999995</v>
      </c>
    </row>
    <row r="1045" spans="1:8" x14ac:dyDescent="0.25">
      <c r="A1045">
        <v>13860593</v>
      </c>
      <c r="B1045">
        <v>0</v>
      </c>
      <c r="C1045">
        <v>0</v>
      </c>
      <c r="D1045">
        <v>0</v>
      </c>
      <c r="E1045">
        <v>0</v>
      </c>
      <c r="F1045">
        <v>2</v>
      </c>
      <c r="G1045">
        <v>10</v>
      </c>
      <c r="H1045">
        <v>0</v>
      </c>
    </row>
    <row r="1046" spans="1:8" x14ac:dyDescent="0.25">
      <c r="A1046">
        <v>13860594</v>
      </c>
      <c r="B1046">
        <v>2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25">
      <c r="A1047">
        <v>13862774</v>
      </c>
      <c r="B1047">
        <v>13</v>
      </c>
      <c r="C1047">
        <v>0</v>
      </c>
      <c r="D1047">
        <v>0</v>
      </c>
      <c r="E1047">
        <v>1</v>
      </c>
      <c r="F1047">
        <v>12</v>
      </c>
      <c r="G1047">
        <v>48</v>
      </c>
      <c r="H1047">
        <v>0</v>
      </c>
    </row>
    <row r="1048" spans="1:8" x14ac:dyDescent="0.25">
      <c r="A1048">
        <v>13862813</v>
      </c>
      <c r="B1048">
        <v>11</v>
      </c>
      <c r="C1048">
        <v>0</v>
      </c>
      <c r="D1048">
        <v>0</v>
      </c>
      <c r="E1048">
        <v>0</v>
      </c>
      <c r="F1048">
        <v>1</v>
      </c>
      <c r="G1048">
        <v>4</v>
      </c>
      <c r="H1048">
        <v>0</v>
      </c>
    </row>
    <row r="1049" spans="1:8" x14ac:dyDescent="0.25">
      <c r="A1049">
        <v>13863374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25">
      <c r="A1050">
        <v>13863375</v>
      </c>
      <c r="B1050">
        <v>-1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25">
      <c r="A1051">
        <v>13863381</v>
      </c>
      <c r="B1051">
        <v>29</v>
      </c>
      <c r="C1051">
        <v>0</v>
      </c>
      <c r="D1051">
        <v>0</v>
      </c>
      <c r="E1051">
        <v>0</v>
      </c>
      <c r="F1051">
        <v>1</v>
      </c>
      <c r="G1051">
        <v>26</v>
      </c>
      <c r="H1051">
        <v>0</v>
      </c>
    </row>
    <row r="1052" spans="1:8" x14ac:dyDescent="0.25">
      <c r="A1052">
        <v>13863382</v>
      </c>
      <c r="B1052">
        <v>74</v>
      </c>
      <c r="C1052">
        <v>0</v>
      </c>
      <c r="D1052">
        <v>0</v>
      </c>
      <c r="E1052">
        <v>3</v>
      </c>
      <c r="F1052">
        <v>9</v>
      </c>
      <c r="G1052">
        <v>22</v>
      </c>
      <c r="H1052">
        <v>0</v>
      </c>
    </row>
    <row r="1053" spans="1:8" x14ac:dyDescent="0.25">
      <c r="A1053">
        <v>13863383</v>
      </c>
      <c r="B1053">
        <v>28</v>
      </c>
      <c r="C1053">
        <v>0</v>
      </c>
      <c r="D1053">
        <v>0</v>
      </c>
      <c r="E1053">
        <v>1</v>
      </c>
      <c r="F1053">
        <v>9</v>
      </c>
      <c r="G1053">
        <v>42</v>
      </c>
      <c r="H1053">
        <v>0</v>
      </c>
    </row>
    <row r="1054" spans="1:8" x14ac:dyDescent="0.25">
      <c r="A1054">
        <v>13863384</v>
      </c>
      <c r="B1054">
        <v>39</v>
      </c>
      <c r="C1054">
        <v>0</v>
      </c>
      <c r="D1054">
        <v>0</v>
      </c>
      <c r="E1054">
        <v>2</v>
      </c>
      <c r="F1054">
        <v>15</v>
      </c>
      <c r="G1054">
        <v>36</v>
      </c>
      <c r="H1054">
        <v>0</v>
      </c>
    </row>
    <row r="1055" spans="1:8" x14ac:dyDescent="0.25">
      <c r="A1055">
        <v>13863385</v>
      </c>
      <c r="B1055">
        <v>25</v>
      </c>
      <c r="C1055">
        <v>0</v>
      </c>
      <c r="D1055">
        <v>0</v>
      </c>
      <c r="E1055">
        <v>1</v>
      </c>
      <c r="F1055">
        <v>2</v>
      </c>
      <c r="G1055">
        <v>2</v>
      </c>
      <c r="H1055">
        <v>0</v>
      </c>
    </row>
    <row r="1056" spans="1:8" x14ac:dyDescent="0.25">
      <c r="A1056">
        <v>13864749</v>
      </c>
      <c r="B1056">
        <v>0</v>
      </c>
      <c r="C1056">
        <v>0</v>
      </c>
      <c r="D1056">
        <v>0</v>
      </c>
      <c r="E1056">
        <v>1</v>
      </c>
      <c r="F1056">
        <v>2</v>
      </c>
      <c r="G1056">
        <v>2</v>
      </c>
      <c r="H1056">
        <v>0</v>
      </c>
    </row>
    <row r="1057" spans="1:8" x14ac:dyDescent="0.25">
      <c r="A1057">
        <v>13864753</v>
      </c>
      <c r="B1057">
        <v>24</v>
      </c>
      <c r="C1057">
        <v>0</v>
      </c>
      <c r="D1057">
        <v>1</v>
      </c>
      <c r="E1057">
        <v>1</v>
      </c>
      <c r="F1057">
        <v>3</v>
      </c>
      <c r="G1057">
        <v>5</v>
      </c>
      <c r="H1057">
        <v>89.99</v>
      </c>
    </row>
    <row r="1058" spans="1:8" x14ac:dyDescent="0.25">
      <c r="A1058">
        <v>13864756</v>
      </c>
      <c r="B1058">
        <v>1</v>
      </c>
      <c r="C1058">
        <v>0</v>
      </c>
      <c r="D1058">
        <v>0</v>
      </c>
      <c r="E1058">
        <v>0</v>
      </c>
      <c r="F1058">
        <v>0</v>
      </c>
      <c r="G1058">
        <v>5</v>
      </c>
      <c r="H1058">
        <v>0</v>
      </c>
    </row>
    <row r="1059" spans="1:8" x14ac:dyDescent="0.25">
      <c r="A1059">
        <v>13864757</v>
      </c>
      <c r="B1059">
        <v>9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</row>
    <row r="1060" spans="1:8" x14ac:dyDescent="0.25">
      <c r="A1060">
        <v>13864759</v>
      </c>
      <c r="B1060">
        <v>20</v>
      </c>
      <c r="C1060">
        <v>0</v>
      </c>
      <c r="D1060">
        <v>1</v>
      </c>
      <c r="E1060">
        <v>2</v>
      </c>
      <c r="F1060">
        <v>3</v>
      </c>
      <c r="G1060">
        <v>8</v>
      </c>
      <c r="H1060">
        <v>44.99</v>
      </c>
    </row>
    <row r="1061" spans="1:8" x14ac:dyDescent="0.25">
      <c r="A1061">
        <v>13865298</v>
      </c>
      <c r="B1061">
        <v>40</v>
      </c>
      <c r="C1061">
        <v>0</v>
      </c>
      <c r="D1061">
        <v>0</v>
      </c>
      <c r="E1061">
        <v>4</v>
      </c>
      <c r="F1061">
        <v>12</v>
      </c>
      <c r="G1061">
        <v>20</v>
      </c>
      <c r="H1061">
        <v>0</v>
      </c>
    </row>
    <row r="1062" spans="1:8" x14ac:dyDescent="0.25">
      <c r="A1062">
        <v>13865299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1</v>
      </c>
      <c r="H1062">
        <v>0</v>
      </c>
    </row>
    <row r="1063" spans="1:8" x14ac:dyDescent="0.25">
      <c r="A1063">
        <v>13865302</v>
      </c>
      <c r="B1063">
        <v>8</v>
      </c>
      <c r="C1063">
        <v>0</v>
      </c>
      <c r="D1063">
        <v>2</v>
      </c>
      <c r="E1063">
        <v>3</v>
      </c>
      <c r="F1063">
        <v>9</v>
      </c>
      <c r="G1063">
        <v>15</v>
      </c>
      <c r="H1063">
        <v>44.99</v>
      </c>
    </row>
    <row r="1064" spans="1:8" x14ac:dyDescent="0.25">
      <c r="A1064">
        <v>13865303</v>
      </c>
      <c r="B1064">
        <v>18</v>
      </c>
      <c r="C1064">
        <v>0</v>
      </c>
      <c r="D1064">
        <v>0</v>
      </c>
      <c r="E1064">
        <v>0</v>
      </c>
      <c r="F1064">
        <v>2</v>
      </c>
      <c r="G1064">
        <v>10</v>
      </c>
      <c r="H1064">
        <v>0</v>
      </c>
    </row>
    <row r="1065" spans="1:8" x14ac:dyDescent="0.25">
      <c r="A1065">
        <v>13869549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</row>
    <row r="1066" spans="1:8" x14ac:dyDescent="0.25">
      <c r="A1066">
        <v>13869551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</row>
    <row r="1067" spans="1:8" x14ac:dyDescent="0.25">
      <c r="A1067">
        <v>13869555</v>
      </c>
      <c r="B1067">
        <v>0</v>
      </c>
      <c r="C1067">
        <v>0</v>
      </c>
      <c r="D1067">
        <v>1</v>
      </c>
      <c r="E1067">
        <v>1</v>
      </c>
      <c r="F1067">
        <v>1</v>
      </c>
      <c r="G1067">
        <v>1</v>
      </c>
      <c r="H1067">
        <v>295</v>
      </c>
    </row>
    <row r="1068" spans="1:8" x14ac:dyDescent="0.25">
      <c r="A1068">
        <v>13869559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</row>
    <row r="1069" spans="1:8" x14ac:dyDescent="0.25">
      <c r="A1069">
        <v>13869560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</row>
    <row r="1070" spans="1:8" x14ac:dyDescent="0.25">
      <c r="A1070">
        <v>13869608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</row>
    <row r="1071" spans="1:8" x14ac:dyDescent="0.25">
      <c r="A1071">
        <v>13869618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</row>
    <row r="1072" spans="1:8" x14ac:dyDescent="0.25">
      <c r="A1072">
        <v>13869660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</row>
    <row r="1073" spans="1:8" x14ac:dyDescent="0.25">
      <c r="A1073">
        <v>13869661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</row>
    <row r="1074" spans="1:8" x14ac:dyDescent="0.25">
      <c r="A1074">
        <v>13873393</v>
      </c>
      <c r="B1074">
        <v>9</v>
      </c>
      <c r="C1074">
        <v>0</v>
      </c>
      <c r="D1074">
        <v>0</v>
      </c>
      <c r="E1074">
        <v>0</v>
      </c>
      <c r="F1074">
        <v>0</v>
      </c>
      <c r="G1074">
        <v>4</v>
      </c>
      <c r="H1074">
        <v>0</v>
      </c>
    </row>
    <row r="1075" spans="1:8" x14ac:dyDescent="0.25">
      <c r="A1075">
        <v>13875498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</row>
    <row r="1076" spans="1:8" x14ac:dyDescent="0.25">
      <c r="A1076">
        <v>13875499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</row>
    <row r="1077" spans="1:8" x14ac:dyDescent="0.25">
      <c r="A1077">
        <v>13877043</v>
      </c>
      <c r="B1077">
        <v>5</v>
      </c>
      <c r="C1077">
        <v>0</v>
      </c>
      <c r="D1077">
        <v>0</v>
      </c>
      <c r="E1077">
        <v>1</v>
      </c>
      <c r="F1077">
        <v>1</v>
      </c>
      <c r="G1077">
        <v>3</v>
      </c>
      <c r="H1077">
        <v>0</v>
      </c>
    </row>
    <row r="1078" spans="1:8" x14ac:dyDescent="0.25">
      <c r="A1078">
        <v>13879016</v>
      </c>
      <c r="B1078">
        <v>141</v>
      </c>
      <c r="C1078">
        <v>85</v>
      </c>
      <c r="D1078">
        <v>21</v>
      </c>
      <c r="E1078">
        <v>78</v>
      </c>
      <c r="F1078">
        <v>261</v>
      </c>
      <c r="G1078">
        <v>562</v>
      </c>
      <c r="H1078">
        <v>79.743799999999993</v>
      </c>
    </row>
    <row r="1079" spans="1:8" x14ac:dyDescent="0.25">
      <c r="A1079">
        <v>13879022</v>
      </c>
      <c r="B1079">
        <v>-2</v>
      </c>
      <c r="C1079">
        <v>0</v>
      </c>
      <c r="D1079">
        <v>0</v>
      </c>
      <c r="E1079">
        <v>0</v>
      </c>
      <c r="F1079">
        <v>0</v>
      </c>
      <c r="G1079">
        <v>3</v>
      </c>
      <c r="H1079">
        <v>0</v>
      </c>
    </row>
    <row r="1080" spans="1:8" x14ac:dyDescent="0.25">
      <c r="A1080">
        <v>13879023</v>
      </c>
      <c r="B1080">
        <v>462</v>
      </c>
      <c r="C1080">
        <v>200</v>
      </c>
      <c r="D1080">
        <v>39</v>
      </c>
      <c r="E1080">
        <v>122</v>
      </c>
      <c r="F1080">
        <v>492</v>
      </c>
      <c r="G1080">
        <v>1030</v>
      </c>
      <c r="H1080">
        <v>28.575099999999999</v>
      </c>
    </row>
    <row r="1081" spans="1:8" x14ac:dyDescent="0.25">
      <c r="A1081">
        <v>13879025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1</v>
      </c>
      <c r="H1081">
        <v>0</v>
      </c>
    </row>
    <row r="1082" spans="1:8" x14ac:dyDescent="0.25">
      <c r="A1082">
        <v>13879390</v>
      </c>
      <c r="B1082">
        <v>20</v>
      </c>
      <c r="C1082">
        <v>0</v>
      </c>
      <c r="D1082">
        <v>0</v>
      </c>
      <c r="E1082">
        <v>13</v>
      </c>
      <c r="F1082">
        <v>59</v>
      </c>
      <c r="G1082">
        <v>133</v>
      </c>
      <c r="H1082">
        <v>0</v>
      </c>
    </row>
    <row r="1083" spans="1:8" x14ac:dyDescent="0.25">
      <c r="A1083">
        <v>13879391</v>
      </c>
      <c r="B1083">
        <v>1</v>
      </c>
      <c r="C1083">
        <v>0</v>
      </c>
      <c r="D1083">
        <v>0</v>
      </c>
      <c r="E1083">
        <v>0</v>
      </c>
      <c r="F1083">
        <v>0</v>
      </c>
      <c r="G1083">
        <v>2</v>
      </c>
      <c r="H1083">
        <v>0</v>
      </c>
    </row>
    <row r="1084" spans="1:8" x14ac:dyDescent="0.25">
      <c r="A1084">
        <v>13882346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</row>
    <row r="1085" spans="1:8" x14ac:dyDescent="0.25">
      <c r="A1085">
        <v>13884097</v>
      </c>
      <c r="B1085">
        <v>2</v>
      </c>
      <c r="C1085">
        <v>0</v>
      </c>
      <c r="D1085">
        <v>0</v>
      </c>
      <c r="E1085">
        <v>0</v>
      </c>
      <c r="F1085">
        <v>1</v>
      </c>
      <c r="G1085">
        <v>2</v>
      </c>
      <c r="H1085">
        <v>0</v>
      </c>
    </row>
    <row r="1086" spans="1:8" x14ac:dyDescent="0.25">
      <c r="A1086">
        <v>13886327</v>
      </c>
      <c r="B1086">
        <v>154</v>
      </c>
      <c r="C1086">
        <v>0</v>
      </c>
      <c r="D1086">
        <v>1</v>
      </c>
      <c r="E1086">
        <v>2</v>
      </c>
      <c r="F1086">
        <v>15</v>
      </c>
      <c r="G1086">
        <v>36</v>
      </c>
      <c r="H1086">
        <v>19.989999999999998</v>
      </c>
    </row>
    <row r="1087" spans="1:8" x14ac:dyDescent="0.25">
      <c r="A1087">
        <v>13888009</v>
      </c>
      <c r="B1087">
        <v>8</v>
      </c>
      <c r="C1087">
        <v>0</v>
      </c>
      <c r="D1087">
        <v>0</v>
      </c>
      <c r="E1087">
        <v>0</v>
      </c>
      <c r="F1087">
        <v>1</v>
      </c>
      <c r="G1087">
        <v>1</v>
      </c>
      <c r="H1087">
        <v>0</v>
      </c>
    </row>
    <row r="1088" spans="1:8" x14ac:dyDescent="0.25">
      <c r="A1088">
        <v>13888010</v>
      </c>
      <c r="B1088">
        <v>6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</row>
    <row r="1089" spans="1:8" x14ac:dyDescent="0.25">
      <c r="A1089">
        <v>13888011</v>
      </c>
      <c r="B1089">
        <v>6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</row>
    <row r="1090" spans="1:8" x14ac:dyDescent="0.25">
      <c r="A1090">
        <v>13888017</v>
      </c>
      <c r="B1090">
        <v>0</v>
      </c>
      <c r="C1090">
        <v>0</v>
      </c>
      <c r="D1090">
        <v>0</v>
      </c>
      <c r="E1090">
        <v>0</v>
      </c>
      <c r="F1090">
        <v>1</v>
      </c>
      <c r="G1090">
        <v>1</v>
      </c>
      <c r="H1090">
        <v>0</v>
      </c>
    </row>
    <row r="1091" spans="1:8" x14ac:dyDescent="0.25">
      <c r="A1091">
        <v>13888802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1</v>
      </c>
      <c r="H1091">
        <v>0</v>
      </c>
    </row>
    <row r="1092" spans="1:8" x14ac:dyDescent="0.25">
      <c r="A1092">
        <v>13893820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</row>
    <row r="1093" spans="1:8" x14ac:dyDescent="0.25">
      <c r="A1093">
        <v>13893821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</row>
    <row r="1094" spans="1:8" x14ac:dyDescent="0.25">
      <c r="A1094">
        <v>13893824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</row>
    <row r="1095" spans="1:8" x14ac:dyDescent="0.25">
      <c r="A1095">
        <v>13893826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</row>
    <row r="1096" spans="1:8" x14ac:dyDescent="0.25">
      <c r="A1096">
        <v>13893843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</row>
    <row r="1097" spans="1:8" x14ac:dyDescent="0.25">
      <c r="A1097">
        <v>13893861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</row>
    <row r="1098" spans="1:8" x14ac:dyDescent="0.25">
      <c r="A1098">
        <v>13893862</v>
      </c>
      <c r="B1098">
        <v>1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</row>
    <row r="1099" spans="1:8" x14ac:dyDescent="0.25">
      <c r="A1099">
        <v>13893865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</row>
    <row r="1100" spans="1:8" x14ac:dyDescent="0.25">
      <c r="A1100">
        <v>13896074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</row>
    <row r="1101" spans="1:8" x14ac:dyDescent="0.25">
      <c r="A1101">
        <v>13896141</v>
      </c>
      <c r="B1101">
        <v>9</v>
      </c>
      <c r="C1101">
        <v>5</v>
      </c>
      <c r="D1101">
        <v>3</v>
      </c>
      <c r="E1101">
        <v>8</v>
      </c>
      <c r="F1101">
        <v>11</v>
      </c>
      <c r="G1101">
        <v>17</v>
      </c>
      <c r="H1101">
        <v>16.853300000000001</v>
      </c>
    </row>
    <row r="1102" spans="1:8" x14ac:dyDescent="0.25">
      <c r="A1102">
        <v>13896142</v>
      </c>
      <c r="B1102">
        <v>14</v>
      </c>
      <c r="C1102">
        <v>5</v>
      </c>
      <c r="D1102">
        <v>2</v>
      </c>
      <c r="E1102">
        <v>7</v>
      </c>
      <c r="F1102">
        <v>20</v>
      </c>
      <c r="G1102">
        <v>32</v>
      </c>
      <c r="H1102">
        <v>11.465</v>
      </c>
    </row>
    <row r="1103" spans="1:8" x14ac:dyDescent="0.25">
      <c r="A1103">
        <v>13899054</v>
      </c>
      <c r="B1103">
        <v>3</v>
      </c>
      <c r="C1103">
        <v>0</v>
      </c>
      <c r="D1103">
        <v>0</v>
      </c>
      <c r="E1103">
        <v>0</v>
      </c>
      <c r="F1103">
        <v>0</v>
      </c>
      <c r="G1103">
        <v>9</v>
      </c>
      <c r="H1103">
        <v>0</v>
      </c>
    </row>
    <row r="1104" spans="1:8" x14ac:dyDescent="0.25">
      <c r="A1104">
        <v>13904381</v>
      </c>
      <c r="B1104">
        <v>93</v>
      </c>
      <c r="C1104">
        <v>0</v>
      </c>
      <c r="D1104">
        <v>0</v>
      </c>
      <c r="E1104">
        <v>1</v>
      </c>
      <c r="F1104">
        <v>3</v>
      </c>
      <c r="G1104">
        <v>4</v>
      </c>
      <c r="H1104">
        <v>0</v>
      </c>
    </row>
    <row r="1105" spans="1:8" x14ac:dyDescent="0.25">
      <c r="A1105">
        <v>13904382</v>
      </c>
      <c r="B1105">
        <v>22</v>
      </c>
      <c r="C1105">
        <v>0</v>
      </c>
      <c r="D1105">
        <v>0</v>
      </c>
      <c r="E1105">
        <v>0</v>
      </c>
      <c r="F1105">
        <v>5</v>
      </c>
      <c r="G1105">
        <v>8</v>
      </c>
      <c r="H1105">
        <v>0</v>
      </c>
    </row>
    <row r="1106" spans="1:8" x14ac:dyDescent="0.25">
      <c r="A1106">
        <v>13904507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6</v>
      </c>
      <c r="H1106">
        <v>0</v>
      </c>
    </row>
    <row r="1107" spans="1:8" x14ac:dyDescent="0.25">
      <c r="A1107">
        <v>13904508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1</v>
      </c>
      <c r="H1107">
        <v>0</v>
      </c>
    </row>
    <row r="1108" spans="1:8" x14ac:dyDescent="0.25">
      <c r="A1108">
        <v>13913202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1</v>
      </c>
      <c r="H1108">
        <v>0</v>
      </c>
    </row>
    <row r="1109" spans="1:8" x14ac:dyDescent="0.25">
      <c r="A1109">
        <v>13914157</v>
      </c>
      <c r="B1109">
        <v>24</v>
      </c>
      <c r="C1109">
        <v>0</v>
      </c>
      <c r="D1109">
        <v>8</v>
      </c>
      <c r="E1109">
        <v>45</v>
      </c>
      <c r="F1109">
        <v>115</v>
      </c>
      <c r="G1109">
        <v>342</v>
      </c>
      <c r="H1109">
        <v>214.69120000000001</v>
      </c>
    </row>
    <row r="1110" spans="1:8" x14ac:dyDescent="0.25">
      <c r="A1110">
        <v>13916219</v>
      </c>
      <c r="B1110">
        <v>2</v>
      </c>
      <c r="C1110">
        <v>0</v>
      </c>
      <c r="D1110">
        <v>0</v>
      </c>
      <c r="E1110">
        <v>0</v>
      </c>
      <c r="F1110">
        <v>0</v>
      </c>
      <c r="G1110">
        <v>1</v>
      </c>
      <c r="H1110">
        <v>0</v>
      </c>
    </row>
    <row r="1111" spans="1:8" x14ac:dyDescent="0.25">
      <c r="A1111">
        <v>13920537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21</v>
      </c>
      <c r="H1111">
        <v>0</v>
      </c>
    </row>
    <row r="1112" spans="1:8" x14ac:dyDescent="0.25">
      <c r="A1112">
        <v>13920538</v>
      </c>
      <c r="B1112">
        <v>28</v>
      </c>
      <c r="C1112">
        <v>0</v>
      </c>
      <c r="D1112">
        <v>3</v>
      </c>
      <c r="E1112">
        <v>10</v>
      </c>
      <c r="F1112">
        <v>62</v>
      </c>
      <c r="G1112">
        <v>658</v>
      </c>
      <c r="H1112">
        <v>74.97</v>
      </c>
    </row>
    <row r="1113" spans="1:8" x14ac:dyDescent="0.25">
      <c r="A1113">
        <v>13920547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</row>
    <row r="1114" spans="1:8" x14ac:dyDescent="0.25">
      <c r="A1114">
        <v>13920553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</row>
    <row r="1115" spans="1:8" x14ac:dyDescent="0.25">
      <c r="A1115">
        <v>13920554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</row>
    <row r="1116" spans="1:8" x14ac:dyDescent="0.25">
      <c r="A1116">
        <v>13920557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1</v>
      </c>
      <c r="H1116">
        <v>0</v>
      </c>
    </row>
    <row r="1117" spans="1:8" x14ac:dyDescent="0.25">
      <c r="A1117">
        <v>13920566</v>
      </c>
      <c r="B1117">
        <v>1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</row>
    <row r="1118" spans="1:8" x14ac:dyDescent="0.25">
      <c r="A1118">
        <v>13920582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</row>
    <row r="1119" spans="1:8" x14ac:dyDescent="0.25">
      <c r="A1119">
        <v>13920605</v>
      </c>
      <c r="B1119">
        <v>4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</row>
    <row r="1120" spans="1:8" x14ac:dyDescent="0.25">
      <c r="A1120">
        <v>13920607</v>
      </c>
      <c r="B1120">
        <v>2</v>
      </c>
      <c r="C1120">
        <v>0</v>
      </c>
      <c r="D1120">
        <v>0</v>
      </c>
      <c r="E1120">
        <v>1</v>
      </c>
      <c r="F1120">
        <v>11</v>
      </c>
      <c r="G1120">
        <v>26</v>
      </c>
      <c r="H1120">
        <v>0</v>
      </c>
    </row>
    <row r="1121" spans="1:8" x14ac:dyDescent="0.25">
      <c r="A1121">
        <v>13920608</v>
      </c>
      <c r="B1121">
        <v>8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</row>
    <row r="1122" spans="1:8" x14ac:dyDescent="0.25">
      <c r="A1122">
        <v>13920609</v>
      </c>
      <c r="B1122">
        <v>8</v>
      </c>
      <c r="C1122">
        <v>0</v>
      </c>
      <c r="D1122">
        <v>0</v>
      </c>
      <c r="E1122">
        <v>0</v>
      </c>
      <c r="F1122">
        <v>0</v>
      </c>
      <c r="G1122">
        <v>2</v>
      </c>
      <c r="H1122">
        <v>0</v>
      </c>
    </row>
    <row r="1123" spans="1:8" x14ac:dyDescent="0.25">
      <c r="A1123">
        <v>13920610</v>
      </c>
      <c r="B1123">
        <v>21</v>
      </c>
      <c r="C1123">
        <v>0</v>
      </c>
      <c r="D1123">
        <v>0</v>
      </c>
      <c r="E1123">
        <v>2</v>
      </c>
      <c r="F1123">
        <v>13</v>
      </c>
      <c r="G1123">
        <v>29</v>
      </c>
      <c r="H1123">
        <v>0</v>
      </c>
    </row>
    <row r="1124" spans="1:8" x14ac:dyDescent="0.25">
      <c r="A1124">
        <v>13920611</v>
      </c>
      <c r="B1124">
        <v>25</v>
      </c>
      <c r="C1124">
        <v>0</v>
      </c>
      <c r="D1124">
        <v>0</v>
      </c>
      <c r="E1124">
        <v>0</v>
      </c>
      <c r="F1124">
        <v>1</v>
      </c>
      <c r="G1124">
        <v>10</v>
      </c>
      <c r="H1124">
        <v>0</v>
      </c>
    </row>
    <row r="1125" spans="1:8" x14ac:dyDescent="0.25">
      <c r="A1125">
        <v>13920908</v>
      </c>
      <c r="B1125">
        <v>3</v>
      </c>
      <c r="C1125">
        <v>0</v>
      </c>
      <c r="D1125">
        <v>1</v>
      </c>
      <c r="E1125">
        <v>1</v>
      </c>
      <c r="F1125">
        <v>1</v>
      </c>
      <c r="G1125">
        <v>2</v>
      </c>
      <c r="H1125">
        <v>349.99</v>
      </c>
    </row>
    <row r="1126" spans="1:8" x14ac:dyDescent="0.25">
      <c r="A1126">
        <v>13920909</v>
      </c>
      <c r="B1126">
        <v>10</v>
      </c>
      <c r="C1126">
        <v>0</v>
      </c>
      <c r="D1126">
        <v>0</v>
      </c>
      <c r="E1126">
        <v>4</v>
      </c>
      <c r="F1126">
        <v>16</v>
      </c>
      <c r="G1126">
        <v>34</v>
      </c>
      <c r="H1126">
        <v>0</v>
      </c>
    </row>
    <row r="1127" spans="1:8" x14ac:dyDescent="0.25">
      <c r="A1127">
        <v>13920910</v>
      </c>
      <c r="B1127">
        <v>40</v>
      </c>
      <c r="C1127">
        <v>0</v>
      </c>
      <c r="D1127">
        <v>0</v>
      </c>
      <c r="E1127">
        <v>1</v>
      </c>
      <c r="F1127">
        <v>2</v>
      </c>
      <c r="G1127">
        <v>14</v>
      </c>
      <c r="H1127">
        <v>0</v>
      </c>
    </row>
    <row r="1128" spans="1:8" x14ac:dyDescent="0.25">
      <c r="A1128">
        <v>13921826</v>
      </c>
      <c r="B1128">
        <v>116</v>
      </c>
      <c r="C1128">
        <v>12</v>
      </c>
      <c r="D1128">
        <v>6</v>
      </c>
      <c r="E1128">
        <v>9</v>
      </c>
      <c r="F1128">
        <v>39</v>
      </c>
      <c r="G1128">
        <v>124</v>
      </c>
      <c r="H1128">
        <v>79.438299999999998</v>
      </c>
    </row>
    <row r="1129" spans="1:8" x14ac:dyDescent="0.25">
      <c r="A1129">
        <v>13922468</v>
      </c>
      <c r="B1129">
        <v>3</v>
      </c>
      <c r="C1129">
        <v>0</v>
      </c>
      <c r="D1129">
        <v>0</v>
      </c>
      <c r="E1129">
        <v>0</v>
      </c>
      <c r="F1129">
        <v>1</v>
      </c>
      <c r="G1129">
        <v>4</v>
      </c>
      <c r="H1129">
        <v>0</v>
      </c>
    </row>
    <row r="1130" spans="1:8" x14ac:dyDescent="0.25">
      <c r="A1130">
        <v>13922469</v>
      </c>
      <c r="B1130">
        <v>47</v>
      </c>
      <c r="C1130">
        <v>0</v>
      </c>
      <c r="D1130">
        <v>11</v>
      </c>
      <c r="E1130">
        <v>34</v>
      </c>
      <c r="F1130">
        <v>102</v>
      </c>
      <c r="G1130">
        <v>171</v>
      </c>
      <c r="H1130">
        <v>9.99</v>
      </c>
    </row>
    <row r="1131" spans="1:8" x14ac:dyDescent="0.25">
      <c r="A1131">
        <v>13922470</v>
      </c>
      <c r="B1131">
        <v>58</v>
      </c>
      <c r="C1131">
        <v>0</v>
      </c>
      <c r="D1131">
        <v>3</v>
      </c>
      <c r="E1131">
        <v>31</v>
      </c>
      <c r="F1131">
        <v>108</v>
      </c>
      <c r="G1131">
        <v>214</v>
      </c>
      <c r="H1131">
        <v>14.99</v>
      </c>
    </row>
    <row r="1132" spans="1:8" x14ac:dyDescent="0.25">
      <c r="A1132">
        <v>13922472</v>
      </c>
      <c r="B1132">
        <v>-2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</row>
    <row r="1133" spans="1:8" x14ac:dyDescent="0.25">
      <c r="A1133">
        <v>13922473</v>
      </c>
      <c r="B1133">
        <v>-2</v>
      </c>
      <c r="C1133">
        <v>0</v>
      </c>
      <c r="D1133">
        <v>0</v>
      </c>
      <c r="E1133">
        <v>2</v>
      </c>
      <c r="F1133">
        <v>8</v>
      </c>
      <c r="G1133">
        <v>17</v>
      </c>
      <c r="H1133">
        <v>0</v>
      </c>
    </row>
    <row r="1134" spans="1:8" x14ac:dyDescent="0.25">
      <c r="A1134">
        <v>13922474</v>
      </c>
      <c r="B1134">
        <v>-1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</row>
    <row r="1135" spans="1:8" x14ac:dyDescent="0.25">
      <c r="A1135">
        <v>13922475</v>
      </c>
      <c r="B1135">
        <v>28</v>
      </c>
      <c r="C1135">
        <v>0</v>
      </c>
      <c r="D1135">
        <v>18</v>
      </c>
      <c r="E1135">
        <v>66</v>
      </c>
      <c r="F1135">
        <v>149</v>
      </c>
      <c r="G1135">
        <v>255</v>
      </c>
      <c r="H1135">
        <v>12.886699999999999</v>
      </c>
    </row>
    <row r="1136" spans="1:8" x14ac:dyDescent="0.25">
      <c r="A1136">
        <v>13925888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</row>
    <row r="1137" spans="1:8" x14ac:dyDescent="0.25">
      <c r="A1137">
        <v>13926304</v>
      </c>
      <c r="B1137">
        <v>18</v>
      </c>
      <c r="C1137">
        <v>0</v>
      </c>
      <c r="D1137">
        <v>2</v>
      </c>
      <c r="E1137">
        <v>4</v>
      </c>
      <c r="F1137">
        <v>12</v>
      </c>
      <c r="G1137">
        <v>99</v>
      </c>
      <c r="H1137">
        <v>34.99</v>
      </c>
    </row>
    <row r="1138" spans="1:8" x14ac:dyDescent="0.25">
      <c r="A1138">
        <v>13926308</v>
      </c>
      <c r="B1138">
        <v>20</v>
      </c>
      <c r="C1138">
        <v>0</v>
      </c>
      <c r="D1138">
        <v>0</v>
      </c>
      <c r="E1138">
        <v>2</v>
      </c>
      <c r="F1138">
        <v>2</v>
      </c>
      <c r="G1138">
        <v>4</v>
      </c>
      <c r="H1138">
        <v>0</v>
      </c>
    </row>
    <row r="1139" spans="1:8" x14ac:dyDescent="0.25">
      <c r="A1139">
        <v>13926315</v>
      </c>
      <c r="B1139">
        <v>2</v>
      </c>
      <c r="C1139">
        <v>0</v>
      </c>
      <c r="D1139">
        <v>0</v>
      </c>
      <c r="E1139">
        <v>0</v>
      </c>
      <c r="F1139">
        <v>1</v>
      </c>
      <c r="G1139">
        <v>3</v>
      </c>
      <c r="H1139">
        <v>0</v>
      </c>
    </row>
    <row r="1140" spans="1:8" x14ac:dyDescent="0.25">
      <c r="A1140">
        <v>13926321</v>
      </c>
      <c r="B1140">
        <v>1</v>
      </c>
      <c r="C1140">
        <v>0</v>
      </c>
      <c r="D1140">
        <v>0</v>
      </c>
      <c r="E1140">
        <v>1</v>
      </c>
      <c r="F1140">
        <v>2</v>
      </c>
      <c r="G1140">
        <v>3</v>
      </c>
      <c r="H1140">
        <v>0</v>
      </c>
    </row>
    <row r="1141" spans="1:8" x14ac:dyDescent="0.25">
      <c r="A1141">
        <v>13926322</v>
      </c>
      <c r="B1141">
        <v>-1</v>
      </c>
      <c r="C1141">
        <v>0</v>
      </c>
      <c r="D1141">
        <v>0</v>
      </c>
      <c r="E1141">
        <v>0</v>
      </c>
      <c r="F1141">
        <v>0</v>
      </c>
      <c r="G1141">
        <v>1</v>
      </c>
      <c r="H1141">
        <v>0</v>
      </c>
    </row>
    <row r="1142" spans="1:8" x14ac:dyDescent="0.25">
      <c r="A1142">
        <v>13929103</v>
      </c>
      <c r="B1142">
        <v>92</v>
      </c>
      <c r="C1142">
        <v>0</v>
      </c>
      <c r="D1142">
        <v>4</v>
      </c>
      <c r="E1142">
        <v>16</v>
      </c>
      <c r="F1142">
        <v>89</v>
      </c>
      <c r="G1142">
        <v>330</v>
      </c>
      <c r="H1142">
        <v>13.74</v>
      </c>
    </row>
    <row r="1143" spans="1:8" x14ac:dyDescent="0.25">
      <c r="A1143">
        <v>13929105</v>
      </c>
      <c r="B1143">
        <v>2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</row>
    <row r="1144" spans="1:8" x14ac:dyDescent="0.25">
      <c r="A1144">
        <v>13929107</v>
      </c>
      <c r="B1144">
        <v>37</v>
      </c>
      <c r="C1144">
        <v>0</v>
      </c>
      <c r="D1144">
        <v>0</v>
      </c>
      <c r="E1144">
        <v>3</v>
      </c>
      <c r="F1144">
        <v>38</v>
      </c>
      <c r="G1144">
        <v>109</v>
      </c>
      <c r="H1144">
        <v>0</v>
      </c>
    </row>
    <row r="1145" spans="1:8" x14ac:dyDescent="0.25">
      <c r="A1145">
        <v>13929108</v>
      </c>
      <c r="B1145">
        <v>55</v>
      </c>
      <c r="C1145">
        <v>0</v>
      </c>
      <c r="D1145">
        <v>0</v>
      </c>
      <c r="E1145">
        <v>7</v>
      </c>
      <c r="F1145">
        <v>21</v>
      </c>
      <c r="G1145">
        <v>51</v>
      </c>
      <c r="H1145">
        <v>0</v>
      </c>
    </row>
    <row r="1146" spans="1:8" x14ac:dyDescent="0.25">
      <c r="A1146">
        <v>13929111</v>
      </c>
      <c r="B1146">
        <v>57</v>
      </c>
      <c r="C1146">
        <v>0</v>
      </c>
      <c r="D1146">
        <v>2</v>
      </c>
      <c r="E1146">
        <v>3</v>
      </c>
      <c r="F1146">
        <v>8</v>
      </c>
      <c r="G1146">
        <v>30</v>
      </c>
      <c r="H1146">
        <v>25.765000000000001</v>
      </c>
    </row>
    <row r="1147" spans="1:8" x14ac:dyDescent="0.25">
      <c r="A1147">
        <v>13929256</v>
      </c>
      <c r="B1147">
        <v>3</v>
      </c>
      <c r="C1147">
        <v>37</v>
      </c>
      <c r="D1147">
        <v>0</v>
      </c>
      <c r="E1147">
        <v>1</v>
      </c>
      <c r="F1147">
        <v>28</v>
      </c>
      <c r="G1147">
        <v>42</v>
      </c>
      <c r="H1147">
        <v>0</v>
      </c>
    </row>
    <row r="1148" spans="1:8" x14ac:dyDescent="0.25">
      <c r="A1148">
        <v>13930126</v>
      </c>
      <c r="B1148">
        <v>44</v>
      </c>
      <c r="C1148">
        <v>10</v>
      </c>
      <c r="D1148">
        <v>4</v>
      </c>
      <c r="E1148">
        <v>9</v>
      </c>
      <c r="F1148">
        <v>27</v>
      </c>
      <c r="G1148">
        <v>60</v>
      </c>
      <c r="H1148">
        <v>10.664999999999999</v>
      </c>
    </row>
    <row r="1149" spans="1:8" x14ac:dyDescent="0.25">
      <c r="A1149">
        <v>13934811</v>
      </c>
      <c r="B1149">
        <v>210</v>
      </c>
      <c r="C1149">
        <v>130</v>
      </c>
      <c r="D1149">
        <v>23</v>
      </c>
      <c r="E1149">
        <v>88</v>
      </c>
      <c r="F1149">
        <v>261</v>
      </c>
      <c r="G1149">
        <v>579</v>
      </c>
      <c r="H1149">
        <v>65.289100000000005</v>
      </c>
    </row>
    <row r="1150" spans="1:8" x14ac:dyDescent="0.25">
      <c r="A1150">
        <v>13935293</v>
      </c>
      <c r="B1150">
        <v>197</v>
      </c>
      <c r="C1150">
        <v>260</v>
      </c>
      <c r="D1150">
        <v>11</v>
      </c>
      <c r="E1150">
        <v>69</v>
      </c>
      <c r="F1150">
        <v>282</v>
      </c>
      <c r="G1150">
        <v>643</v>
      </c>
      <c r="H1150">
        <v>9.8135999999999992</v>
      </c>
    </row>
    <row r="1151" spans="1:8" x14ac:dyDescent="0.25">
      <c r="A1151">
        <v>13935294</v>
      </c>
      <c r="B1151">
        <v>69</v>
      </c>
      <c r="C1151">
        <v>50</v>
      </c>
      <c r="D1151">
        <v>8</v>
      </c>
      <c r="E1151">
        <v>27</v>
      </c>
      <c r="F1151">
        <v>92</v>
      </c>
      <c r="G1151">
        <v>193</v>
      </c>
      <c r="H1151">
        <v>8.7874999999999996</v>
      </c>
    </row>
    <row r="1152" spans="1:8" x14ac:dyDescent="0.25">
      <c r="A1152">
        <v>13935298</v>
      </c>
      <c r="B1152">
        <v>222</v>
      </c>
      <c r="C1152">
        <v>118</v>
      </c>
      <c r="D1152">
        <v>11</v>
      </c>
      <c r="E1152">
        <v>49</v>
      </c>
      <c r="F1152">
        <v>164</v>
      </c>
      <c r="G1152">
        <v>357</v>
      </c>
      <c r="H1152">
        <v>9.7645</v>
      </c>
    </row>
    <row r="1153" spans="1:8" x14ac:dyDescent="0.25">
      <c r="A1153">
        <v>13935299</v>
      </c>
      <c r="B1153">
        <v>97</v>
      </c>
      <c r="C1153">
        <v>40</v>
      </c>
      <c r="D1153">
        <v>7</v>
      </c>
      <c r="E1153">
        <v>29</v>
      </c>
      <c r="F1153">
        <v>102</v>
      </c>
      <c r="G1153">
        <v>229</v>
      </c>
      <c r="H1153">
        <v>9.99</v>
      </c>
    </row>
    <row r="1154" spans="1:8" x14ac:dyDescent="0.25">
      <c r="A1154">
        <v>13940018</v>
      </c>
      <c r="B1154">
        <v>203</v>
      </c>
      <c r="C1154">
        <v>0</v>
      </c>
      <c r="D1154">
        <v>1</v>
      </c>
      <c r="E1154">
        <v>3</v>
      </c>
      <c r="F1154">
        <v>11</v>
      </c>
      <c r="G1154">
        <v>19</v>
      </c>
      <c r="H1154">
        <v>8.99</v>
      </c>
    </row>
    <row r="1155" spans="1:8" x14ac:dyDescent="0.25">
      <c r="A1155">
        <v>13943610</v>
      </c>
      <c r="B1155">
        <v>2</v>
      </c>
      <c r="C1155">
        <v>0</v>
      </c>
      <c r="D1155">
        <v>0</v>
      </c>
      <c r="E1155">
        <v>0</v>
      </c>
      <c r="F1155">
        <v>3</v>
      </c>
      <c r="G1155">
        <v>5</v>
      </c>
      <c r="H1155">
        <v>0</v>
      </c>
    </row>
    <row r="1156" spans="1:8" x14ac:dyDescent="0.25">
      <c r="A1156">
        <v>13947676</v>
      </c>
      <c r="B1156">
        <v>140</v>
      </c>
      <c r="C1156">
        <v>0</v>
      </c>
      <c r="D1156">
        <v>11</v>
      </c>
      <c r="E1156">
        <v>55</v>
      </c>
      <c r="F1156">
        <v>256</v>
      </c>
      <c r="G1156">
        <v>1138</v>
      </c>
      <c r="H1156">
        <v>73.897300000000001</v>
      </c>
    </row>
    <row r="1157" spans="1:8" x14ac:dyDescent="0.25">
      <c r="A1157">
        <v>13947677</v>
      </c>
      <c r="B1157">
        <v>123</v>
      </c>
      <c r="C1157">
        <v>0</v>
      </c>
      <c r="D1157">
        <v>14</v>
      </c>
      <c r="E1157">
        <v>53</v>
      </c>
      <c r="F1157">
        <v>426</v>
      </c>
      <c r="G1157">
        <v>2102</v>
      </c>
      <c r="H1157">
        <v>74.989999999999995</v>
      </c>
    </row>
    <row r="1158" spans="1:8" x14ac:dyDescent="0.25">
      <c r="A1158">
        <v>13950322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5</v>
      </c>
      <c r="H1158">
        <v>0</v>
      </c>
    </row>
    <row r="1159" spans="1:8" x14ac:dyDescent="0.25">
      <c r="A1159">
        <v>13950977</v>
      </c>
      <c r="B1159">
        <v>15</v>
      </c>
      <c r="C1159">
        <v>0</v>
      </c>
      <c r="D1159">
        <v>1</v>
      </c>
      <c r="E1159">
        <v>1</v>
      </c>
      <c r="F1159">
        <v>7</v>
      </c>
      <c r="G1159">
        <v>13</v>
      </c>
      <c r="H1159">
        <v>34.99</v>
      </c>
    </row>
    <row r="1160" spans="1:8" x14ac:dyDescent="0.25">
      <c r="A1160">
        <v>13950979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</row>
    <row r="1161" spans="1:8" x14ac:dyDescent="0.25">
      <c r="A1161">
        <v>13951173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</row>
    <row r="1162" spans="1:8" x14ac:dyDescent="0.25">
      <c r="A1162">
        <v>13954299</v>
      </c>
      <c r="B1162">
        <v>2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</row>
    <row r="1163" spans="1:8" x14ac:dyDescent="0.25">
      <c r="A1163">
        <v>13954300</v>
      </c>
      <c r="B1163">
        <v>5</v>
      </c>
      <c r="C1163">
        <v>0</v>
      </c>
      <c r="D1163">
        <v>0</v>
      </c>
      <c r="E1163">
        <v>0</v>
      </c>
      <c r="F1163">
        <v>1</v>
      </c>
      <c r="G1163">
        <v>2</v>
      </c>
      <c r="H1163">
        <v>0</v>
      </c>
    </row>
    <row r="1164" spans="1:8" x14ac:dyDescent="0.25">
      <c r="A1164">
        <v>13961335</v>
      </c>
      <c r="B1164">
        <v>223</v>
      </c>
      <c r="C1164">
        <v>0</v>
      </c>
      <c r="D1164">
        <v>10</v>
      </c>
      <c r="E1164">
        <v>33</v>
      </c>
      <c r="F1164">
        <v>109</v>
      </c>
      <c r="G1164">
        <v>255</v>
      </c>
      <c r="H1164">
        <v>19.47</v>
      </c>
    </row>
    <row r="1165" spans="1:8" x14ac:dyDescent="0.25">
      <c r="A1165">
        <v>13961336</v>
      </c>
      <c r="B1165">
        <v>41</v>
      </c>
      <c r="C1165">
        <v>0</v>
      </c>
      <c r="D1165">
        <v>8</v>
      </c>
      <c r="E1165">
        <v>19</v>
      </c>
      <c r="F1165">
        <v>76</v>
      </c>
      <c r="G1165">
        <v>174</v>
      </c>
      <c r="H1165">
        <v>24.035</v>
      </c>
    </row>
    <row r="1166" spans="1:8" x14ac:dyDescent="0.25">
      <c r="A1166">
        <v>13961337</v>
      </c>
      <c r="B1166">
        <v>0</v>
      </c>
      <c r="C1166">
        <v>0</v>
      </c>
      <c r="D1166">
        <v>0</v>
      </c>
      <c r="E1166">
        <v>2</v>
      </c>
      <c r="F1166">
        <v>18</v>
      </c>
      <c r="G1166">
        <v>49</v>
      </c>
      <c r="H1166">
        <v>0</v>
      </c>
    </row>
    <row r="1167" spans="1:8" x14ac:dyDescent="0.25">
      <c r="A1167">
        <v>13963550</v>
      </c>
      <c r="B1167">
        <v>29</v>
      </c>
      <c r="C1167">
        <v>0</v>
      </c>
      <c r="D1167">
        <v>3</v>
      </c>
      <c r="E1167">
        <v>9</v>
      </c>
      <c r="F1167">
        <v>28</v>
      </c>
      <c r="G1167">
        <v>59</v>
      </c>
      <c r="H1167">
        <v>26.66</v>
      </c>
    </row>
    <row r="1168" spans="1:8" x14ac:dyDescent="0.25">
      <c r="A1168">
        <v>13973351</v>
      </c>
      <c r="B1168">
        <v>2</v>
      </c>
      <c r="C1168">
        <v>0</v>
      </c>
      <c r="D1168">
        <v>0</v>
      </c>
      <c r="E1168">
        <v>0</v>
      </c>
      <c r="F1168">
        <v>2</v>
      </c>
      <c r="G1168">
        <v>3</v>
      </c>
      <c r="H1168">
        <v>0</v>
      </c>
    </row>
    <row r="1169" spans="1:8" x14ac:dyDescent="0.25">
      <c r="A1169">
        <v>13973679</v>
      </c>
      <c r="B1169">
        <v>34</v>
      </c>
      <c r="C1169">
        <v>0</v>
      </c>
      <c r="D1169">
        <v>0</v>
      </c>
      <c r="E1169">
        <v>-1</v>
      </c>
      <c r="F1169">
        <v>7</v>
      </c>
      <c r="G1169">
        <v>8</v>
      </c>
      <c r="H1169">
        <v>0</v>
      </c>
    </row>
    <row r="1170" spans="1:8" x14ac:dyDescent="0.25">
      <c r="A1170">
        <v>13977046</v>
      </c>
      <c r="B1170">
        <v>-1</v>
      </c>
      <c r="C1170">
        <v>0</v>
      </c>
      <c r="D1170">
        <v>0</v>
      </c>
      <c r="E1170">
        <v>0</v>
      </c>
      <c r="F1170">
        <v>0</v>
      </c>
      <c r="G1170">
        <v>18</v>
      </c>
      <c r="H1170">
        <v>0</v>
      </c>
    </row>
    <row r="1171" spans="1:8" x14ac:dyDescent="0.25">
      <c r="A1171">
        <v>13977282</v>
      </c>
      <c r="B1171">
        <v>149</v>
      </c>
      <c r="C1171">
        <v>0</v>
      </c>
      <c r="D1171">
        <v>4</v>
      </c>
      <c r="E1171">
        <v>11</v>
      </c>
      <c r="F1171">
        <v>114</v>
      </c>
      <c r="G1171">
        <v>172</v>
      </c>
      <c r="H1171">
        <v>136.24</v>
      </c>
    </row>
    <row r="1172" spans="1:8" x14ac:dyDescent="0.25">
      <c r="A1172">
        <v>13977283</v>
      </c>
      <c r="B1172">
        <v>16</v>
      </c>
      <c r="C1172">
        <v>0</v>
      </c>
      <c r="D1172">
        <v>0</v>
      </c>
      <c r="E1172">
        <v>1</v>
      </c>
      <c r="F1172">
        <v>4</v>
      </c>
      <c r="G1172">
        <v>11</v>
      </c>
      <c r="H1172">
        <v>0</v>
      </c>
    </row>
    <row r="1173" spans="1:8" x14ac:dyDescent="0.25">
      <c r="A1173">
        <v>13977284</v>
      </c>
      <c r="B1173">
        <v>203</v>
      </c>
      <c r="C1173">
        <v>0</v>
      </c>
      <c r="D1173">
        <v>5</v>
      </c>
      <c r="E1173">
        <v>10</v>
      </c>
      <c r="F1173">
        <v>51</v>
      </c>
      <c r="G1173">
        <v>86</v>
      </c>
      <c r="H1173">
        <v>129.11600000000001</v>
      </c>
    </row>
    <row r="1174" spans="1:8" x14ac:dyDescent="0.25">
      <c r="A1174">
        <v>13990093</v>
      </c>
      <c r="B1174">
        <v>26</v>
      </c>
      <c r="C1174">
        <v>0</v>
      </c>
      <c r="D1174">
        <v>2</v>
      </c>
      <c r="E1174">
        <v>3</v>
      </c>
      <c r="F1174">
        <v>18</v>
      </c>
      <c r="G1174">
        <v>55</v>
      </c>
      <c r="H1174">
        <v>47.47</v>
      </c>
    </row>
    <row r="1175" spans="1:8" x14ac:dyDescent="0.25">
      <c r="A1175">
        <v>13990094</v>
      </c>
      <c r="B1175">
        <v>13</v>
      </c>
      <c r="C1175">
        <v>0</v>
      </c>
      <c r="D1175">
        <v>1</v>
      </c>
      <c r="E1175">
        <v>7</v>
      </c>
      <c r="F1175">
        <v>24</v>
      </c>
      <c r="G1175">
        <v>108</v>
      </c>
      <c r="H1175">
        <v>41.64</v>
      </c>
    </row>
    <row r="1176" spans="1:8" x14ac:dyDescent="0.25">
      <c r="A1176">
        <v>14006989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</row>
    <row r="1177" spans="1:8" x14ac:dyDescent="0.25">
      <c r="A1177">
        <v>14018959</v>
      </c>
      <c r="B1177">
        <v>754</v>
      </c>
      <c r="C1177">
        <v>144</v>
      </c>
      <c r="D1177">
        <v>9</v>
      </c>
      <c r="E1177">
        <v>39</v>
      </c>
      <c r="F1177">
        <v>125</v>
      </c>
      <c r="G1177">
        <v>277</v>
      </c>
      <c r="H1177">
        <v>27.627800000000001</v>
      </c>
    </row>
    <row r="1178" spans="1:8" x14ac:dyDescent="0.25">
      <c r="A1178">
        <v>14018960</v>
      </c>
      <c r="B1178">
        <v>779</v>
      </c>
      <c r="C1178">
        <v>48</v>
      </c>
      <c r="D1178">
        <v>22</v>
      </c>
      <c r="E1178">
        <v>81</v>
      </c>
      <c r="F1178">
        <v>282</v>
      </c>
      <c r="G1178">
        <v>593</v>
      </c>
      <c r="H1178">
        <v>16.1127</v>
      </c>
    </row>
    <row r="1179" spans="1:8" x14ac:dyDescent="0.25">
      <c r="A1179">
        <v>14018961</v>
      </c>
      <c r="B1179">
        <v>552</v>
      </c>
      <c r="C1179">
        <v>24</v>
      </c>
      <c r="D1179">
        <v>4</v>
      </c>
      <c r="E1179">
        <v>26</v>
      </c>
      <c r="F1179">
        <v>83</v>
      </c>
      <c r="G1179">
        <v>172</v>
      </c>
      <c r="H1179">
        <v>28.28</v>
      </c>
    </row>
    <row r="1180" spans="1:8" x14ac:dyDescent="0.25">
      <c r="A1180">
        <v>14018962</v>
      </c>
      <c r="B1180">
        <v>717</v>
      </c>
      <c r="C1180">
        <v>24</v>
      </c>
      <c r="D1180">
        <v>14</v>
      </c>
      <c r="E1180">
        <v>37</v>
      </c>
      <c r="F1180">
        <v>130</v>
      </c>
      <c r="G1180">
        <v>235</v>
      </c>
      <c r="H1180">
        <v>26.6571</v>
      </c>
    </row>
    <row r="1181" spans="1:8" x14ac:dyDescent="0.25">
      <c r="A1181">
        <v>14018963</v>
      </c>
      <c r="B1181">
        <v>395</v>
      </c>
      <c r="C1181">
        <v>48</v>
      </c>
      <c r="D1181">
        <v>8</v>
      </c>
      <c r="E1181">
        <v>45</v>
      </c>
      <c r="F1181">
        <v>150</v>
      </c>
      <c r="G1181">
        <v>287</v>
      </c>
      <c r="H1181">
        <v>38.922499999999999</v>
      </c>
    </row>
    <row r="1182" spans="1:8" x14ac:dyDescent="0.25">
      <c r="A1182">
        <v>14018964</v>
      </c>
      <c r="B1182">
        <v>677</v>
      </c>
      <c r="C1182">
        <v>96</v>
      </c>
      <c r="D1182">
        <v>70</v>
      </c>
      <c r="E1182">
        <v>240</v>
      </c>
      <c r="F1182">
        <v>634</v>
      </c>
      <c r="G1182">
        <v>1185</v>
      </c>
      <c r="H1182">
        <v>26.295000000000002</v>
      </c>
    </row>
    <row r="1183" spans="1:8" x14ac:dyDescent="0.25">
      <c r="A1183">
        <v>14019241</v>
      </c>
      <c r="B1183">
        <v>384</v>
      </c>
      <c r="C1183">
        <v>72</v>
      </c>
      <c r="D1183">
        <v>18</v>
      </c>
      <c r="E1183">
        <v>73</v>
      </c>
      <c r="F1183">
        <v>230</v>
      </c>
      <c r="G1183">
        <v>436</v>
      </c>
      <c r="H1183">
        <v>29.18</v>
      </c>
    </row>
    <row r="1184" spans="1:8" x14ac:dyDescent="0.25">
      <c r="A1184">
        <v>14019242</v>
      </c>
      <c r="B1184">
        <v>573</v>
      </c>
      <c r="C1184">
        <v>0</v>
      </c>
      <c r="D1184">
        <v>10</v>
      </c>
      <c r="E1184">
        <v>31</v>
      </c>
      <c r="F1184">
        <v>111</v>
      </c>
      <c r="G1184">
        <v>217</v>
      </c>
      <c r="H1184">
        <v>28.829000000000001</v>
      </c>
    </row>
    <row r="1185" spans="1:8" x14ac:dyDescent="0.25">
      <c r="A1185">
        <v>14019243</v>
      </c>
      <c r="B1185">
        <v>299</v>
      </c>
      <c r="C1185">
        <v>48</v>
      </c>
      <c r="D1185">
        <v>25</v>
      </c>
      <c r="E1185">
        <v>78</v>
      </c>
      <c r="F1185">
        <v>202</v>
      </c>
      <c r="G1185">
        <v>344</v>
      </c>
      <c r="H1185">
        <v>29.199200000000001</v>
      </c>
    </row>
    <row r="1186" spans="1:8" x14ac:dyDescent="0.25">
      <c r="A1186">
        <v>14019244</v>
      </c>
      <c r="B1186">
        <v>470</v>
      </c>
      <c r="C1186">
        <v>72</v>
      </c>
      <c r="D1186">
        <v>19</v>
      </c>
      <c r="E1186">
        <v>81</v>
      </c>
      <c r="F1186">
        <v>240</v>
      </c>
      <c r="G1186">
        <v>309</v>
      </c>
      <c r="H1186">
        <v>16.333200000000001</v>
      </c>
    </row>
    <row r="1187" spans="1:8" x14ac:dyDescent="0.25">
      <c r="A1187">
        <v>14019245</v>
      </c>
      <c r="B1187">
        <v>1224</v>
      </c>
      <c r="C1187">
        <v>264</v>
      </c>
      <c r="D1187">
        <v>80</v>
      </c>
      <c r="E1187">
        <v>291</v>
      </c>
      <c r="F1187">
        <v>933</v>
      </c>
      <c r="G1187">
        <v>1970</v>
      </c>
      <c r="H1187">
        <v>14.5657</v>
      </c>
    </row>
    <row r="1188" spans="1:8" x14ac:dyDescent="0.25">
      <c r="A1188">
        <v>14019246</v>
      </c>
      <c r="B1188">
        <v>156</v>
      </c>
      <c r="C1188">
        <v>24</v>
      </c>
      <c r="D1188">
        <v>9</v>
      </c>
      <c r="E1188">
        <v>41</v>
      </c>
      <c r="F1188">
        <v>154</v>
      </c>
      <c r="G1188">
        <v>381</v>
      </c>
      <c r="H1188">
        <v>14.8011</v>
      </c>
    </row>
    <row r="1189" spans="1:8" x14ac:dyDescent="0.25">
      <c r="A1189">
        <v>14019247</v>
      </c>
      <c r="B1189">
        <v>93</v>
      </c>
      <c r="C1189">
        <v>0</v>
      </c>
      <c r="D1189">
        <v>1</v>
      </c>
      <c r="E1189">
        <v>12</v>
      </c>
      <c r="F1189">
        <v>54</v>
      </c>
      <c r="G1189">
        <v>107</v>
      </c>
      <c r="H1189">
        <v>14.99</v>
      </c>
    </row>
    <row r="1190" spans="1:8" x14ac:dyDescent="0.25">
      <c r="A1190">
        <v>14019248</v>
      </c>
      <c r="B1190">
        <v>523</v>
      </c>
      <c r="C1190">
        <v>216</v>
      </c>
      <c r="D1190">
        <v>33</v>
      </c>
      <c r="E1190">
        <v>93</v>
      </c>
      <c r="F1190">
        <v>321</v>
      </c>
      <c r="G1190">
        <v>658</v>
      </c>
      <c r="H1190">
        <v>19.725200000000001</v>
      </c>
    </row>
    <row r="1191" spans="1:8" x14ac:dyDescent="0.25">
      <c r="A1191">
        <v>14019249</v>
      </c>
      <c r="B1191">
        <v>327</v>
      </c>
      <c r="C1191">
        <v>72</v>
      </c>
      <c r="D1191">
        <v>15</v>
      </c>
      <c r="E1191">
        <v>55</v>
      </c>
      <c r="F1191">
        <v>189</v>
      </c>
      <c r="G1191">
        <v>446</v>
      </c>
      <c r="H1191">
        <v>19.245999999999999</v>
      </c>
    </row>
    <row r="1192" spans="1:8" x14ac:dyDescent="0.25">
      <c r="A1192">
        <v>14019251</v>
      </c>
      <c r="B1192">
        <v>491</v>
      </c>
      <c r="C1192">
        <v>120</v>
      </c>
      <c r="D1192">
        <v>23</v>
      </c>
      <c r="E1192">
        <v>83</v>
      </c>
      <c r="F1192">
        <v>254</v>
      </c>
      <c r="G1192">
        <v>610</v>
      </c>
      <c r="H1192">
        <v>19.035699999999999</v>
      </c>
    </row>
    <row r="1193" spans="1:8" x14ac:dyDescent="0.25">
      <c r="A1193">
        <v>14019252</v>
      </c>
      <c r="B1193">
        <v>380</v>
      </c>
      <c r="C1193">
        <v>72</v>
      </c>
      <c r="D1193">
        <v>16</v>
      </c>
      <c r="E1193">
        <v>72</v>
      </c>
      <c r="F1193">
        <v>207</v>
      </c>
      <c r="G1193">
        <v>453</v>
      </c>
      <c r="H1193">
        <v>18.036899999999999</v>
      </c>
    </row>
    <row r="1194" spans="1:8" x14ac:dyDescent="0.25">
      <c r="A1194">
        <v>14019253</v>
      </c>
      <c r="B1194">
        <v>86</v>
      </c>
      <c r="C1194">
        <v>0</v>
      </c>
      <c r="D1194">
        <v>2</v>
      </c>
      <c r="E1194">
        <v>12</v>
      </c>
      <c r="F1194">
        <v>44</v>
      </c>
      <c r="G1194">
        <v>78</v>
      </c>
      <c r="H1194">
        <v>14.96</v>
      </c>
    </row>
    <row r="1195" spans="1:8" x14ac:dyDescent="0.25">
      <c r="A1195">
        <v>14019254</v>
      </c>
      <c r="B1195">
        <v>320</v>
      </c>
      <c r="C1195">
        <v>48</v>
      </c>
      <c r="D1195">
        <v>17</v>
      </c>
      <c r="E1195">
        <v>66</v>
      </c>
      <c r="F1195">
        <v>190</v>
      </c>
      <c r="G1195">
        <v>394</v>
      </c>
      <c r="H1195">
        <v>23.382400000000001</v>
      </c>
    </row>
    <row r="1196" spans="1:8" x14ac:dyDescent="0.25">
      <c r="A1196">
        <v>14019255</v>
      </c>
      <c r="B1196">
        <v>282</v>
      </c>
      <c r="C1196">
        <v>72</v>
      </c>
      <c r="D1196">
        <v>10</v>
      </c>
      <c r="E1196">
        <v>44</v>
      </c>
      <c r="F1196">
        <v>145</v>
      </c>
      <c r="G1196">
        <v>316</v>
      </c>
      <c r="H1196">
        <v>24.832000000000001</v>
      </c>
    </row>
    <row r="1197" spans="1:8" x14ac:dyDescent="0.25">
      <c r="A1197">
        <v>14019257</v>
      </c>
      <c r="B1197">
        <v>434</v>
      </c>
      <c r="C1197">
        <v>240</v>
      </c>
      <c r="D1197">
        <v>42</v>
      </c>
      <c r="E1197">
        <v>157</v>
      </c>
      <c r="F1197">
        <v>552</v>
      </c>
      <c r="G1197">
        <v>1287</v>
      </c>
      <c r="H1197">
        <v>9.7759999999999998</v>
      </c>
    </row>
    <row r="1198" spans="1:8" x14ac:dyDescent="0.25">
      <c r="A1198">
        <v>14019258</v>
      </c>
      <c r="B1198">
        <v>214</v>
      </c>
      <c r="C1198">
        <v>24</v>
      </c>
      <c r="D1198">
        <v>21</v>
      </c>
      <c r="E1198">
        <v>60</v>
      </c>
      <c r="F1198">
        <v>220</v>
      </c>
      <c r="G1198">
        <v>456</v>
      </c>
      <c r="H1198">
        <v>9.3889999999999993</v>
      </c>
    </row>
    <row r="1199" spans="1:8" x14ac:dyDescent="0.25">
      <c r="A1199">
        <v>14019259</v>
      </c>
      <c r="B1199">
        <v>161</v>
      </c>
      <c r="C1199">
        <v>0</v>
      </c>
      <c r="D1199">
        <v>7</v>
      </c>
      <c r="E1199">
        <v>44</v>
      </c>
      <c r="F1199">
        <v>127</v>
      </c>
      <c r="G1199">
        <v>252</v>
      </c>
      <c r="H1199">
        <v>9.7570999999999994</v>
      </c>
    </row>
    <row r="1200" spans="1:8" x14ac:dyDescent="0.25">
      <c r="A1200">
        <v>14019260</v>
      </c>
      <c r="B1200">
        <v>678</v>
      </c>
      <c r="C1200">
        <v>124</v>
      </c>
      <c r="D1200">
        <v>49</v>
      </c>
      <c r="E1200">
        <v>198</v>
      </c>
      <c r="F1200">
        <v>688</v>
      </c>
      <c r="G1200">
        <v>1498</v>
      </c>
      <c r="H1200">
        <v>12.8604</v>
      </c>
    </row>
    <row r="1201" spans="1:8" x14ac:dyDescent="0.25">
      <c r="A1201">
        <v>14019261</v>
      </c>
      <c r="B1201">
        <v>432</v>
      </c>
      <c r="C1201">
        <v>48</v>
      </c>
      <c r="D1201">
        <v>29</v>
      </c>
      <c r="E1201">
        <v>102</v>
      </c>
      <c r="F1201">
        <v>335</v>
      </c>
      <c r="G1201">
        <v>781</v>
      </c>
      <c r="H1201">
        <v>12.5245</v>
      </c>
    </row>
    <row r="1202" spans="1:8" x14ac:dyDescent="0.25">
      <c r="A1202">
        <v>14019263</v>
      </c>
      <c r="B1202">
        <v>523</v>
      </c>
      <c r="C1202">
        <v>216</v>
      </c>
      <c r="D1202">
        <v>36</v>
      </c>
      <c r="E1202">
        <v>173</v>
      </c>
      <c r="F1202">
        <v>607</v>
      </c>
      <c r="G1202">
        <v>1224</v>
      </c>
      <c r="H1202">
        <v>12.4869</v>
      </c>
    </row>
    <row r="1203" spans="1:8" x14ac:dyDescent="0.25">
      <c r="A1203">
        <v>14019265</v>
      </c>
      <c r="B1203">
        <v>107</v>
      </c>
      <c r="C1203">
        <v>24</v>
      </c>
      <c r="D1203">
        <v>5</v>
      </c>
      <c r="E1203">
        <v>31</v>
      </c>
      <c r="F1203">
        <v>100</v>
      </c>
      <c r="G1203">
        <v>200</v>
      </c>
      <c r="H1203">
        <v>12.99</v>
      </c>
    </row>
    <row r="1204" spans="1:8" x14ac:dyDescent="0.25">
      <c r="A1204">
        <v>14019266</v>
      </c>
      <c r="B1204">
        <v>675</v>
      </c>
      <c r="C1204">
        <v>648</v>
      </c>
      <c r="D1204">
        <v>81</v>
      </c>
      <c r="E1204">
        <v>380</v>
      </c>
      <c r="F1204">
        <v>1145</v>
      </c>
      <c r="G1204">
        <v>2216</v>
      </c>
      <c r="H1204">
        <v>14.0573</v>
      </c>
    </row>
    <row r="1205" spans="1:8" x14ac:dyDescent="0.25">
      <c r="A1205">
        <v>14019267</v>
      </c>
      <c r="B1205">
        <v>461</v>
      </c>
      <c r="C1205">
        <v>312</v>
      </c>
      <c r="D1205">
        <v>42</v>
      </c>
      <c r="E1205">
        <v>128</v>
      </c>
      <c r="F1205">
        <v>453</v>
      </c>
      <c r="G1205">
        <v>833</v>
      </c>
      <c r="H1205">
        <v>14.067600000000001</v>
      </c>
    </row>
    <row r="1206" spans="1:8" x14ac:dyDescent="0.25">
      <c r="A1206">
        <v>14019268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20</v>
      </c>
      <c r="H1206">
        <v>0</v>
      </c>
    </row>
    <row r="1207" spans="1:8" x14ac:dyDescent="0.25">
      <c r="A1207">
        <v>14019273</v>
      </c>
      <c r="B1207">
        <v>225</v>
      </c>
      <c r="C1207">
        <v>0</v>
      </c>
      <c r="D1207">
        <v>3</v>
      </c>
      <c r="E1207">
        <v>20</v>
      </c>
      <c r="F1207">
        <v>72</v>
      </c>
      <c r="G1207">
        <v>200</v>
      </c>
      <c r="H1207">
        <v>8.89</v>
      </c>
    </row>
    <row r="1208" spans="1:8" x14ac:dyDescent="0.25">
      <c r="A1208">
        <v>14019274</v>
      </c>
      <c r="B1208">
        <v>212</v>
      </c>
      <c r="C1208">
        <v>0</v>
      </c>
      <c r="D1208">
        <v>36</v>
      </c>
      <c r="E1208">
        <v>96</v>
      </c>
      <c r="F1208">
        <v>335</v>
      </c>
      <c r="G1208">
        <v>641</v>
      </c>
      <c r="H1208">
        <v>3.0402999999999998</v>
      </c>
    </row>
    <row r="1209" spans="1:8" x14ac:dyDescent="0.25">
      <c r="A1209">
        <v>14019275</v>
      </c>
      <c r="B1209">
        <v>16</v>
      </c>
      <c r="C1209">
        <v>0</v>
      </c>
      <c r="D1209">
        <v>2</v>
      </c>
      <c r="E1209">
        <v>4</v>
      </c>
      <c r="F1209">
        <v>11</v>
      </c>
      <c r="G1209">
        <v>39</v>
      </c>
      <c r="H1209">
        <v>12.99</v>
      </c>
    </row>
    <row r="1210" spans="1:8" x14ac:dyDescent="0.25">
      <c r="A1210">
        <v>14019277</v>
      </c>
      <c r="B1210">
        <v>230</v>
      </c>
      <c r="C1210">
        <v>0</v>
      </c>
      <c r="D1210">
        <v>5</v>
      </c>
      <c r="E1210">
        <v>17</v>
      </c>
      <c r="F1210">
        <v>56</v>
      </c>
      <c r="G1210">
        <v>117</v>
      </c>
      <c r="H1210">
        <v>19.648</v>
      </c>
    </row>
    <row r="1211" spans="1:8" x14ac:dyDescent="0.25">
      <c r="A1211">
        <v>14019278</v>
      </c>
      <c r="B1211">
        <v>190</v>
      </c>
      <c r="C1211">
        <v>144</v>
      </c>
      <c r="D1211">
        <v>19</v>
      </c>
      <c r="E1211">
        <v>81</v>
      </c>
      <c r="F1211">
        <v>260</v>
      </c>
      <c r="G1211">
        <v>502</v>
      </c>
      <c r="H1211">
        <v>19.051600000000001</v>
      </c>
    </row>
    <row r="1212" spans="1:8" x14ac:dyDescent="0.25">
      <c r="A1212">
        <v>14019279</v>
      </c>
      <c r="B1212">
        <v>51</v>
      </c>
      <c r="C1212">
        <v>0</v>
      </c>
      <c r="D1212">
        <v>2</v>
      </c>
      <c r="E1212">
        <v>5</v>
      </c>
      <c r="F1212">
        <v>14</v>
      </c>
      <c r="G1212">
        <v>44</v>
      </c>
      <c r="H1212">
        <v>19.989999999999998</v>
      </c>
    </row>
    <row r="1213" spans="1:8" x14ac:dyDescent="0.25">
      <c r="A1213">
        <v>14019280</v>
      </c>
      <c r="B1213">
        <v>42</v>
      </c>
      <c r="C1213">
        <v>0</v>
      </c>
      <c r="D1213">
        <v>2</v>
      </c>
      <c r="E1213">
        <v>5</v>
      </c>
      <c r="F1213">
        <v>17</v>
      </c>
      <c r="G1213">
        <v>43</v>
      </c>
      <c r="H1213">
        <v>29.99</v>
      </c>
    </row>
    <row r="1214" spans="1:8" x14ac:dyDescent="0.25">
      <c r="A1214">
        <v>14019283</v>
      </c>
      <c r="B1214">
        <v>1</v>
      </c>
      <c r="C1214">
        <v>0</v>
      </c>
      <c r="D1214">
        <v>0</v>
      </c>
      <c r="E1214">
        <v>0</v>
      </c>
      <c r="F1214">
        <v>1</v>
      </c>
      <c r="G1214">
        <v>14</v>
      </c>
      <c r="H1214">
        <v>0</v>
      </c>
    </row>
    <row r="1215" spans="1:8" x14ac:dyDescent="0.25">
      <c r="A1215">
        <v>14019285</v>
      </c>
      <c r="B1215">
        <v>146</v>
      </c>
      <c r="C1215">
        <v>0</v>
      </c>
      <c r="D1215">
        <v>5</v>
      </c>
      <c r="E1215">
        <v>28</v>
      </c>
      <c r="F1215">
        <v>92</v>
      </c>
      <c r="G1215">
        <v>257</v>
      </c>
      <c r="H1215">
        <v>21.49</v>
      </c>
    </row>
    <row r="1216" spans="1:8" x14ac:dyDescent="0.25">
      <c r="A1216">
        <v>14019286</v>
      </c>
      <c r="B1216">
        <v>115</v>
      </c>
      <c r="C1216">
        <v>0</v>
      </c>
      <c r="D1216">
        <v>2</v>
      </c>
      <c r="E1216">
        <v>10</v>
      </c>
      <c r="F1216">
        <v>60</v>
      </c>
      <c r="G1216">
        <v>223</v>
      </c>
      <c r="H1216">
        <v>24.99</v>
      </c>
    </row>
    <row r="1217" spans="1:8" x14ac:dyDescent="0.25">
      <c r="A1217">
        <v>14019288</v>
      </c>
      <c r="B1217">
        <v>-8</v>
      </c>
      <c r="C1217">
        <v>0</v>
      </c>
      <c r="D1217">
        <v>1</v>
      </c>
      <c r="E1217">
        <v>1</v>
      </c>
      <c r="F1217">
        <v>9</v>
      </c>
      <c r="G1217">
        <v>9</v>
      </c>
      <c r="H1217">
        <v>14.99</v>
      </c>
    </row>
    <row r="1218" spans="1:8" x14ac:dyDescent="0.25">
      <c r="A1218">
        <v>14019291</v>
      </c>
      <c r="B1218">
        <v>9</v>
      </c>
      <c r="C1218">
        <v>0</v>
      </c>
      <c r="D1218">
        <v>0</v>
      </c>
      <c r="E1218">
        <v>0</v>
      </c>
      <c r="F1218">
        <v>16</v>
      </c>
      <c r="G1218">
        <v>32</v>
      </c>
      <c r="H1218">
        <v>0</v>
      </c>
    </row>
    <row r="1219" spans="1:8" x14ac:dyDescent="0.25">
      <c r="A1219">
        <v>14019293</v>
      </c>
      <c r="B1219">
        <v>33</v>
      </c>
      <c r="C1219">
        <v>0</v>
      </c>
      <c r="D1219">
        <v>6</v>
      </c>
      <c r="E1219">
        <v>17</v>
      </c>
      <c r="F1219">
        <v>80</v>
      </c>
      <c r="G1219">
        <v>235</v>
      </c>
      <c r="H1219">
        <v>19.989999999999998</v>
      </c>
    </row>
    <row r="1220" spans="1:8" x14ac:dyDescent="0.25">
      <c r="A1220">
        <v>14019295</v>
      </c>
      <c r="B1220">
        <v>110</v>
      </c>
      <c r="C1220">
        <v>24</v>
      </c>
      <c r="D1220">
        <v>9</v>
      </c>
      <c r="E1220">
        <v>27</v>
      </c>
      <c r="F1220">
        <v>115</v>
      </c>
      <c r="G1220">
        <v>205</v>
      </c>
      <c r="H1220">
        <v>13.94</v>
      </c>
    </row>
    <row r="1221" spans="1:8" x14ac:dyDescent="0.25">
      <c r="A1221">
        <v>14019298</v>
      </c>
      <c r="B1221">
        <v>10</v>
      </c>
      <c r="C1221">
        <v>0</v>
      </c>
      <c r="D1221">
        <v>0</v>
      </c>
      <c r="E1221">
        <v>2</v>
      </c>
      <c r="F1221">
        <v>2</v>
      </c>
      <c r="G1221">
        <v>2</v>
      </c>
      <c r="H1221">
        <v>0</v>
      </c>
    </row>
    <row r="1222" spans="1:8" x14ac:dyDescent="0.25">
      <c r="A1222">
        <v>14019300</v>
      </c>
      <c r="B1222">
        <v>0</v>
      </c>
      <c r="C1222">
        <v>0</v>
      </c>
      <c r="D1222">
        <v>0</v>
      </c>
      <c r="E1222">
        <v>0</v>
      </c>
      <c r="F1222">
        <v>1</v>
      </c>
      <c r="G1222">
        <v>2</v>
      </c>
      <c r="H1222">
        <v>0</v>
      </c>
    </row>
    <row r="1223" spans="1:8" x14ac:dyDescent="0.25">
      <c r="A1223">
        <v>14019301</v>
      </c>
      <c r="B1223">
        <v>-7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</row>
    <row r="1224" spans="1:8" x14ac:dyDescent="0.25">
      <c r="A1224">
        <v>14019302</v>
      </c>
      <c r="B1224">
        <v>180</v>
      </c>
      <c r="C1224">
        <v>0</v>
      </c>
      <c r="D1224">
        <v>7</v>
      </c>
      <c r="E1224">
        <v>20</v>
      </c>
      <c r="F1224">
        <v>73</v>
      </c>
      <c r="G1224">
        <v>213</v>
      </c>
      <c r="H1224">
        <v>9.9657</v>
      </c>
    </row>
    <row r="1225" spans="1:8" x14ac:dyDescent="0.25">
      <c r="A1225">
        <v>14020766</v>
      </c>
      <c r="B1225">
        <v>18</v>
      </c>
      <c r="C1225">
        <v>0</v>
      </c>
      <c r="D1225">
        <v>0</v>
      </c>
      <c r="E1225">
        <v>4</v>
      </c>
      <c r="F1225">
        <v>11</v>
      </c>
      <c r="G1225">
        <v>25</v>
      </c>
      <c r="H1225">
        <v>0</v>
      </c>
    </row>
    <row r="1226" spans="1:8" x14ac:dyDescent="0.25">
      <c r="A1226">
        <v>14022108</v>
      </c>
      <c r="B1226">
        <v>-1</v>
      </c>
      <c r="C1226">
        <v>0</v>
      </c>
      <c r="D1226">
        <v>0</v>
      </c>
      <c r="E1226">
        <v>0</v>
      </c>
      <c r="F1226">
        <v>0</v>
      </c>
      <c r="G1226">
        <v>1</v>
      </c>
      <c r="H1226">
        <v>0</v>
      </c>
    </row>
    <row r="1227" spans="1:8" x14ac:dyDescent="0.25">
      <c r="A1227">
        <v>14022113</v>
      </c>
      <c r="B1227">
        <v>-1</v>
      </c>
      <c r="C1227">
        <v>0</v>
      </c>
      <c r="D1227">
        <v>0</v>
      </c>
      <c r="E1227">
        <v>0</v>
      </c>
      <c r="F1227">
        <v>0</v>
      </c>
      <c r="G1227">
        <v>1</v>
      </c>
      <c r="H1227">
        <v>0</v>
      </c>
    </row>
    <row r="1228" spans="1:8" x14ac:dyDescent="0.25">
      <c r="A1228">
        <v>14022119</v>
      </c>
      <c r="B1228">
        <v>-1</v>
      </c>
      <c r="C1228">
        <v>0</v>
      </c>
      <c r="D1228">
        <v>0</v>
      </c>
      <c r="E1228">
        <v>0</v>
      </c>
      <c r="F1228">
        <v>0</v>
      </c>
      <c r="G1228">
        <v>1</v>
      </c>
      <c r="H1228">
        <v>0</v>
      </c>
    </row>
    <row r="1229" spans="1:8" x14ac:dyDescent="0.25">
      <c r="A1229">
        <v>14023783</v>
      </c>
      <c r="B1229">
        <v>22</v>
      </c>
      <c r="C1229">
        <v>45</v>
      </c>
      <c r="D1229">
        <v>3</v>
      </c>
      <c r="E1229">
        <v>19</v>
      </c>
      <c r="F1229">
        <v>79</v>
      </c>
      <c r="G1229">
        <v>116</v>
      </c>
      <c r="H1229">
        <v>13.99</v>
      </c>
    </row>
    <row r="1230" spans="1:8" x14ac:dyDescent="0.25">
      <c r="A1230">
        <v>14028799</v>
      </c>
      <c r="B1230">
        <v>-2</v>
      </c>
      <c r="C1230">
        <v>0</v>
      </c>
      <c r="D1230">
        <v>0</v>
      </c>
      <c r="E1230">
        <v>0</v>
      </c>
      <c r="F1230">
        <v>0</v>
      </c>
      <c r="G1230">
        <v>1</v>
      </c>
      <c r="H1230">
        <v>0</v>
      </c>
    </row>
    <row r="1231" spans="1:8" x14ac:dyDescent="0.25">
      <c r="A1231">
        <v>14032701</v>
      </c>
      <c r="B1231">
        <v>91</v>
      </c>
      <c r="C1231">
        <v>0</v>
      </c>
      <c r="D1231">
        <v>4</v>
      </c>
      <c r="E1231">
        <v>9</v>
      </c>
      <c r="F1231">
        <v>26</v>
      </c>
      <c r="G1231">
        <v>40</v>
      </c>
      <c r="H1231">
        <v>29.335000000000001</v>
      </c>
    </row>
    <row r="1232" spans="1:8" x14ac:dyDescent="0.25">
      <c r="A1232">
        <v>14035118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</row>
    <row r="1233" spans="1:8" x14ac:dyDescent="0.25">
      <c r="A1233">
        <v>14035135</v>
      </c>
      <c r="B1233">
        <v>239</v>
      </c>
      <c r="C1233">
        <v>0</v>
      </c>
      <c r="D1233">
        <v>6</v>
      </c>
      <c r="E1233">
        <v>32</v>
      </c>
      <c r="F1233">
        <v>142</v>
      </c>
      <c r="G1233">
        <v>479</v>
      </c>
      <c r="H1233">
        <v>391.07330000000002</v>
      </c>
    </row>
    <row r="1234" spans="1:8" x14ac:dyDescent="0.25">
      <c r="A1234">
        <v>14035136</v>
      </c>
      <c r="B1234">
        <v>1</v>
      </c>
      <c r="C1234">
        <v>0</v>
      </c>
      <c r="D1234">
        <v>0</v>
      </c>
      <c r="E1234">
        <v>0</v>
      </c>
      <c r="F1234">
        <v>1</v>
      </c>
      <c r="G1234">
        <v>14</v>
      </c>
      <c r="H1234">
        <v>0</v>
      </c>
    </row>
    <row r="1235" spans="1:8" x14ac:dyDescent="0.25">
      <c r="A1235">
        <v>14035703</v>
      </c>
      <c r="B1235">
        <v>5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</row>
    <row r="1236" spans="1:8" x14ac:dyDescent="0.25">
      <c r="A1236">
        <v>14035704</v>
      </c>
      <c r="B1236">
        <v>2</v>
      </c>
      <c r="C1236">
        <v>0</v>
      </c>
      <c r="D1236">
        <v>0</v>
      </c>
      <c r="E1236">
        <v>0</v>
      </c>
      <c r="F1236">
        <v>1</v>
      </c>
      <c r="G1236">
        <v>1</v>
      </c>
      <c r="H1236">
        <v>0</v>
      </c>
    </row>
    <row r="1237" spans="1:8" x14ac:dyDescent="0.25">
      <c r="A1237">
        <v>14037078</v>
      </c>
      <c r="B1237">
        <v>2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</row>
    <row r="1238" spans="1:8" x14ac:dyDescent="0.25">
      <c r="A1238">
        <v>14037548</v>
      </c>
      <c r="B1238">
        <v>0</v>
      </c>
      <c r="C1238">
        <v>0</v>
      </c>
      <c r="D1238">
        <v>0</v>
      </c>
      <c r="E1238">
        <v>1</v>
      </c>
      <c r="F1238">
        <v>1</v>
      </c>
      <c r="G1238">
        <v>1</v>
      </c>
      <c r="H1238">
        <v>0</v>
      </c>
    </row>
    <row r="1239" spans="1:8" x14ac:dyDescent="0.25">
      <c r="A1239">
        <v>14047727</v>
      </c>
      <c r="B1239">
        <v>1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</row>
    <row r="1240" spans="1:8" x14ac:dyDescent="0.25">
      <c r="A1240">
        <v>14053275</v>
      </c>
      <c r="B1240">
        <v>-1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</row>
    <row r="1241" spans="1:8" x14ac:dyDescent="0.25">
      <c r="A1241">
        <v>14056563</v>
      </c>
      <c r="B1241">
        <v>12</v>
      </c>
      <c r="C1241">
        <v>22</v>
      </c>
      <c r="D1241">
        <v>4</v>
      </c>
      <c r="E1241">
        <v>4</v>
      </c>
      <c r="F1241">
        <v>8</v>
      </c>
      <c r="G1241">
        <v>40</v>
      </c>
      <c r="H1241">
        <v>162.49</v>
      </c>
    </row>
    <row r="1242" spans="1:8" x14ac:dyDescent="0.25">
      <c r="A1242">
        <v>14056564</v>
      </c>
      <c r="B1242">
        <v>31</v>
      </c>
      <c r="C1242">
        <v>2</v>
      </c>
      <c r="D1242">
        <v>1</v>
      </c>
      <c r="E1242">
        <v>2</v>
      </c>
      <c r="F1242">
        <v>14</v>
      </c>
      <c r="G1242">
        <v>35</v>
      </c>
      <c r="H1242">
        <v>169.99</v>
      </c>
    </row>
    <row r="1243" spans="1:8" x14ac:dyDescent="0.25">
      <c r="A1243">
        <v>14056565</v>
      </c>
      <c r="B1243">
        <v>51</v>
      </c>
      <c r="C1243">
        <v>4</v>
      </c>
      <c r="D1243">
        <v>0</v>
      </c>
      <c r="E1243">
        <v>3</v>
      </c>
      <c r="F1243">
        <v>17</v>
      </c>
      <c r="G1243">
        <v>71</v>
      </c>
      <c r="H1243">
        <v>0</v>
      </c>
    </row>
    <row r="1244" spans="1:8" x14ac:dyDescent="0.25">
      <c r="A1244">
        <v>14056566</v>
      </c>
      <c r="B1244">
        <v>25</v>
      </c>
      <c r="C1244">
        <v>10</v>
      </c>
      <c r="D1244">
        <v>0</v>
      </c>
      <c r="E1244">
        <v>1</v>
      </c>
      <c r="F1244">
        <v>13</v>
      </c>
      <c r="G1244">
        <v>46</v>
      </c>
      <c r="H1244">
        <v>0</v>
      </c>
    </row>
    <row r="1245" spans="1:8" x14ac:dyDescent="0.25">
      <c r="A1245">
        <v>14056567</v>
      </c>
      <c r="B1245">
        <v>22</v>
      </c>
      <c r="C1245">
        <v>0</v>
      </c>
      <c r="D1245">
        <v>1</v>
      </c>
      <c r="E1245">
        <v>6</v>
      </c>
      <c r="F1245">
        <v>18</v>
      </c>
      <c r="G1245">
        <v>40</v>
      </c>
      <c r="H1245">
        <v>149.99</v>
      </c>
    </row>
    <row r="1246" spans="1:8" x14ac:dyDescent="0.25">
      <c r="A1246">
        <v>14056568</v>
      </c>
      <c r="B1246">
        <v>1</v>
      </c>
      <c r="C1246">
        <v>0</v>
      </c>
      <c r="D1246">
        <v>0</v>
      </c>
      <c r="E1246">
        <v>0</v>
      </c>
      <c r="F1246">
        <v>1</v>
      </c>
      <c r="G1246">
        <v>5</v>
      </c>
      <c r="H1246">
        <v>0</v>
      </c>
    </row>
    <row r="1247" spans="1:8" x14ac:dyDescent="0.25">
      <c r="A1247">
        <v>14056569</v>
      </c>
      <c r="B1247">
        <v>3</v>
      </c>
      <c r="C1247">
        <v>0</v>
      </c>
      <c r="D1247">
        <v>0</v>
      </c>
      <c r="E1247">
        <v>0</v>
      </c>
      <c r="F1247">
        <v>0</v>
      </c>
      <c r="G1247">
        <v>33</v>
      </c>
      <c r="H1247">
        <v>0</v>
      </c>
    </row>
    <row r="1248" spans="1:8" x14ac:dyDescent="0.25">
      <c r="A1248">
        <v>14056844</v>
      </c>
      <c r="B1248">
        <v>-1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</row>
    <row r="1249" spans="1:8" x14ac:dyDescent="0.25">
      <c r="A1249">
        <v>14057140</v>
      </c>
      <c r="B1249">
        <v>2</v>
      </c>
      <c r="C1249">
        <v>0</v>
      </c>
      <c r="D1249">
        <v>0</v>
      </c>
      <c r="E1249">
        <v>0</v>
      </c>
      <c r="F1249">
        <v>1</v>
      </c>
      <c r="G1249">
        <v>6</v>
      </c>
      <c r="H1249">
        <v>0</v>
      </c>
    </row>
    <row r="1250" spans="1:8" x14ac:dyDescent="0.25">
      <c r="A1250">
        <v>14057141</v>
      </c>
      <c r="B1250">
        <v>10</v>
      </c>
      <c r="C1250">
        <v>0</v>
      </c>
      <c r="D1250">
        <v>0</v>
      </c>
      <c r="E1250">
        <v>0</v>
      </c>
      <c r="F1250">
        <v>3</v>
      </c>
      <c r="G1250">
        <v>12</v>
      </c>
      <c r="H1250">
        <v>0</v>
      </c>
    </row>
    <row r="1251" spans="1:8" x14ac:dyDescent="0.25">
      <c r="A1251">
        <v>14057142</v>
      </c>
      <c r="B1251">
        <v>2</v>
      </c>
      <c r="C1251">
        <v>0</v>
      </c>
      <c r="D1251">
        <v>0</v>
      </c>
      <c r="E1251">
        <v>1</v>
      </c>
      <c r="F1251">
        <v>2</v>
      </c>
      <c r="G1251">
        <v>4</v>
      </c>
      <c r="H1251">
        <v>0</v>
      </c>
    </row>
    <row r="1252" spans="1:8" x14ac:dyDescent="0.25">
      <c r="A1252">
        <v>14057143</v>
      </c>
      <c r="B1252">
        <v>34</v>
      </c>
      <c r="C1252">
        <v>0</v>
      </c>
      <c r="D1252">
        <v>0</v>
      </c>
      <c r="E1252">
        <v>0</v>
      </c>
      <c r="F1252">
        <v>6</v>
      </c>
      <c r="G1252">
        <v>13</v>
      </c>
      <c r="H1252">
        <v>0</v>
      </c>
    </row>
    <row r="1253" spans="1:8" x14ac:dyDescent="0.25">
      <c r="A1253">
        <v>14057145</v>
      </c>
      <c r="B1253">
        <v>1514</v>
      </c>
      <c r="C1253">
        <v>0</v>
      </c>
      <c r="D1253">
        <v>54</v>
      </c>
      <c r="E1253">
        <v>215</v>
      </c>
      <c r="F1253">
        <v>786</v>
      </c>
      <c r="G1253">
        <v>1861</v>
      </c>
      <c r="H1253">
        <v>33.838299999999997</v>
      </c>
    </row>
    <row r="1254" spans="1:8" x14ac:dyDescent="0.25">
      <c r="A1254">
        <v>14059058</v>
      </c>
      <c r="B1254">
        <v>94</v>
      </c>
      <c r="C1254">
        <v>0</v>
      </c>
      <c r="D1254">
        <v>0</v>
      </c>
      <c r="E1254">
        <v>2</v>
      </c>
      <c r="F1254">
        <v>11</v>
      </c>
      <c r="G1254">
        <v>46</v>
      </c>
      <c r="H1254">
        <v>0</v>
      </c>
    </row>
    <row r="1255" spans="1:8" x14ac:dyDescent="0.25">
      <c r="A1255">
        <v>14059059</v>
      </c>
      <c r="B1255">
        <v>57</v>
      </c>
      <c r="C1255">
        <v>0</v>
      </c>
      <c r="D1255">
        <v>0</v>
      </c>
      <c r="E1255">
        <v>1</v>
      </c>
      <c r="F1255">
        <v>4</v>
      </c>
      <c r="G1255">
        <v>16</v>
      </c>
      <c r="H1255">
        <v>0</v>
      </c>
    </row>
    <row r="1256" spans="1:8" x14ac:dyDescent="0.25">
      <c r="A1256">
        <v>14059061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2</v>
      </c>
      <c r="H1256">
        <v>0</v>
      </c>
    </row>
    <row r="1257" spans="1:8" x14ac:dyDescent="0.25">
      <c r="A1257">
        <v>14059062</v>
      </c>
      <c r="B1257">
        <v>2</v>
      </c>
      <c r="C1257">
        <v>0</v>
      </c>
      <c r="D1257">
        <v>0</v>
      </c>
      <c r="E1257">
        <v>0</v>
      </c>
      <c r="F1257">
        <v>0</v>
      </c>
      <c r="G1257">
        <v>6</v>
      </c>
      <c r="H1257">
        <v>0</v>
      </c>
    </row>
    <row r="1258" spans="1:8" x14ac:dyDescent="0.25">
      <c r="A1258">
        <v>14072967</v>
      </c>
      <c r="B1258">
        <v>2</v>
      </c>
      <c r="C1258">
        <v>0</v>
      </c>
      <c r="D1258">
        <v>0</v>
      </c>
      <c r="E1258">
        <v>0</v>
      </c>
      <c r="F1258">
        <v>0</v>
      </c>
      <c r="G1258">
        <v>1</v>
      </c>
      <c r="H1258">
        <v>0</v>
      </c>
    </row>
    <row r="1259" spans="1:8" x14ac:dyDescent="0.25">
      <c r="A1259">
        <v>14072968</v>
      </c>
      <c r="B1259">
        <v>8</v>
      </c>
      <c r="C1259">
        <v>0</v>
      </c>
      <c r="D1259">
        <v>0</v>
      </c>
      <c r="E1259">
        <v>0</v>
      </c>
      <c r="F1259">
        <v>2</v>
      </c>
      <c r="G1259">
        <v>2</v>
      </c>
      <c r="H1259">
        <v>0</v>
      </c>
    </row>
    <row r="1260" spans="1:8" x14ac:dyDescent="0.25">
      <c r="A1260">
        <v>14072970</v>
      </c>
      <c r="B1260">
        <v>0</v>
      </c>
      <c r="C1260">
        <v>0</v>
      </c>
      <c r="D1260">
        <v>0</v>
      </c>
      <c r="E1260">
        <v>0</v>
      </c>
      <c r="F1260">
        <v>-1</v>
      </c>
      <c r="G1260">
        <v>2</v>
      </c>
      <c r="H1260">
        <v>0</v>
      </c>
    </row>
    <row r="1261" spans="1:8" x14ac:dyDescent="0.25">
      <c r="A1261">
        <v>14079320</v>
      </c>
      <c r="B1261">
        <v>8</v>
      </c>
      <c r="C1261">
        <v>0</v>
      </c>
      <c r="D1261">
        <v>0</v>
      </c>
      <c r="E1261">
        <v>0</v>
      </c>
      <c r="F1261">
        <v>0</v>
      </c>
      <c r="G1261">
        <v>1</v>
      </c>
      <c r="H1261">
        <v>0</v>
      </c>
    </row>
    <row r="1262" spans="1:8" x14ac:dyDescent="0.25">
      <c r="A1262">
        <v>14080737</v>
      </c>
      <c r="B1262">
        <v>0</v>
      </c>
      <c r="C1262">
        <v>0</v>
      </c>
      <c r="D1262">
        <v>0</v>
      </c>
      <c r="E1262">
        <v>1</v>
      </c>
      <c r="F1262">
        <v>1</v>
      </c>
      <c r="G1262">
        <v>1</v>
      </c>
      <c r="H1262">
        <v>0</v>
      </c>
    </row>
    <row r="1263" spans="1:8" x14ac:dyDescent="0.25">
      <c r="A1263">
        <v>14081174</v>
      </c>
      <c r="B1263">
        <v>126</v>
      </c>
      <c r="C1263">
        <v>0</v>
      </c>
      <c r="D1263">
        <v>3</v>
      </c>
      <c r="E1263">
        <v>6</v>
      </c>
      <c r="F1263">
        <v>26</v>
      </c>
      <c r="G1263">
        <v>67</v>
      </c>
      <c r="H1263">
        <v>88.323300000000003</v>
      </c>
    </row>
    <row r="1264" spans="1:8" x14ac:dyDescent="0.25">
      <c r="A1264">
        <v>14081193</v>
      </c>
      <c r="B1264">
        <v>2</v>
      </c>
      <c r="C1264">
        <v>0</v>
      </c>
      <c r="D1264">
        <v>0</v>
      </c>
      <c r="E1264">
        <v>0</v>
      </c>
      <c r="F1264">
        <v>5</v>
      </c>
      <c r="G1264">
        <v>15</v>
      </c>
      <c r="H1264">
        <v>0</v>
      </c>
    </row>
    <row r="1265" spans="1:8" x14ac:dyDescent="0.25">
      <c r="A1265">
        <v>14081194</v>
      </c>
      <c r="B1265">
        <v>1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</row>
    <row r="1266" spans="1:8" x14ac:dyDescent="0.25">
      <c r="A1266">
        <v>14090137</v>
      </c>
      <c r="B1266">
        <v>0</v>
      </c>
      <c r="C1266">
        <v>4</v>
      </c>
      <c r="D1266">
        <v>2</v>
      </c>
      <c r="E1266">
        <v>4</v>
      </c>
      <c r="F1266">
        <v>8</v>
      </c>
      <c r="G1266">
        <v>13</v>
      </c>
      <c r="H1266">
        <v>749</v>
      </c>
    </row>
    <row r="1267" spans="1:8" x14ac:dyDescent="0.25">
      <c r="A1267">
        <v>14095467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7</v>
      </c>
      <c r="H1267">
        <v>0</v>
      </c>
    </row>
    <row r="1268" spans="1:8" x14ac:dyDescent="0.25">
      <c r="A1268">
        <v>14095609</v>
      </c>
      <c r="B1268">
        <v>4</v>
      </c>
      <c r="C1268">
        <v>0</v>
      </c>
      <c r="D1268">
        <v>0</v>
      </c>
      <c r="E1268">
        <v>0</v>
      </c>
      <c r="F1268">
        <v>1</v>
      </c>
      <c r="G1268">
        <v>2</v>
      </c>
      <c r="H1268">
        <v>0</v>
      </c>
    </row>
    <row r="1269" spans="1:8" x14ac:dyDescent="0.25">
      <c r="A1269">
        <v>14095610</v>
      </c>
      <c r="B1269">
        <v>3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</row>
    <row r="1270" spans="1:8" x14ac:dyDescent="0.25">
      <c r="A1270">
        <v>14097560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16</v>
      </c>
      <c r="H1270">
        <v>0</v>
      </c>
    </row>
    <row r="1271" spans="1:8" x14ac:dyDescent="0.25">
      <c r="A1271">
        <v>14097577</v>
      </c>
      <c r="B1271">
        <v>118</v>
      </c>
      <c r="C1271">
        <v>9</v>
      </c>
      <c r="D1271">
        <v>2</v>
      </c>
      <c r="E1271">
        <v>5</v>
      </c>
      <c r="F1271">
        <v>15</v>
      </c>
      <c r="G1271">
        <v>51</v>
      </c>
      <c r="H1271">
        <v>164.92500000000001</v>
      </c>
    </row>
    <row r="1272" spans="1:8" x14ac:dyDescent="0.25">
      <c r="A1272">
        <v>14098150</v>
      </c>
      <c r="B1272">
        <v>9</v>
      </c>
      <c r="C1272">
        <v>0</v>
      </c>
      <c r="D1272">
        <v>1</v>
      </c>
      <c r="E1272">
        <v>1</v>
      </c>
      <c r="F1272">
        <v>5</v>
      </c>
      <c r="G1272">
        <v>11</v>
      </c>
      <c r="H1272">
        <v>217.49</v>
      </c>
    </row>
    <row r="1273" spans="1:8" x14ac:dyDescent="0.25">
      <c r="A1273">
        <v>14098151</v>
      </c>
      <c r="B1273">
        <v>178</v>
      </c>
      <c r="C1273">
        <v>20</v>
      </c>
      <c r="D1273">
        <v>8</v>
      </c>
      <c r="E1273">
        <v>18</v>
      </c>
      <c r="F1273">
        <v>56</v>
      </c>
      <c r="G1273">
        <v>94</v>
      </c>
      <c r="H1273">
        <v>178.10249999999999</v>
      </c>
    </row>
    <row r="1274" spans="1:8" x14ac:dyDescent="0.25">
      <c r="A1274">
        <v>14098618</v>
      </c>
      <c r="B1274">
        <v>23</v>
      </c>
      <c r="C1274">
        <v>0</v>
      </c>
      <c r="D1274">
        <v>1</v>
      </c>
      <c r="E1274">
        <v>4</v>
      </c>
      <c r="F1274">
        <v>9</v>
      </c>
      <c r="G1274">
        <v>55</v>
      </c>
      <c r="H1274">
        <v>129.97</v>
      </c>
    </row>
    <row r="1275" spans="1:8" x14ac:dyDescent="0.25">
      <c r="A1275">
        <v>14098621</v>
      </c>
      <c r="B1275">
        <v>509</v>
      </c>
      <c r="C1275">
        <v>40</v>
      </c>
      <c r="D1275">
        <v>23</v>
      </c>
      <c r="E1275">
        <v>139</v>
      </c>
      <c r="F1275">
        <v>377</v>
      </c>
      <c r="G1275">
        <v>1061</v>
      </c>
      <c r="H1275">
        <v>22.730899999999998</v>
      </c>
    </row>
    <row r="1276" spans="1:8" x14ac:dyDescent="0.25">
      <c r="A1276">
        <v>14104003</v>
      </c>
      <c r="B1276">
        <v>233</v>
      </c>
      <c r="C1276">
        <v>84</v>
      </c>
      <c r="D1276">
        <v>25</v>
      </c>
      <c r="E1276">
        <v>120</v>
      </c>
      <c r="F1276">
        <v>395</v>
      </c>
      <c r="G1276">
        <v>777</v>
      </c>
      <c r="H1276">
        <v>36.066400000000002</v>
      </c>
    </row>
    <row r="1277" spans="1:8" x14ac:dyDescent="0.25">
      <c r="A1277">
        <v>14104005</v>
      </c>
      <c r="B1277">
        <v>150</v>
      </c>
      <c r="C1277">
        <v>42</v>
      </c>
      <c r="D1277">
        <v>8</v>
      </c>
      <c r="E1277">
        <v>41</v>
      </c>
      <c r="F1277">
        <v>162</v>
      </c>
      <c r="G1277">
        <v>364</v>
      </c>
      <c r="H1277">
        <v>39.428800000000003</v>
      </c>
    </row>
    <row r="1278" spans="1:8" x14ac:dyDescent="0.25">
      <c r="A1278">
        <v>14104007</v>
      </c>
      <c r="B1278">
        <v>32</v>
      </c>
      <c r="C1278">
        <v>4</v>
      </c>
      <c r="D1278">
        <v>4</v>
      </c>
      <c r="E1278">
        <v>9</v>
      </c>
      <c r="F1278">
        <v>32</v>
      </c>
      <c r="G1278">
        <v>80</v>
      </c>
      <c r="H1278">
        <v>64.64</v>
      </c>
    </row>
    <row r="1279" spans="1:8" x14ac:dyDescent="0.25">
      <c r="A1279">
        <v>14104008</v>
      </c>
      <c r="B1279">
        <v>6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</row>
    <row r="1280" spans="1:8" x14ac:dyDescent="0.25">
      <c r="A1280">
        <v>14104009</v>
      </c>
      <c r="B1280">
        <v>4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</row>
    <row r="1281" spans="1:8" x14ac:dyDescent="0.25">
      <c r="A1281">
        <v>14104010</v>
      </c>
      <c r="B1281">
        <v>4</v>
      </c>
      <c r="C1281">
        <v>0</v>
      </c>
      <c r="D1281">
        <v>0</v>
      </c>
      <c r="E1281">
        <v>0</v>
      </c>
      <c r="F1281">
        <v>1</v>
      </c>
      <c r="G1281">
        <v>4</v>
      </c>
      <c r="H1281">
        <v>0</v>
      </c>
    </row>
    <row r="1282" spans="1:8" x14ac:dyDescent="0.25">
      <c r="A1282">
        <v>14104012</v>
      </c>
      <c r="B1282">
        <v>7</v>
      </c>
      <c r="C1282">
        <v>0</v>
      </c>
      <c r="D1282">
        <v>0</v>
      </c>
      <c r="E1282">
        <v>0</v>
      </c>
      <c r="F1282">
        <v>1</v>
      </c>
      <c r="G1282">
        <v>9</v>
      </c>
      <c r="H1282">
        <v>0</v>
      </c>
    </row>
    <row r="1283" spans="1:8" x14ac:dyDescent="0.25">
      <c r="A1283">
        <v>14104016</v>
      </c>
      <c r="B1283">
        <v>225</v>
      </c>
      <c r="C1283">
        <v>26</v>
      </c>
      <c r="D1283">
        <v>14</v>
      </c>
      <c r="E1283">
        <v>65</v>
      </c>
      <c r="F1283">
        <v>247</v>
      </c>
      <c r="G1283">
        <v>510</v>
      </c>
      <c r="H1283">
        <v>26.776399999999999</v>
      </c>
    </row>
    <row r="1284" spans="1:8" x14ac:dyDescent="0.25">
      <c r="A1284">
        <v>14104017</v>
      </c>
      <c r="B1284">
        <v>1</v>
      </c>
      <c r="C1284">
        <v>0</v>
      </c>
      <c r="D1284">
        <v>0</v>
      </c>
      <c r="E1284">
        <v>0</v>
      </c>
      <c r="F1284">
        <v>0</v>
      </c>
      <c r="G1284">
        <v>-1</v>
      </c>
      <c r="H1284">
        <v>0</v>
      </c>
    </row>
    <row r="1285" spans="1:8" x14ac:dyDescent="0.25">
      <c r="A1285">
        <v>14104018</v>
      </c>
      <c r="B1285">
        <v>-4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</row>
    <row r="1286" spans="1:8" x14ac:dyDescent="0.25">
      <c r="A1286">
        <v>14104019</v>
      </c>
      <c r="B1286">
        <v>37</v>
      </c>
      <c r="C1286">
        <v>40</v>
      </c>
      <c r="D1286">
        <v>5</v>
      </c>
      <c r="E1286">
        <v>17</v>
      </c>
      <c r="F1286">
        <v>76</v>
      </c>
      <c r="G1286">
        <v>176</v>
      </c>
      <c r="H1286">
        <v>118.996</v>
      </c>
    </row>
    <row r="1287" spans="1:8" x14ac:dyDescent="0.25">
      <c r="A1287">
        <v>14104020</v>
      </c>
      <c r="B1287">
        <v>-3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</row>
    <row r="1288" spans="1:8" x14ac:dyDescent="0.25">
      <c r="A1288">
        <v>14104022</v>
      </c>
      <c r="B1288">
        <v>25</v>
      </c>
      <c r="C1288">
        <v>0</v>
      </c>
      <c r="D1288">
        <v>1</v>
      </c>
      <c r="E1288">
        <v>1</v>
      </c>
      <c r="F1288">
        <v>6</v>
      </c>
      <c r="G1288">
        <v>62</v>
      </c>
      <c r="H1288">
        <v>134.99</v>
      </c>
    </row>
    <row r="1289" spans="1:8" x14ac:dyDescent="0.25">
      <c r="A1289">
        <v>14104023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</row>
    <row r="1290" spans="1:8" x14ac:dyDescent="0.25">
      <c r="A1290">
        <v>14104024</v>
      </c>
      <c r="B1290">
        <v>19</v>
      </c>
      <c r="C1290">
        <v>0</v>
      </c>
      <c r="D1290">
        <v>1</v>
      </c>
      <c r="E1290">
        <v>1</v>
      </c>
      <c r="F1290">
        <v>6</v>
      </c>
      <c r="G1290">
        <v>22</v>
      </c>
      <c r="H1290">
        <v>49.99</v>
      </c>
    </row>
    <row r="1291" spans="1:8" x14ac:dyDescent="0.25">
      <c r="A1291">
        <v>14105740</v>
      </c>
      <c r="B1291">
        <v>117</v>
      </c>
      <c r="C1291">
        <v>0</v>
      </c>
      <c r="D1291">
        <v>9</v>
      </c>
      <c r="E1291">
        <v>34</v>
      </c>
      <c r="F1291">
        <v>129</v>
      </c>
      <c r="G1291">
        <v>239</v>
      </c>
      <c r="H1291">
        <v>7.3033000000000001</v>
      </c>
    </row>
    <row r="1292" spans="1:8" x14ac:dyDescent="0.25">
      <c r="A1292">
        <v>14106861</v>
      </c>
      <c r="B1292">
        <v>0</v>
      </c>
      <c r="C1292">
        <v>0</v>
      </c>
      <c r="D1292">
        <v>0</v>
      </c>
      <c r="E1292">
        <v>0</v>
      </c>
      <c r="F1292">
        <v>6</v>
      </c>
      <c r="G1292">
        <v>16</v>
      </c>
      <c r="H1292">
        <v>0</v>
      </c>
    </row>
    <row r="1293" spans="1:8" x14ac:dyDescent="0.25">
      <c r="A1293">
        <v>14106864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4</v>
      </c>
      <c r="H1293">
        <v>0</v>
      </c>
    </row>
    <row r="1294" spans="1:8" x14ac:dyDescent="0.25">
      <c r="A1294">
        <v>14106868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</row>
    <row r="1295" spans="1:8" x14ac:dyDescent="0.25">
      <c r="A1295">
        <v>14107003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</row>
    <row r="1296" spans="1:8" x14ac:dyDescent="0.25">
      <c r="A1296">
        <v>14107005</v>
      </c>
      <c r="B1296">
        <v>1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</row>
    <row r="1297" spans="1:8" x14ac:dyDescent="0.25">
      <c r="A1297">
        <v>14107020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</row>
    <row r="1298" spans="1:8" x14ac:dyDescent="0.25">
      <c r="A1298">
        <v>14107867</v>
      </c>
      <c r="B1298">
        <v>2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</row>
    <row r="1299" spans="1:8" x14ac:dyDescent="0.25">
      <c r="A1299">
        <v>14107869</v>
      </c>
      <c r="B1299">
        <v>2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</row>
    <row r="1300" spans="1:8" x14ac:dyDescent="0.25">
      <c r="A1300">
        <v>14108151</v>
      </c>
      <c r="B1300">
        <v>22</v>
      </c>
      <c r="C1300">
        <v>0</v>
      </c>
      <c r="D1300">
        <v>0</v>
      </c>
      <c r="E1300">
        <v>1</v>
      </c>
      <c r="F1300">
        <v>4</v>
      </c>
      <c r="G1300">
        <v>13</v>
      </c>
      <c r="H1300">
        <v>0</v>
      </c>
    </row>
    <row r="1301" spans="1:8" x14ac:dyDescent="0.25">
      <c r="A1301">
        <v>14108152</v>
      </c>
      <c r="B1301">
        <v>103</v>
      </c>
      <c r="C1301">
        <v>13</v>
      </c>
      <c r="D1301">
        <v>7</v>
      </c>
      <c r="E1301">
        <v>14</v>
      </c>
      <c r="F1301">
        <v>67</v>
      </c>
      <c r="G1301">
        <v>192</v>
      </c>
      <c r="H1301">
        <v>477.99</v>
      </c>
    </row>
    <row r="1302" spans="1:8" x14ac:dyDescent="0.25">
      <c r="A1302">
        <v>14108686</v>
      </c>
      <c r="B1302">
        <v>468</v>
      </c>
      <c r="C1302">
        <v>130</v>
      </c>
      <c r="D1302">
        <v>40</v>
      </c>
      <c r="E1302">
        <v>133</v>
      </c>
      <c r="F1302">
        <v>521</v>
      </c>
      <c r="G1302">
        <v>1235</v>
      </c>
      <c r="H1302">
        <v>39.314500000000002</v>
      </c>
    </row>
    <row r="1303" spans="1:8" x14ac:dyDescent="0.25">
      <c r="A1303">
        <v>14111052</v>
      </c>
      <c r="B1303">
        <v>1</v>
      </c>
      <c r="C1303">
        <v>0</v>
      </c>
      <c r="D1303">
        <v>0</v>
      </c>
      <c r="E1303">
        <v>0</v>
      </c>
      <c r="F1303">
        <v>0</v>
      </c>
      <c r="G1303">
        <v>2</v>
      </c>
      <c r="H1303">
        <v>0</v>
      </c>
    </row>
    <row r="1304" spans="1:8" x14ac:dyDescent="0.25">
      <c r="A1304">
        <v>14111053</v>
      </c>
      <c r="B1304">
        <v>3</v>
      </c>
      <c r="C1304">
        <v>0</v>
      </c>
      <c r="D1304">
        <v>0</v>
      </c>
      <c r="E1304">
        <v>1</v>
      </c>
      <c r="F1304">
        <v>4</v>
      </c>
      <c r="G1304">
        <v>6</v>
      </c>
      <c r="H1304">
        <v>0</v>
      </c>
    </row>
    <row r="1305" spans="1:8" x14ac:dyDescent="0.25">
      <c r="A1305">
        <v>14111389</v>
      </c>
      <c r="B1305">
        <v>180</v>
      </c>
      <c r="C1305">
        <v>0</v>
      </c>
      <c r="D1305">
        <v>5</v>
      </c>
      <c r="E1305">
        <v>18</v>
      </c>
      <c r="F1305">
        <v>69</v>
      </c>
      <c r="G1305">
        <v>154</v>
      </c>
      <c r="H1305">
        <v>9.8219999999999992</v>
      </c>
    </row>
    <row r="1306" spans="1:8" x14ac:dyDescent="0.25">
      <c r="A1306">
        <v>14111546</v>
      </c>
      <c r="B1306">
        <v>1</v>
      </c>
      <c r="C1306">
        <v>0</v>
      </c>
      <c r="D1306">
        <v>0</v>
      </c>
      <c r="E1306">
        <v>0</v>
      </c>
      <c r="F1306">
        <v>3</v>
      </c>
      <c r="G1306">
        <v>10</v>
      </c>
      <c r="H1306">
        <v>0</v>
      </c>
    </row>
    <row r="1307" spans="1:8" x14ac:dyDescent="0.25">
      <c r="A1307">
        <v>14111768</v>
      </c>
      <c r="B1307">
        <v>52</v>
      </c>
      <c r="C1307">
        <v>0</v>
      </c>
      <c r="D1307">
        <v>0</v>
      </c>
      <c r="E1307">
        <v>3</v>
      </c>
      <c r="F1307">
        <v>7</v>
      </c>
      <c r="G1307">
        <v>11</v>
      </c>
      <c r="H1307">
        <v>0</v>
      </c>
    </row>
    <row r="1308" spans="1:8" x14ac:dyDescent="0.25">
      <c r="A1308">
        <v>14113737</v>
      </c>
      <c r="B1308">
        <v>-2</v>
      </c>
      <c r="C1308">
        <v>0</v>
      </c>
      <c r="D1308">
        <v>0</v>
      </c>
      <c r="E1308">
        <v>0</v>
      </c>
      <c r="F1308">
        <v>14</v>
      </c>
      <c r="G1308">
        <v>29</v>
      </c>
      <c r="H1308">
        <v>0</v>
      </c>
    </row>
    <row r="1309" spans="1:8" x14ac:dyDescent="0.25">
      <c r="A1309">
        <v>14113769</v>
      </c>
      <c r="B1309">
        <v>-1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</row>
    <row r="1310" spans="1:8" x14ac:dyDescent="0.25">
      <c r="A1310">
        <v>14114476</v>
      </c>
      <c r="B1310">
        <v>34</v>
      </c>
      <c r="C1310">
        <v>0</v>
      </c>
      <c r="D1310">
        <v>1</v>
      </c>
      <c r="E1310">
        <v>2</v>
      </c>
      <c r="F1310">
        <v>16</v>
      </c>
      <c r="G1310">
        <v>30</v>
      </c>
      <c r="H1310">
        <v>12.99</v>
      </c>
    </row>
    <row r="1311" spans="1:8" x14ac:dyDescent="0.25">
      <c r="A1311">
        <v>14114478</v>
      </c>
      <c r="B1311">
        <v>18</v>
      </c>
      <c r="C1311">
        <v>0</v>
      </c>
      <c r="D1311">
        <v>0</v>
      </c>
      <c r="E1311">
        <v>0</v>
      </c>
      <c r="F1311">
        <v>2</v>
      </c>
      <c r="G1311">
        <v>11</v>
      </c>
      <c r="H1311">
        <v>0</v>
      </c>
    </row>
    <row r="1312" spans="1:8" x14ac:dyDescent="0.25">
      <c r="A1312">
        <v>14114481</v>
      </c>
      <c r="B1312">
        <v>80</v>
      </c>
      <c r="C1312">
        <v>0</v>
      </c>
      <c r="D1312">
        <v>0</v>
      </c>
      <c r="E1312">
        <v>0</v>
      </c>
      <c r="F1312">
        <v>4</v>
      </c>
      <c r="G1312">
        <v>13</v>
      </c>
      <c r="H1312">
        <v>0</v>
      </c>
    </row>
    <row r="1313" spans="1:8" x14ac:dyDescent="0.25">
      <c r="A1313">
        <v>14114485</v>
      </c>
      <c r="B1313">
        <v>48</v>
      </c>
      <c r="C1313">
        <v>0</v>
      </c>
      <c r="D1313">
        <v>0</v>
      </c>
      <c r="E1313">
        <v>0</v>
      </c>
      <c r="F1313">
        <v>6</v>
      </c>
      <c r="G1313">
        <v>15</v>
      </c>
      <c r="H1313">
        <v>0</v>
      </c>
    </row>
    <row r="1314" spans="1:8" x14ac:dyDescent="0.25">
      <c r="A1314">
        <v>14116720</v>
      </c>
      <c r="B1314">
        <v>30</v>
      </c>
      <c r="C1314">
        <v>0</v>
      </c>
      <c r="D1314">
        <v>3</v>
      </c>
      <c r="E1314">
        <v>6</v>
      </c>
      <c r="F1314">
        <v>26</v>
      </c>
      <c r="G1314">
        <v>54</v>
      </c>
      <c r="H1314">
        <v>12.99</v>
      </c>
    </row>
    <row r="1315" spans="1:8" x14ac:dyDescent="0.25">
      <c r="A1315">
        <v>14116725</v>
      </c>
      <c r="B1315">
        <v>22</v>
      </c>
      <c r="C1315">
        <v>0</v>
      </c>
      <c r="D1315">
        <v>2</v>
      </c>
      <c r="E1315">
        <v>6</v>
      </c>
      <c r="F1315">
        <v>21</v>
      </c>
      <c r="G1315">
        <v>37</v>
      </c>
      <c r="H1315">
        <v>12.99</v>
      </c>
    </row>
    <row r="1316" spans="1:8" x14ac:dyDescent="0.25">
      <c r="A1316">
        <v>14116729</v>
      </c>
      <c r="B1316">
        <v>13</v>
      </c>
      <c r="C1316">
        <v>0</v>
      </c>
      <c r="D1316">
        <v>3</v>
      </c>
      <c r="E1316">
        <v>6</v>
      </c>
      <c r="F1316">
        <v>12</v>
      </c>
      <c r="G1316">
        <v>29</v>
      </c>
      <c r="H1316">
        <v>12.99</v>
      </c>
    </row>
    <row r="1317" spans="1:8" x14ac:dyDescent="0.25">
      <c r="A1317">
        <v>14117887</v>
      </c>
      <c r="B1317">
        <v>31</v>
      </c>
      <c r="C1317">
        <v>0</v>
      </c>
      <c r="D1317">
        <v>3</v>
      </c>
      <c r="E1317">
        <v>6</v>
      </c>
      <c r="F1317">
        <v>19</v>
      </c>
      <c r="G1317">
        <v>38</v>
      </c>
      <c r="H1317">
        <v>491.67</v>
      </c>
    </row>
    <row r="1318" spans="1:8" x14ac:dyDescent="0.25">
      <c r="A1318">
        <v>14118511</v>
      </c>
      <c r="B1318">
        <v>3</v>
      </c>
      <c r="C1318">
        <v>0</v>
      </c>
      <c r="D1318">
        <v>0</v>
      </c>
      <c r="E1318">
        <v>0</v>
      </c>
      <c r="F1318">
        <v>1</v>
      </c>
      <c r="G1318">
        <v>1</v>
      </c>
      <c r="H1318">
        <v>0</v>
      </c>
    </row>
    <row r="1319" spans="1:8" x14ac:dyDescent="0.25">
      <c r="A1319">
        <v>14139352</v>
      </c>
      <c r="B1319">
        <v>44</v>
      </c>
      <c r="C1319">
        <v>0</v>
      </c>
      <c r="D1319">
        <v>0</v>
      </c>
      <c r="E1319">
        <v>3</v>
      </c>
      <c r="F1319">
        <v>17</v>
      </c>
      <c r="G1319">
        <v>58</v>
      </c>
      <c r="H1319">
        <v>0</v>
      </c>
    </row>
    <row r="1320" spans="1:8" x14ac:dyDescent="0.25">
      <c r="A1320">
        <v>14142156</v>
      </c>
      <c r="B1320">
        <v>1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</row>
    <row r="1321" spans="1:8" x14ac:dyDescent="0.25">
      <c r="A1321">
        <v>14142162</v>
      </c>
      <c r="B1321">
        <v>1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</row>
    <row r="1322" spans="1:8" x14ac:dyDescent="0.25">
      <c r="A1322">
        <v>14145537</v>
      </c>
      <c r="B1322">
        <v>107</v>
      </c>
      <c r="C1322">
        <v>31</v>
      </c>
      <c r="D1322">
        <v>7</v>
      </c>
      <c r="E1322">
        <v>27</v>
      </c>
      <c r="F1322">
        <v>143</v>
      </c>
      <c r="G1322">
        <v>262</v>
      </c>
      <c r="H1322">
        <v>21.99</v>
      </c>
    </row>
    <row r="1323" spans="1:8" x14ac:dyDescent="0.25">
      <c r="A1323">
        <v>14145538</v>
      </c>
      <c r="B1323">
        <v>35</v>
      </c>
      <c r="C1323">
        <v>11</v>
      </c>
      <c r="D1323">
        <v>1</v>
      </c>
      <c r="E1323">
        <v>5</v>
      </c>
      <c r="F1323">
        <v>35</v>
      </c>
      <c r="G1323">
        <v>39</v>
      </c>
      <c r="H1323">
        <v>10.62</v>
      </c>
    </row>
    <row r="1324" spans="1:8" x14ac:dyDescent="0.25">
      <c r="A1324">
        <v>14145543</v>
      </c>
      <c r="B1324">
        <v>0</v>
      </c>
      <c r="C1324">
        <v>0</v>
      </c>
      <c r="D1324">
        <v>0</v>
      </c>
      <c r="E1324">
        <v>0</v>
      </c>
      <c r="F1324">
        <v>2</v>
      </c>
      <c r="G1324">
        <v>37</v>
      </c>
      <c r="H1324">
        <v>0</v>
      </c>
    </row>
    <row r="1325" spans="1:8" x14ac:dyDescent="0.25">
      <c r="A1325">
        <v>14145544</v>
      </c>
      <c r="B1325">
        <v>0</v>
      </c>
      <c r="C1325">
        <v>0</v>
      </c>
      <c r="D1325">
        <v>0</v>
      </c>
      <c r="E1325">
        <v>0</v>
      </c>
      <c r="F1325">
        <v>7</v>
      </c>
      <c r="G1325">
        <v>8</v>
      </c>
      <c r="H1325">
        <v>0</v>
      </c>
    </row>
    <row r="1326" spans="1:8" x14ac:dyDescent="0.25">
      <c r="A1326">
        <v>14145545</v>
      </c>
      <c r="B1326">
        <v>6</v>
      </c>
      <c r="C1326">
        <v>0</v>
      </c>
      <c r="D1326">
        <v>0</v>
      </c>
      <c r="E1326">
        <v>1</v>
      </c>
      <c r="F1326">
        <v>3</v>
      </c>
      <c r="G1326">
        <v>3</v>
      </c>
      <c r="H1326">
        <v>0</v>
      </c>
    </row>
    <row r="1327" spans="1:8" x14ac:dyDescent="0.25">
      <c r="A1327">
        <v>14145546</v>
      </c>
      <c r="B1327">
        <v>-5</v>
      </c>
      <c r="C1327">
        <v>0</v>
      </c>
      <c r="D1327">
        <v>0</v>
      </c>
      <c r="E1327">
        <v>0</v>
      </c>
      <c r="F1327">
        <v>0</v>
      </c>
      <c r="G1327">
        <v>1</v>
      </c>
      <c r="H1327">
        <v>0</v>
      </c>
    </row>
    <row r="1328" spans="1:8" x14ac:dyDescent="0.25">
      <c r="A1328">
        <v>14145547</v>
      </c>
      <c r="B1328">
        <v>1</v>
      </c>
      <c r="C1328">
        <v>0</v>
      </c>
      <c r="D1328">
        <v>0</v>
      </c>
      <c r="E1328">
        <v>0</v>
      </c>
      <c r="F1328">
        <v>1</v>
      </c>
      <c r="G1328">
        <v>1</v>
      </c>
      <c r="H1328">
        <v>0</v>
      </c>
    </row>
    <row r="1329" spans="1:8" x14ac:dyDescent="0.25">
      <c r="A1329">
        <v>14145550</v>
      </c>
      <c r="B1329">
        <v>15</v>
      </c>
      <c r="C1329">
        <v>14</v>
      </c>
      <c r="D1329">
        <v>4</v>
      </c>
      <c r="E1329">
        <v>12</v>
      </c>
      <c r="F1329">
        <v>29</v>
      </c>
      <c r="G1329">
        <v>61</v>
      </c>
      <c r="H1329">
        <v>17.989999999999998</v>
      </c>
    </row>
    <row r="1330" spans="1:8" x14ac:dyDescent="0.25">
      <c r="A1330">
        <v>14145551</v>
      </c>
      <c r="B1330">
        <v>0</v>
      </c>
      <c r="C1330">
        <v>0</v>
      </c>
      <c r="D1330">
        <v>1</v>
      </c>
      <c r="E1330">
        <v>2</v>
      </c>
      <c r="F1330">
        <v>3</v>
      </c>
      <c r="G1330">
        <v>3</v>
      </c>
      <c r="H1330">
        <v>16.989999999999998</v>
      </c>
    </row>
    <row r="1331" spans="1:8" x14ac:dyDescent="0.25">
      <c r="A1331">
        <v>14145552</v>
      </c>
      <c r="B1331">
        <v>17</v>
      </c>
      <c r="C1331">
        <v>16</v>
      </c>
      <c r="D1331">
        <v>3</v>
      </c>
      <c r="E1331">
        <v>17</v>
      </c>
      <c r="F1331">
        <v>48</v>
      </c>
      <c r="G1331">
        <v>78</v>
      </c>
      <c r="H1331">
        <v>16.989999999999998</v>
      </c>
    </row>
    <row r="1332" spans="1:8" x14ac:dyDescent="0.25">
      <c r="A1332">
        <v>14145555</v>
      </c>
      <c r="B1332">
        <v>0</v>
      </c>
      <c r="C1332">
        <v>0</v>
      </c>
      <c r="D1332">
        <v>0</v>
      </c>
      <c r="E1332">
        <v>0</v>
      </c>
      <c r="F1332">
        <v>27</v>
      </c>
      <c r="G1332">
        <v>28</v>
      </c>
      <c r="H1332">
        <v>0</v>
      </c>
    </row>
    <row r="1333" spans="1:8" x14ac:dyDescent="0.25">
      <c r="A1333">
        <v>14145556</v>
      </c>
      <c r="B1333">
        <v>29</v>
      </c>
      <c r="C1333">
        <v>0</v>
      </c>
      <c r="D1333">
        <v>0</v>
      </c>
      <c r="E1333">
        <v>4</v>
      </c>
      <c r="F1333">
        <v>61</v>
      </c>
      <c r="G1333">
        <v>79</v>
      </c>
      <c r="H1333">
        <v>0</v>
      </c>
    </row>
    <row r="1334" spans="1:8" x14ac:dyDescent="0.25">
      <c r="A1334">
        <v>14145557</v>
      </c>
      <c r="B1334">
        <v>1</v>
      </c>
      <c r="C1334">
        <v>0</v>
      </c>
      <c r="D1334">
        <v>0</v>
      </c>
      <c r="E1334">
        <v>0</v>
      </c>
      <c r="F1334">
        <v>12</v>
      </c>
      <c r="G1334">
        <v>34</v>
      </c>
      <c r="H1334">
        <v>0</v>
      </c>
    </row>
    <row r="1335" spans="1:8" x14ac:dyDescent="0.25">
      <c r="A1335">
        <v>14145558</v>
      </c>
      <c r="B1335">
        <v>5</v>
      </c>
      <c r="C1335">
        <v>0</v>
      </c>
      <c r="D1335">
        <v>0</v>
      </c>
      <c r="E1335">
        <v>0</v>
      </c>
      <c r="F1335">
        <v>0</v>
      </c>
      <c r="G1335">
        <v>10</v>
      </c>
      <c r="H1335">
        <v>0</v>
      </c>
    </row>
    <row r="1336" spans="1:8" x14ac:dyDescent="0.25">
      <c r="A1336">
        <v>14150921</v>
      </c>
      <c r="B1336">
        <v>284</v>
      </c>
      <c r="C1336">
        <v>0</v>
      </c>
      <c r="D1336">
        <v>6</v>
      </c>
      <c r="E1336">
        <v>27</v>
      </c>
      <c r="F1336">
        <v>114</v>
      </c>
      <c r="G1336">
        <v>376</v>
      </c>
      <c r="H1336">
        <v>177.1567</v>
      </c>
    </row>
    <row r="1337" spans="1:8" x14ac:dyDescent="0.25">
      <c r="A1337">
        <v>14150922</v>
      </c>
      <c r="B1337">
        <v>38</v>
      </c>
      <c r="C1337">
        <v>0</v>
      </c>
      <c r="D1337">
        <v>3</v>
      </c>
      <c r="E1337">
        <v>5</v>
      </c>
      <c r="F1337">
        <v>22</v>
      </c>
      <c r="G1337">
        <v>86</v>
      </c>
      <c r="H1337">
        <v>189.99</v>
      </c>
    </row>
    <row r="1338" spans="1:8" x14ac:dyDescent="0.25">
      <c r="A1338">
        <v>14150923</v>
      </c>
      <c r="B1338">
        <v>63</v>
      </c>
      <c r="C1338">
        <v>0</v>
      </c>
      <c r="D1338">
        <v>4</v>
      </c>
      <c r="E1338">
        <v>12</v>
      </c>
      <c r="F1338">
        <v>37</v>
      </c>
      <c r="G1338">
        <v>148</v>
      </c>
      <c r="H1338">
        <v>189.99</v>
      </c>
    </row>
    <row r="1339" spans="1:8" x14ac:dyDescent="0.25">
      <c r="A1339">
        <v>14150924</v>
      </c>
      <c r="B1339">
        <v>108</v>
      </c>
      <c r="C1339">
        <v>0</v>
      </c>
      <c r="D1339">
        <v>1</v>
      </c>
      <c r="E1339">
        <v>12</v>
      </c>
      <c r="F1339">
        <v>57</v>
      </c>
      <c r="G1339">
        <v>165</v>
      </c>
      <c r="H1339">
        <v>189.99</v>
      </c>
    </row>
    <row r="1340" spans="1:8" x14ac:dyDescent="0.25">
      <c r="A1340">
        <v>14151247</v>
      </c>
      <c r="B1340">
        <v>-1</v>
      </c>
      <c r="C1340">
        <v>0</v>
      </c>
      <c r="D1340">
        <v>0</v>
      </c>
      <c r="E1340">
        <v>0</v>
      </c>
      <c r="F1340">
        <v>0</v>
      </c>
      <c r="G1340">
        <v>1</v>
      </c>
      <c r="H1340">
        <v>0</v>
      </c>
    </row>
    <row r="1341" spans="1:8" x14ac:dyDescent="0.25">
      <c r="A1341">
        <v>14151256</v>
      </c>
      <c r="B1341">
        <v>81</v>
      </c>
      <c r="C1341">
        <v>0</v>
      </c>
      <c r="D1341">
        <v>2</v>
      </c>
      <c r="E1341">
        <v>9</v>
      </c>
      <c r="F1341">
        <v>31</v>
      </c>
      <c r="G1341">
        <v>65</v>
      </c>
      <c r="H1341">
        <v>99</v>
      </c>
    </row>
    <row r="1342" spans="1:8" x14ac:dyDescent="0.25">
      <c r="A1342">
        <v>14151257</v>
      </c>
      <c r="B1342">
        <v>1</v>
      </c>
      <c r="C1342">
        <v>0</v>
      </c>
      <c r="D1342">
        <v>0</v>
      </c>
      <c r="E1342">
        <v>0</v>
      </c>
      <c r="F1342">
        <v>0</v>
      </c>
      <c r="G1342">
        <v>5</v>
      </c>
      <c r="H1342">
        <v>0</v>
      </c>
    </row>
    <row r="1343" spans="1:8" x14ac:dyDescent="0.25">
      <c r="A1343">
        <v>14151258</v>
      </c>
      <c r="B1343">
        <v>25</v>
      </c>
      <c r="C1343">
        <v>0</v>
      </c>
      <c r="D1343">
        <v>0</v>
      </c>
      <c r="E1343">
        <v>1</v>
      </c>
      <c r="F1343">
        <v>4</v>
      </c>
      <c r="G1343">
        <v>6</v>
      </c>
      <c r="H1343">
        <v>0</v>
      </c>
    </row>
    <row r="1344" spans="1:8" x14ac:dyDescent="0.25">
      <c r="A1344">
        <v>14152065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</row>
    <row r="1345" spans="1:8" x14ac:dyDescent="0.25">
      <c r="A1345">
        <v>14152066</v>
      </c>
      <c r="B1345">
        <v>1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</row>
    <row r="1346" spans="1:8" x14ac:dyDescent="0.25">
      <c r="A1346">
        <v>14152075</v>
      </c>
      <c r="B1346">
        <v>1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</row>
    <row r="1347" spans="1:8" x14ac:dyDescent="0.25">
      <c r="A1347">
        <v>14152380</v>
      </c>
      <c r="B1347">
        <v>16</v>
      </c>
      <c r="C1347">
        <v>0</v>
      </c>
      <c r="D1347">
        <v>0</v>
      </c>
      <c r="E1347">
        <v>1</v>
      </c>
      <c r="F1347">
        <v>12</v>
      </c>
      <c r="G1347">
        <v>35</v>
      </c>
      <c r="H1347">
        <v>0</v>
      </c>
    </row>
    <row r="1348" spans="1:8" x14ac:dyDescent="0.25">
      <c r="A1348">
        <v>14152381</v>
      </c>
      <c r="B1348">
        <v>3</v>
      </c>
      <c r="C1348">
        <v>0</v>
      </c>
      <c r="D1348">
        <v>0</v>
      </c>
      <c r="E1348">
        <v>0</v>
      </c>
      <c r="F1348">
        <v>1</v>
      </c>
      <c r="G1348">
        <v>3</v>
      </c>
      <c r="H1348">
        <v>0</v>
      </c>
    </row>
    <row r="1349" spans="1:8" x14ac:dyDescent="0.25">
      <c r="A1349">
        <v>14152543</v>
      </c>
      <c r="B1349">
        <v>1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</row>
    <row r="1350" spans="1:8" x14ac:dyDescent="0.25">
      <c r="A1350">
        <v>14173950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2</v>
      </c>
      <c r="H1350">
        <v>0</v>
      </c>
    </row>
    <row r="1351" spans="1:8" x14ac:dyDescent="0.25">
      <c r="A1351">
        <v>14173951</v>
      </c>
      <c r="B1351">
        <v>1</v>
      </c>
      <c r="C1351">
        <v>0</v>
      </c>
      <c r="D1351">
        <v>0</v>
      </c>
      <c r="E1351">
        <v>0</v>
      </c>
      <c r="F1351">
        <v>0</v>
      </c>
      <c r="G1351">
        <v>3</v>
      </c>
      <c r="H1351">
        <v>0</v>
      </c>
    </row>
    <row r="1352" spans="1:8" x14ac:dyDescent="0.25">
      <c r="A1352">
        <v>14173952</v>
      </c>
      <c r="B1352">
        <v>343</v>
      </c>
      <c r="C1352">
        <v>29</v>
      </c>
      <c r="D1352">
        <v>17</v>
      </c>
      <c r="E1352">
        <v>65</v>
      </c>
      <c r="F1352">
        <v>346</v>
      </c>
      <c r="G1352">
        <v>975</v>
      </c>
      <c r="H1352">
        <v>46.757100000000001</v>
      </c>
    </row>
    <row r="1353" spans="1:8" x14ac:dyDescent="0.25">
      <c r="A1353">
        <v>14188123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</row>
    <row r="1354" spans="1:8" x14ac:dyDescent="0.25">
      <c r="A1354">
        <v>14192878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</row>
    <row r="1355" spans="1:8" x14ac:dyDescent="0.25">
      <c r="A1355">
        <v>14192879</v>
      </c>
      <c r="B1355">
        <v>1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</row>
    <row r="1356" spans="1:8" x14ac:dyDescent="0.25">
      <c r="A1356">
        <v>14200723</v>
      </c>
      <c r="B1356">
        <v>22</v>
      </c>
      <c r="C1356">
        <v>0</v>
      </c>
      <c r="D1356">
        <v>2</v>
      </c>
      <c r="E1356">
        <v>2</v>
      </c>
      <c r="F1356">
        <v>4</v>
      </c>
      <c r="G1356">
        <v>6</v>
      </c>
      <c r="H1356">
        <v>9.99</v>
      </c>
    </row>
    <row r="1357" spans="1:8" x14ac:dyDescent="0.25">
      <c r="A1357">
        <v>14205258</v>
      </c>
      <c r="B1357">
        <v>47</v>
      </c>
      <c r="C1357">
        <v>0</v>
      </c>
      <c r="D1357">
        <v>0</v>
      </c>
      <c r="E1357">
        <v>0</v>
      </c>
      <c r="F1357">
        <v>3</v>
      </c>
      <c r="G1357">
        <v>17</v>
      </c>
      <c r="H1357">
        <v>0</v>
      </c>
    </row>
    <row r="1358" spans="1:8" x14ac:dyDescent="0.25">
      <c r="A1358">
        <v>14205259</v>
      </c>
      <c r="B1358">
        <v>5</v>
      </c>
      <c r="C1358">
        <v>0</v>
      </c>
      <c r="D1358">
        <v>0</v>
      </c>
      <c r="E1358">
        <v>2</v>
      </c>
      <c r="F1358">
        <v>6</v>
      </c>
      <c r="G1358">
        <v>10</v>
      </c>
      <c r="H1358">
        <v>0</v>
      </c>
    </row>
    <row r="1359" spans="1:8" x14ac:dyDescent="0.25">
      <c r="A1359">
        <v>14205260</v>
      </c>
      <c r="B1359">
        <v>36</v>
      </c>
      <c r="C1359">
        <v>0</v>
      </c>
      <c r="D1359">
        <v>3</v>
      </c>
      <c r="E1359">
        <v>4</v>
      </c>
      <c r="F1359">
        <v>16</v>
      </c>
      <c r="G1359">
        <v>35</v>
      </c>
      <c r="H1359">
        <v>2.97</v>
      </c>
    </row>
    <row r="1360" spans="1:8" x14ac:dyDescent="0.25">
      <c r="A1360">
        <v>14205261</v>
      </c>
      <c r="B1360">
        <v>14</v>
      </c>
      <c r="C1360">
        <v>0</v>
      </c>
      <c r="D1360">
        <v>2</v>
      </c>
      <c r="E1360">
        <v>6</v>
      </c>
      <c r="F1360">
        <v>11</v>
      </c>
      <c r="G1360">
        <v>27</v>
      </c>
      <c r="H1360">
        <v>1.4850000000000001</v>
      </c>
    </row>
    <row r="1361" spans="1:8" x14ac:dyDescent="0.25">
      <c r="A1361">
        <v>14205266</v>
      </c>
      <c r="B1361">
        <v>57</v>
      </c>
      <c r="C1361">
        <v>0</v>
      </c>
      <c r="D1361">
        <v>0</v>
      </c>
      <c r="E1361">
        <v>2</v>
      </c>
      <c r="F1361">
        <v>3</v>
      </c>
      <c r="G1361">
        <v>15</v>
      </c>
      <c r="H1361">
        <v>0</v>
      </c>
    </row>
    <row r="1362" spans="1:8" x14ac:dyDescent="0.25">
      <c r="A1362">
        <v>14216959</v>
      </c>
      <c r="B1362">
        <v>1</v>
      </c>
      <c r="C1362">
        <v>0</v>
      </c>
      <c r="D1362">
        <v>0</v>
      </c>
      <c r="E1362">
        <v>0</v>
      </c>
      <c r="F1362">
        <v>0</v>
      </c>
      <c r="G1362">
        <v>68</v>
      </c>
      <c r="H1362">
        <v>0</v>
      </c>
    </row>
    <row r="1363" spans="1:8" x14ac:dyDescent="0.25">
      <c r="A1363">
        <v>14217687</v>
      </c>
      <c r="B1363">
        <v>4</v>
      </c>
      <c r="C1363">
        <v>0</v>
      </c>
      <c r="D1363">
        <v>0</v>
      </c>
      <c r="E1363">
        <v>0</v>
      </c>
      <c r="F1363">
        <v>6</v>
      </c>
      <c r="G1363">
        <v>16</v>
      </c>
      <c r="H1363">
        <v>0</v>
      </c>
    </row>
    <row r="1364" spans="1:8" x14ac:dyDescent="0.25">
      <c r="A1364">
        <v>14228147</v>
      </c>
      <c r="B1364">
        <v>2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</row>
    <row r="1365" spans="1:8" x14ac:dyDescent="0.25">
      <c r="A1365">
        <v>14250482</v>
      </c>
      <c r="B1365">
        <v>1</v>
      </c>
      <c r="C1365">
        <v>0</v>
      </c>
      <c r="D1365">
        <v>0</v>
      </c>
      <c r="E1365">
        <v>0</v>
      </c>
      <c r="F1365">
        <v>1</v>
      </c>
      <c r="G1365">
        <v>1</v>
      </c>
      <c r="H1365">
        <v>0</v>
      </c>
    </row>
    <row r="1366" spans="1:8" x14ac:dyDescent="0.25">
      <c r="A1366">
        <v>14254370</v>
      </c>
      <c r="B1366">
        <v>55</v>
      </c>
      <c r="C1366">
        <v>0</v>
      </c>
      <c r="D1366">
        <v>6</v>
      </c>
      <c r="E1366">
        <v>17</v>
      </c>
      <c r="F1366">
        <v>30</v>
      </c>
      <c r="G1366">
        <v>41</v>
      </c>
      <c r="H1366">
        <v>31.496700000000001</v>
      </c>
    </row>
    <row r="1367" spans="1:8" x14ac:dyDescent="0.25">
      <c r="A1367">
        <v>14254816</v>
      </c>
      <c r="B1367">
        <v>1</v>
      </c>
      <c r="C1367">
        <v>0</v>
      </c>
      <c r="D1367">
        <v>0</v>
      </c>
      <c r="E1367">
        <v>0</v>
      </c>
      <c r="F1367">
        <v>0</v>
      </c>
      <c r="G1367">
        <v>1</v>
      </c>
      <c r="H1367">
        <v>0</v>
      </c>
    </row>
    <row r="1368" spans="1:8" x14ac:dyDescent="0.25">
      <c r="A1368">
        <v>14254817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16</v>
      </c>
      <c r="H1368">
        <v>0</v>
      </c>
    </row>
    <row r="1369" spans="1:8" x14ac:dyDescent="0.25">
      <c r="A1369">
        <v>14254818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4</v>
      </c>
      <c r="H1369">
        <v>0</v>
      </c>
    </row>
    <row r="1370" spans="1:8" x14ac:dyDescent="0.25">
      <c r="A1370">
        <v>14254820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3</v>
      </c>
      <c r="H1370">
        <v>0</v>
      </c>
    </row>
    <row r="1371" spans="1:8" x14ac:dyDescent="0.25">
      <c r="A1371">
        <v>14254822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</row>
    <row r="1372" spans="1:8" x14ac:dyDescent="0.25">
      <c r="A1372">
        <v>14255662</v>
      </c>
      <c r="B1372">
        <v>4</v>
      </c>
      <c r="C1372">
        <v>0</v>
      </c>
      <c r="D1372">
        <v>0</v>
      </c>
      <c r="E1372">
        <v>0</v>
      </c>
      <c r="F1372">
        <v>5</v>
      </c>
      <c r="G1372">
        <v>15</v>
      </c>
      <c r="H1372">
        <v>0</v>
      </c>
    </row>
    <row r="1373" spans="1:8" x14ac:dyDescent="0.25">
      <c r="A1373">
        <v>14257887</v>
      </c>
      <c r="B1373">
        <v>4</v>
      </c>
      <c r="C1373">
        <v>0</v>
      </c>
      <c r="D1373">
        <v>0</v>
      </c>
      <c r="E1373">
        <v>0</v>
      </c>
      <c r="F1373">
        <v>0</v>
      </c>
      <c r="G1373">
        <v>1</v>
      </c>
      <c r="H1373">
        <v>0</v>
      </c>
    </row>
    <row r="1374" spans="1:8" x14ac:dyDescent="0.25">
      <c r="A1374">
        <v>14257888</v>
      </c>
      <c r="B1374">
        <v>77</v>
      </c>
      <c r="C1374">
        <v>0</v>
      </c>
      <c r="D1374">
        <v>7</v>
      </c>
      <c r="E1374">
        <v>51</v>
      </c>
      <c r="F1374">
        <v>230</v>
      </c>
      <c r="G1374">
        <v>255</v>
      </c>
      <c r="H1374">
        <v>88.704300000000003</v>
      </c>
    </row>
    <row r="1375" spans="1:8" x14ac:dyDescent="0.25">
      <c r="A1375">
        <v>14257889</v>
      </c>
      <c r="B1375">
        <v>23</v>
      </c>
      <c r="C1375">
        <v>0</v>
      </c>
      <c r="D1375">
        <v>0</v>
      </c>
      <c r="E1375">
        <v>1</v>
      </c>
      <c r="F1375">
        <v>3</v>
      </c>
      <c r="G1375">
        <v>4</v>
      </c>
      <c r="H1375">
        <v>0</v>
      </c>
    </row>
    <row r="1376" spans="1:8" x14ac:dyDescent="0.25">
      <c r="A1376">
        <v>14257890</v>
      </c>
      <c r="B1376">
        <v>23</v>
      </c>
      <c r="C1376">
        <v>0</v>
      </c>
      <c r="D1376">
        <v>0</v>
      </c>
      <c r="E1376">
        <v>0</v>
      </c>
      <c r="F1376">
        <v>1</v>
      </c>
      <c r="G1376">
        <v>3</v>
      </c>
      <c r="H1376">
        <v>0</v>
      </c>
    </row>
    <row r="1377" spans="1:8" x14ac:dyDescent="0.25">
      <c r="A1377">
        <v>14258408</v>
      </c>
      <c r="B1377">
        <v>33</v>
      </c>
      <c r="C1377">
        <v>0</v>
      </c>
      <c r="D1377">
        <v>0</v>
      </c>
      <c r="E1377">
        <v>0</v>
      </c>
      <c r="F1377">
        <v>5</v>
      </c>
      <c r="G1377">
        <v>14</v>
      </c>
      <c r="H1377">
        <v>0</v>
      </c>
    </row>
    <row r="1378" spans="1:8" x14ac:dyDescent="0.25">
      <c r="A1378">
        <v>14258409</v>
      </c>
      <c r="B1378">
        <v>31</v>
      </c>
      <c r="C1378">
        <v>0</v>
      </c>
      <c r="D1378">
        <v>-1</v>
      </c>
      <c r="E1378">
        <v>0</v>
      </c>
      <c r="F1378">
        <v>2</v>
      </c>
      <c r="G1378">
        <v>4</v>
      </c>
      <c r="H1378">
        <v>129.97</v>
      </c>
    </row>
    <row r="1379" spans="1:8" x14ac:dyDescent="0.25">
      <c r="A1379">
        <v>14262567</v>
      </c>
      <c r="B1379">
        <v>225</v>
      </c>
      <c r="C1379">
        <v>92</v>
      </c>
      <c r="D1379">
        <v>45</v>
      </c>
      <c r="E1379">
        <v>155</v>
      </c>
      <c r="F1379">
        <v>475</v>
      </c>
      <c r="G1379">
        <v>1044</v>
      </c>
      <c r="H1379">
        <v>73.175299999999993</v>
      </c>
    </row>
    <row r="1380" spans="1:8" x14ac:dyDescent="0.25">
      <c r="A1380">
        <v>14262569</v>
      </c>
      <c r="B1380">
        <v>225</v>
      </c>
      <c r="C1380">
        <v>56</v>
      </c>
      <c r="D1380">
        <v>30</v>
      </c>
      <c r="E1380">
        <v>111</v>
      </c>
      <c r="F1380">
        <v>309</v>
      </c>
      <c r="G1380">
        <v>687</v>
      </c>
      <c r="H1380">
        <v>73.743300000000005</v>
      </c>
    </row>
    <row r="1381" spans="1:8" x14ac:dyDescent="0.25">
      <c r="A1381">
        <v>14272433</v>
      </c>
      <c r="B1381">
        <v>3</v>
      </c>
      <c r="C1381">
        <v>0</v>
      </c>
      <c r="D1381">
        <v>0</v>
      </c>
      <c r="E1381">
        <v>2</v>
      </c>
      <c r="F1381">
        <v>4</v>
      </c>
      <c r="G1381">
        <v>8</v>
      </c>
      <c r="H1381">
        <v>0</v>
      </c>
    </row>
    <row r="1382" spans="1:8" x14ac:dyDescent="0.25">
      <c r="A1382">
        <v>14272434</v>
      </c>
      <c r="B1382">
        <v>97</v>
      </c>
      <c r="C1382">
        <v>0</v>
      </c>
      <c r="D1382">
        <v>10</v>
      </c>
      <c r="E1382">
        <v>31</v>
      </c>
      <c r="F1382">
        <v>72</v>
      </c>
      <c r="G1382">
        <v>231</v>
      </c>
      <c r="H1382">
        <v>112.09099999999999</v>
      </c>
    </row>
    <row r="1383" spans="1:8" x14ac:dyDescent="0.25">
      <c r="A1383">
        <v>14272435</v>
      </c>
      <c r="B1383">
        <v>562</v>
      </c>
      <c r="C1383">
        <v>100</v>
      </c>
      <c r="D1383">
        <v>37</v>
      </c>
      <c r="E1383">
        <v>93</v>
      </c>
      <c r="F1383">
        <v>305</v>
      </c>
      <c r="G1383">
        <v>772</v>
      </c>
      <c r="H1383">
        <v>110.093</v>
      </c>
    </row>
    <row r="1384" spans="1:8" x14ac:dyDescent="0.25">
      <c r="A1384">
        <v>14275770</v>
      </c>
      <c r="B1384">
        <v>214</v>
      </c>
      <c r="C1384">
        <v>144</v>
      </c>
      <c r="D1384">
        <v>26</v>
      </c>
      <c r="E1384">
        <v>125</v>
      </c>
      <c r="F1384">
        <v>519</v>
      </c>
      <c r="G1384">
        <v>1078</v>
      </c>
      <c r="H1384">
        <v>29.645800000000001</v>
      </c>
    </row>
    <row r="1385" spans="1:8" x14ac:dyDescent="0.25">
      <c r="A1385">
        <v>14275771</v>
      </c>
      <c r="B1385">
        <v>116</v>
      </c>
      <c r="C1385">
        <v>24</v>
      </c>
      <c r="D1385">
        <v>8</v>
      </c>
      <c r="E1385">
        <v>31</v>
      </c>
      <c r="F1385">
        <v>112</v>
      </c>
      <c r="G1385">
        <v>208</v>
      </c>
      <c r="H1385">
        <v>27.926200000000001</v>
      </c>
    </row>
    <row r="1386" spans="1:8" x14ac:dyDescent="0.25">
      <c r="A1386">
        <v>14275772</v>
      </c>
      <c r="B1386">
        <v>92</v>
      </c>
      <c r="C1386">
        <v>18</v>
      </c>
      <c r="D1386">
        <v>6</v>
      </c>
      <c r="E1386">
        <v>30</v>
      </c>
      <c r="F1386">
        <v>127</v>
      </c>
      <c r="G1386">
        <v>287</v>
      </c>
      <c r="H1386">
        <v>29.8367</v>
      </c>
    </row>
    <row r="1387" spans="1:8" x14ac:dyDescent="0.25">
      <c r="A1387">
        <v>14278530</v>
      </c>
      <c r="B1387">
        <v>-1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</row>
    <row r="1388" spans="1:8" x14ac:dyDescent="0.25">
      <c r="A1388">
        <v>14287181</v>
      </c>
      <c r="B1388">
        <v>106</v>
      </c>
      <c r="C1388">
        <v>0</v>
      </c>
      <c r="D1388">
        <v>6</v>
      </c>
      <c r="E1388">
        <v>24</v>
      </c>
      <c r="F1388">
        <v>112</v>
      </c>
      <c r="G1388">
        <v>647</v>
      </c>
      <c r="H1388">
        <v>74.989999999999995</v>
      </c>
    </row>
    <row r="1389" spans="1:8" x14ac:dyDescent="0.25">
      <c r="A1389">
        <v>14288850</v>
      </c>
      <c r="B1389">
        <v>14</v>
      </c>
      <c r="C1389">
        <v>0</v>
      </c>
      <c r="D1389">
        <v>0</v>
      </c>
      <c r="E1389">
        <v>3</v>
      </c>
      <c r="F1389">
        <v>9</v>
      </c>
      <c r="G1389">
        <v>28</v>
      </c>
      <c r="H1389">
        <v>0</v>
      </c>
    </row>
    <row r="1390" spans="1:8" x14ac:dyDescent="0.25">
      <c r="A1390">
        <v>14289060</v>
      </c>
      <c r="B1390">
        <v>0</v>
      </c>
      <c r="C1390">
        <v>0</v>
      </c>
      <c r="D1390">
        <v>0</v>
      </c>
      <c r="E1390">
        <v>0</v>
      </c>
      <c r="F1390">
        <v>1</v>
      </c>
      <c r="G1390">
        <v>11</v>
      </c>
      <c r="H1390">
        <v>0</v>
      </c>
    </row>
    <row r="1391" spans="1:8" x14ac:dyDescent="0.25">
      <c r="A1391">
        <v>14289061</v>
      </c>
      <c r="B1391">
        <v>28</v>
      </c>
      <c r="C1391">
        <v>0</v>
      </c>
      <c r="D1391">
        <v>2</v>
      </c>
      <c r="E1391">
        <v>9</v>
      </c>
      <c r="F1391">
        <v>47</v>
      </c>
      <c r="G1391">
        <v>166</v>
      </c>
      <c r="H1391">
        <v>9.9700000000000006</v>
      </c>
    </row>
    <row r="1392" spans="1:8" x14ac:dyDescent="0.25">
      <c r="A1392">
        <v>14289563</v>
      </c>
      <c r="B1392">
        <v>44</v>
      </c>
      <c r="C1392">
        <v>0</v>
      </c>
      <c r="D1392">
        <v>7</v>
      </c>
      <c r="E1392">
        <v>27</v>
      </c>
      <c r="F1392">
        <v>85</v>
      </c>
      <c r="G1392">
        <v>600</v>
      </c>
      <c r="H1392">
        <v>48.551400000000001</v>
      </c>
    </row>
    <row r="1393" spans="1:8" x14ac:dyDescent="0.25">
      <c r="A1393">
        <v>14289567</v>
      </c>
      <c r="B1393">
        <v>0</v>
      </c>
      <c r="C1393">
        <v>0</v>
      </c>
      <c r="D1393">
        <v>0</v>
      </c>
      <c r="E1393">
        <v>0</v>
      </c>
      <c r="F1393">
        <v>11</v>
      </c>
      <c r="G1393">
        <v>24</v>
      </c>
      <c r="H1393">
        <v>0</v>
      </c>
    </row>
    <row r="1394" spans="1:8" x14ac:dyDescent="0.25">
      <c r="A1394">
        <v>14289594</v>
      </c>
      <c r="B1394">
        <v>0</v>
      </c>
      <c r="C1394">
        <v>0</v>
      </c>
      <c r="D1394">
        <v>0</v>
      </c>
      <c r="E1394">
        <v>0</v>
      </c>
      <c r="F1394">
        <v>1</v>
      </c>
      <c r="G1394">
        <v>1</v>
      </c>
      <c r="H1394">
        <v>0</v>
      </c>
    </row>
    <row r="1395" spans="1:8" x14ac:dyDescent="0.25">
      <c r="A1395">
        <v>14289855</v>
      </c>
      <c r="B1395">
        <v>24</v>
      </c>
      <c r="C1395">
        <v>0</v>
      </c>
      <c r="D1395">
        <v>1</v>
      </c>
      <c r="E1395">
        <v>2</v>
      </c>
      <c r="F1395">
        <v>4</v>
      </c>
      <c r="G1395">
        <v>31</v>
      </c>
      <c r="H1395">
        <v>129.97</v>
      </c>
    </row>
    <row r="1396" spans="1:8" x14ac:dyDescent="0.25">
      <c r="A1396">
        <v>14289856</v>
      </c>
      <c r="B1396">
        <v>54</v>
      </c>
      <c r="C1396">
        <v>0</v>
      </c>
      <c r="D1396">
        <v>4</v>
      </c>
      <c r="E1396">
        <v>8</v>
      </c>
      <c r="F1396">
        <v>10</v>
      </c>
      <c r="G1396">
        <v>60</v>
      </c>
      <c r="H1396">
        <v>140.16749999999999</v>
      </c>
    </row>
    <row r="1397" spans="1:8" x14ac:dyDescent="0.25">
      <c r="A1397">
        <v>14290812</v>
      </c>
      <c r="B1397">
        <v>15</v>
      </c>
      <c r="C1397">
        <v>0</v>
      </c>
      <c r="D1397">
        <v>0</v>
      </c>
      <c r="E1397">
        <v>0</v>
      </c>
      <c r="F1397">
        <v>0</v>
      </c>
      <c r="G1397">
        <v>2</v>
      </c>
      <c r="H1397">
        <v>0</v>
      </c>
    </row>
    <row r="1398" spans="1:8" x14ac:dyDescent="0.25">
      <c r="A1398">
        <v>14296183</v>
      </c>
      <c r="B1398">
        <v>1</v>
      </c>
      <c r="C1398">
        <v>0</v>
      </c>
      <c r="D1398">
        <v>3</v>
      </c>
      <c r="E1398">
        <v>3</v>
      </c>
      <c r="F1398">
        <v>3</v>
      </c>
      <c r="G1398">
        <v>3</v>
      </c>
      <c r="H1398">
        <v>271.66669999999999</v>
      </c>
    </row>
    <row r="1399" spans="1:8" x14ac:dyDescent="0.25">
      <c r="A1399">
        <v>14296185</v>
      </c>
      <c r="B1399">
        <v>0</v>
      </c>
      <c r="C1399">
        <v>0</v>
      </c>
      <c r="D1399">
        <v>1</v>
      </c>
      <c r="E1399">
        <v>1</v>
      </c>
      <c r="F1399">
        <v>2</v>
      </c>
      <c r="G1399">
        <v>2</v>
      </c>
      <c r="H1399">
        <v>150</v>
      </c>
    </row>
    <row r="1400" spans="1:8" x14ac:dyDescent="0.25">
      <c r="A1400">
        <v>14296186</v>
      </c>
      <c r="B1400">
        <v>3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</row>
    <row r="1401" spans="1:8" x14ac:dyDescent="0.25">
      <c r="A1401">
        <v>14296187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</row>
    <row r="1402" spans="1:8" x14ac:dyDescent="0.25">
      <c r="A1402">
        <v>14296188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</row>
    <row r="1403" spans="1:8" x14ac:dyDescent="0.25">
      <c r="A1403">
        <v>14296480</v>
      </c>
      <c r="B1403">
        <v>40</v>
      </c>
      <c r="C1403">
        <v>4</v>
      </c>
      <c r="D1403">
        <v>0</v>
      </c>
      <c r="E1403">
        <v>0</v>
      </c>
      <c r="F1403">
        <v>2</v>
      </c>
      <c r="G1403">
        <v>12</v>
      </c>
      <c r="H1403">
        <v>0</v>
      </c>
    </row>
    <row r="1404" spans="1:8" x14ac:dyDescent="0.25">
      <c r="A1404">
        <v>14296481</v>
      </c>
      <c r="B1404">
        <v>37</v>
      </c>
      <c r="C1404">
        <v>0</v>
      </c>
      <c r="D1404">
        <v>1</v>
      </c>
      <c r="E1404">
        <v>1</v>
      </c>
      <c r="F1404">
        <v>4</v>
      </c>
      <c r="G1404">
        <v>23</v>
      </c>
      <c r="H1404">
        <v>236.77</v>
      </c>
    </row>
    <row r="1405" spans="1:8" x14ac:dyDescent="0.25">
      <c r="A1405">
        <v>14298285</v>
      </c>
      <c r="B1405">
        <v>147</v>
      </c>
      <c r="C1405">
        <v>0</v>
      </c>
      <c r="D1405">
        <v>19</v>
      </c>
      <c r="E1405">
        <v>87</v>
      </c>
      <c r="F1405">
        <v>316</v>
      </c>
      <c r="G1405">
        <v>702</v>
      </c>
      <c r="H1405">
        <v>23.376300000000001</v>
      </c>
    </row>
    <row r="1406" spans="1:8" x14ac:dyDescent="0.25">
      <c r="A1406">
        <v>14299624</v>
      </c>
      <c r="B1406">
        <v>68</v>
      </c>
      <c r="C1406">
        <v>20</v>
      </c>
      <c r="D1406">
        <v>7</v>
      </c>
      <c r="E1406">
        <v>28</v>
      </c>
      <c r="F1406">
        <v>73</v>
      </c>
      <c r="G1406">
        <v>156</v>
      </c>
      <c r="H1406">
        <v>4.2186000000000003</v>
      </c>
    </row>
    <row r="1407" spans="1:8" x14ac:dyDescent="0.25">
      <c r="A1407">
        <v>14299625</v>
      </c>
      <c r="B1407">
        <v>58</v>
      </c>
      <c r="C1407">
        <v>20</v>
      </c>
      <c r="D1407">
        <v>11</v>
      </c>
      <c r="E1407">
        <v>30</v>
      </c>
      <c r="F1407">
        <v>76</v>
      </c>
      <c r="G1407">
        <v>165</v>
      </c>
      <c r="H1407">
        <v>6.9363999999999999</v>
      </c>
    </row>
    <row r="1408" spans="1:8" x14ac:dyDescent="0.25">
      <c r="A1408">
        <v>14300445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</row>
    <row r="1409" spans="1:8" x14ac:dyDescent="0.25">
      <c r="A1409">
        <v>14307916</v>
      </c>
      <c r="B1409">
        <v>3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</row>
    <row r="1410" spans="1:8" x14ac:dyDescent="0.25">
      <c r="A1410">
        <v>14308052</v>
      </c>
      <c r="B1410">
        <v>12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</row>
    <row r="1411" spans="1:8" x14ac:dyDescent="0.25">
      <c r="A1411">
        <v>14308090</v>
      </c>
      <c r="B1411">
        <v>1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</row>
    <row r="1412" spans="1:8" x14ac:dyDescent="0.25">
      <c r="A1412">
        <v>14308092</v>
      </c>
      <c r="B1412">
        <v>1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</row>
    <row r="1413" spans="1:8" x14ac:dyDescent="0.25">
      <c r="A1413">
        <v>14308093</v>
      </c>
      <c r="B1413">
        <v>1</v>
      </c>
      <c r="C1413">
        <v>0</v>
      </c>
      <c r="D1413">
        <v>0</v>
      </c>
      <c r="E1413">
        <v>0</v>
      </c>
      <c r="F1413">
        <v>1</v>
      </c>
      <c r="G1413">
        <v>1</v>
      </c>
      <c r="H1413">
        <v>0</v>
      </c>
    </row>
    <row r="1414" spans="1:8" x14ac:dyDescent="0.25">
      <c r="A1414">
        <v>14308366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</row>
    <row r="1415" spans="1:8" x14ac:dyDescent="0.25">
      <c r="A1415">
        <v>14308367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</row>
    <row r="1416" spans="1:8" x14ac:dyDescent="0.25">
      <c r="A1416">
        <v>14308612</v>
      </c>
      <c r="B1416">
        <v>4</v>
      </c>
      <c r="C1416">
        <v>0</v>
      </c>
      <c r="D1416">
        <v>0</v>
      </c>
      <c r="E1416">
        <v>0</v>
      </c>
      <c r="F1416">
        <v>2</v>
      </c>
      <c r="G1416">
        <v>2</v>
      </c>
      <c r="H1416">
        <v>0</v>
      </c>
    </row>
    <row r="1417" spans="1:8" x14ac:dyDescent="0.25">
      <c r="A1417">
        <v>14308614</v>
      </c>
      <c r="B1417">
        <v>12</v>
      </c>
      <c r="C1417">
        <v>0</v>
      </c>
      <c r="D1417">
        <v>3</v>
      </c>
      <c r="E1417">
        <v>9</v>
      </c>
      <c r="F1417">
        <v>35</v>
      </c>
      <c r="G1417">
        <v>40</v>
      </c>
      <c r="H1417">
        <v>1.66</v>
      </c>
    </row>
    <row r="1418" spans="1:8" x14ac:dyDescent="0.25">
      <c r="A1418">
        <v>14308615</v>
      </c>
      <c r="B1418">
        <v>51</v>
      </c>
      <c r="C1418">
        <v>0</v>
      </c>
      <c r="D1418">
        <v>6</v>
      </c>
      <c r="E1418">
        <v>16</v>
      </c>
      <c r="F1418">
        <v>48</v>
      </c>
      <c r="G1418">
        <v>87</v>
      </c>
      <c r="H1418">
        <v>2.99</v>
      </c>
    </row>
    <row r="1419" spans="1:8" x14ac:dyDescent="0.25">
      <c r="A1419">
        <v>14308616</v>
      </c>
      <c r="B1419">
        <v>51</v>
      </c>
      <c r="C1419">
        <v>20</v>
      </c>
      <c r="D1419">
        <v>2</v>
      </c>
      <c r="E1419">
        <v>8</v>
      </c>
      <c r="F1419">
        <v>32</v>
      </c>
      <c r="G1419">
        <v>69</v>
      </c>
      <c r="H1419">
        <v>2.99</v>
      </c>
    </row>
    <row r="1420" spans="1:8" x14ac:dyDescent="0.25">
      <c r="A1420">
        <v>14308625</v>
      </c>
      <c r="B1420">
        <v>20</v>
      </c>
      <c r="C1420">
        <v>0</v>
      </c>
      <c r="D1420">
        <v>0</v>
      </c>
      <c r="E1420">
        <v>0</v>
      </c>
      <c r="F1420">
        <v>3</v>
      </c>
      <c r="G1420">
        <v>4</v>
      </c>
      <c r="H1420">
        <v>0</v>
      </c>
    </row>
    <row r="1421" spans="1:8" x14ac:dyDescent="0.25">
      <c r="A1421">
        <v>14310028</v>
      </c>
      <c r="B1421">
        <v>1</v>
      </c>
      <c r="C1421">
        <v>0</v>
      </c>
      <c r="D1421">
        <v>0</v>
      </c>
      <c r="E1421">
        <v>0</v>
      </c>
      <c r="F1421">
        <v>1</v>
      </c>
      <c r="G1421">
        <v>1</v>
      </c>
      <c r="H1421">
        <v>0</v>
      </c>
    </row>
    <row r="1422" spans="1:8" x14ac:dyDescent="0.25">
      <c r="A1422">
        <v>14310030</v>
      </c>
      <c r="B1422">
        <v>1</v>
      </c>
      <c r="C1422">
        <v>0</v>
      </c>
      <c r="D1422">
        <v>0</v>
      </c>
      <c r="E1422">
        <v>1</v>
      </c>
      <c r="F1422">
        <v>8</v>
      </c>
      <c r="G1422">
        <v>64</v>
      </c>
      <c r="H1422">
        <v>0</v>
      </c>
    </row>
    <row r="1423" spans="1:8" x14ac:dyDescent="0.25">
      <c r="A1423">
        <v>14310238</v>
      </c>
      <c r="B1423">
        <v>1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</row>
    <row r="1424" spans="1:8" x14ac:dyDescent="0.25">
      <c r="A1424">
        <v>14310239</v>
      </c>
      <c r="B1424">
        <v>11</v>
      </c>
      <c r="C1424">
        <v>0</v>
      </c>
      <c r="D1424">
        <v>3</v>
      </c>
      <c r="E1424">
        <v>3</v>
      </c>
      <c r="F1424">
        <v>5</v>
      </c>
      <c r="G1424">
        <v>10</v>
      </c>
      <c r="H1424">
        <v>196.66669999999999</v>
      </c>
    </row>
    <row r="1425" spans="1:8" x14ac:dyDescent="0.25">
      <c r="A1425">
        <v>14310242</v>
      </c>
      <c r="B1425">
        <v>1</v>
      </c>
      <c r="C1425">
        <v>0</v>
      </c>
      <c r="D1425">
        <v>3</v>
      </c>
      <c r="E1425">
        <v>6</v>
      </c>
      <c r="F1425">
        <v>6</v>
      </c>
      <c r="G1425">
        <v>8</v>
      </c>
      <c r="H1425">
        <v>216.66669999999999</v>
      </c>
    </row>
    <row r="1426" spans="1:8" x14ac:dyDescent="0.25">
      <c r="A1426">
        <v>14310396</v>
      </c>
      <c r="B1426">
        <v>9</v>
      </c>
      <c r="C1426">
        <v>0</v>
      </c>
      <c r="D1426">
        <v>0</v>
      </c>
      <c r="E1426">
        <v>0</v>
      </c>
      <c r="F1426">
        <v>1</v>
      </c>
      <c r="G1426">
        <v>4</v>
      </c>
      <c r="H1426">
        <v>0</v>
      </c>
    </row>
    <row r="1427" spans="1:8" x14ac:dyDescent="0.25">
      <c r="A1427">
        <v>14313203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</row>
    <row r="1428" spans="1:8" x14ac:dyDescent="0.25">
      <c r="A1428">
        <v>14313211</v>
      </c>
      <c r="B1428">
        <v>0</v>
      </c>
      <c r="C1428">
        <v>0</v>
      </c>
      <c r="D1428">
        <v>1</v>
      </c>
      <c r="E1428">
        <v>1</v>
      </c>
      <c r="F1428">
        <v>1</v>
      </c>
      <c r="G1428">
        <v>2</v>
      </c>
      <c r="H1428">
        <v>400</v>
      </c>
    </row>
    <row r="1429" spans="1:8" x14ac:dyDescent="0.25">
      <c r="A1429">
        <v>14313215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</row>
    <row r="1430" spans="1:8" x14ac:dyDescent="0.25">
      <c r="A1430">
        <v>14313216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</row>
    <row r="1431" spans="1:8" x14ac:dyDescent="0.25">
      <c r="A1431">
        <v>14313225</v>
      </c>
      <c r="B1431">
        <v>-1</v>
      </c>
      <c r="C1431">
        <v>0</v>
      </c>
      <c r="D1431">
        <v>0</v>
      </c>
      <c r="E1431">
        <v>0</v>
      </c>
      <c r="F1431">
        <v>1</v>
      </c>
      <c r="G1431">
        <v>1</v>
      </c>
      <c r="H1431">
        <v>0</v>
      </c>
    </row>
    <row r="1432" spans="1:8" x14ac:dyDescent="0.25">
      <c r="A1432">
        <v>14313226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1</v>
      </c>
      <c r="H1432">
        <v>0</v>
      </c>
    </row>
    <row r="1433" spans="1:8" x14ac:dyDescent="0.25">
      <c r="A1433">
        <v>14313227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-1</v>
      </c>
      <c r="H1433">
        <v>0</v>
      </c>
    </row>
    <row r="1434" spans="1:8" x14ac:dyDescent="0.25">
      <c r="A1434">
        <v>14313228</v>
      </c>
      <c r="B1434">
        <v>1</v>
      </c>
      <c r="C1434">
        <v>0</v>
      </c>
      <c r="D1434">
        <v>0</v>
      </c>
      <c r="E1434">
        <v>1</v>
      </c>
      <c r="F1434">
        <v>1</v>
      </c>
      <c r="G1434">
        <v>1</v>
      </c>
      <c r="H1434">
        <v>0</v>
      </c>
    </row>
    <row r="1435" spans="1:8" x14ac:dyDescent="0.25">
      <c r="A1435">
        <v>14313229</v>
      </c>
      <c r="B1435">
        <v>1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</row>
    <row r="1436" spans="1:8" x14ac:dyDescent="0.25">
      <c r="A1436">
        <v>14313230</v>
      </c>
      <c r="B1436">
        <v>0</v>
      </c>
      <c r="C1436">
        <v>0</v>
      </c>
      <c r="D1436">
        <v>0</v>
      </c>
      <c r="E1436">
        <v>0</v>
      </c>
      <c r="F1436">
        <v>1</v>
      </c>
      <c r="G1436">
        <v>1</v>
      </c>
      <c r="H1436">
        <v>0</v>
      </c>
    </row>
    <row r="1437" spans="1:8" x14ac:dyDescent="0.25">
      <c r="A1437">
        <v>14313231</v>
      </c>
      <c r="B1437">
        <v>1</v>
      </c>
      <c r="C1437">
        <v>0</v>
      </c>
      <c r="D1437">
        <v>1</v>
      </c>
      <c r="E1437">
        <v>1</v>
      </c>
      <c r="F1437">
        <v>1</v>
      </c>
      <c r="G1437">
        <v>2</v>
      </c>
      <c r="H1437">
        <v>50</v>
      </c>
    </row>
    <row r="1438" spans="1:8" x14ac:dyDescent="0.25">
      <c r="A1438">
        <v>14313232</v>
      </c>
      <c r="B1438">
        <v>4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</row>
    <row r="1439" spans="1:8" x14ac:dyDescent="0.25">
      <c r="A1439">
        <v>14317491</v>
      </c>
      <c r="B1439">
        <v>31</v>
      </c>
      <c r="C1439">
        <v>0</v>
      </c>
      <c r="D1439">
        <v>4</v>
      </c>
      <c r="E1439">
        <v>6</v>
      </c>
      <c r="F1439">
        <v>23</v>
      </c>
      <c r="G1439">
        <v>47</v>
      </c>
      <c r="H1439">
        <v>656.24</v>
      </c>
    </row>
    <row r="1440" spans="1:8" x14ac:dyDescent="0.25">
      <c r="A1440">
        <v>14319224</v>
      </c>
      <c r="B1440">
        <v>265</v>
      </c>
      <c r="C1440">
        <v>10</v>
      </c>
      <c r="D1440">
        <v>10</v>
      </c>
      <c r="E1440">
        <v>46</v>
      </c>
      <c r="F1440">
        <v>166</v>
      </c>
      <c r="G1440">
        <v>459</v>
      </c>
      <c r="H1440">
        <v>223.88300000000001</v>
      </c>
    </row>
    <row r="1441" spans="1:8" x14ac:dyDescent="0.25">
      <c r="A1441">
        <v>14319590</v>
      </c>
      <c r="B1441">
        <v>1</v>
      </c>
      <c r="C1441">
        <v>0</v>
      </c>
      <c r="D1441">
        <v>1</v>
      </c>
      <c r="E1441">
        <v>1</v>
      </c>
      <c r="F1441">
        <v>1</v>
      </c>
      <c r="G1441">
        <v>1</v>
      </c>
      <c r="H1441">
        <v>149</v>
      </c>
    </row>
    <row r="1442" spans="1:8" x14ac:dyDescent="0.25">
      <c r="A1442">
        <v>14319591</v>
      </c>
      <c r="B1442">
        <v>4</v>
      </c>
      <c r="C1442">
        <v>0</v>
      </c>
      <c r="D1442">
        <v>0</v>
      </c>
      <c r="E1442">
        <v>1</v>
      </c>
      <c r="F1442">
        <v>1</v>
      </c>
      <c r="G1442">
        <v>2</v>
      </c>
      <c r="H1442">
        <v>0</v>
      </c>
    </row>
    <row r="1443" spans="1:8" x14ac:dyDescent="0.25">
      <c r="A1443">
        <v>14319592</v>
      </c>
      <c r="B1443">
        <v>4</v>
      </c>
      <c r="C1443">
        <v>0</v>
      </c>
      <c r="D1443">
        <v>0</v>
      </c>
      <c r="E1443">
        <v>1</v>
      </c>
      <c r="F1443">
        <v>7</v>
      </c>
      <c r="G1443">
        <v>14</v>
      </c>
      <c r="H1443">
        <v>0</v>
      </c>
    </row>
    <row r="1444" spans="1:8" x14ac:dyDescent="0.25">
      <c r="A1444">
        <v>14321181</v>
      </c>
      <c r="B1444">
        <v>80</v>
      </c>
      <c r="C1444">
        <v>0</v>
      </c>
      <c r="D1444">
        <v>0</v>
      </c>
      <c r="E1444">
        <v>3</v>
      </c>
      <c r="F1444">
        <v>27</v>
      </c>
      <c r="G1444">
        <v>101</v>
      </c>
      <c r="H1444">
        <v>0</v>
      </c>
    </row>
    <row r="1445" spans="1:8" x14ac:dyDescent="0.25">
      <c r="A1445">
        <v>14321182</v>
      </c>
      <c r="B1445">
        <v>31</v>
      </c>
      <c r="C1445">
        <v>0</v>
      </c>
      <c r="D1445">
        <v>0</v>
      </c>
      <c r="E1445">
        <v>3</v>
      </c>
      <c r="F1445">
        <v>68</v>
      </c>
      <c r="G1445">
        <v>130</v>
      </c>
      <c r="H1445">
        <v>0</v>
      </c>
    </row>
    <row r="1446" spans="1:8" x14ac:dyDescent="0.25">
      <c r="A1446">
        <v>14323178</v>
      </c>
      <c r="B1446">
        <v>131</v>
      </c>
      <c r="C1446">
        <v>0</v>
      </c>
      <c r="D1446">
        <v>5</v>
      </c>
      <c r="E1446">
        <v>19</v>
      </c>
      <c r="F1446">
        <v>83</v>
      </c>
      <c r="G1446">
        <v>189</v>
      </c>
      <c r="H1446">
        <v>77.384</v>
      </c>
    </row>
    <row r="1447" spans="1:8" x14ac:dyDescent="0.25">
      <c r="A1447">
        <v>14324600</v>
      </c>
      <c r="B1447">
        <v>2</v>
      </c>
      <c r="C1447">
        <v>0</v>
      </c>
      <c r="D1447">
        <v>0</v>
      </c>
      <c r="E1447">
        <v>0</v>
      </c>
      <c r="F1447">
        <v>0</v>
      </c>
      <c r="G1447">
        <v>1</v>
      </c>
      <c r="H1447">
        <v>0</v>
      </c>
    </row>
    <row r="1448" spans="1:8" x14ac:dyDescent="0.25">
      <c r="A1448">
        <v>14324664</v>
      </c>
      <c r="B1448">
        <v>3</v>
      </c>
      <c r="C1448">
        <v>0</v>
      </c>
      <c r="D1448">
        <v>0</v>
      </c>
      <c r="E1448">
        <v>1</v>
      </c>
      <c r="F1448">
        <v>1</v>
      </c>
      <c r="G1448">
        <v>13</v>
      </c>
      <c r="H1448">
        <v>0</v>
      </c>
    </row>
    <row r="1449" spans="1:8" x14ac:dyDescent="0.25">
      <c r="A1449">
        <v>14324665</v>
      </c>
      <c r="B1449">
        <v>4</v>
      </c>
      <c r="C1449">
        <v>0</v>
      </c>
      <c r="D1449">
        <v>0</v>
      </c>
      <c r="E1449">
        <v>0</v>
      </c>
      <c r="F1449">
        <v>4</v>
      </c>
      <c r="G1449">
        <v>6</v>
      </c>
      <c r="H1449">
        <v>0</v>
      </c>
    </row>
    <row r="1450" spans="1:8" x14ac:dyDescent="0.25">
      <c r="A1450">
        <v>14324668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1</v>
      </c>
      <c r="H1450">
        <v>0</v>
      </c>
    </row>
    <row r="1451" spans="1:8" x14ac:dyDescent="0.25">
      <c r="A1451">
        <v>14324669</v>
      </c>
      <c r="B1451">
        <v>4</v>
      </c>
      <c r="C1451">
        <v>0</v>
      </c>
      <c r="D1451">
        <v>1</v>
      </c>
      <c r="E1451">
        <v>2</v>
      </c>
      <c r="F1451">
        <v>3</v>
      </c>
      <c r="G1451">
        <v>10</v>
      </c>
      <c r="H1451">
        <v>35.97</v>
      </c>
    </row>
    <row r="1452" spans="1:8" x14ac:dyDescent="0.25">
      <c r="A1452">
        <v>14324670</v>
      </c>
      <c r="B1452">
        <v>5</v>
      </c>
      <c r="C1452">
        <v>0</v>
      </c>
      <c r="D1452">
        <v>0</v>
      </c>
      <c r="E1452">
        <v>2</v>
      </c>
      <c r="F1452">
        <v>4</v>
      </c>
      <c r="G1452">
        <v>16</v>
      </c>
      <c r="H1452">
        <v>0</v>
      </c>
    </row>
    <row r="1453" spans="1:8" x14ac:dyDescent="0.25">
      <c r="A1453">
        <v>14324671</v>
      </c>
      <c r="B1453">
        <v>3</v>
      </c>
      <c r="C1453">
        <v>0</v>
      </c>
      <c r="D1453">
        <v>0</v>
      </c>
      <c r="E1453">
        <v>0</v>
      </c>
      <c r="F1453">
        <v>1</v>
      </c>
      <c r="G1453">
        <v>5</v>
      </c>
      <c r="H1453">
        <v>0</v>
      </c>
    </row>
    <row r="1454" spans="1:8" x14ac:dyDescent="0.25">
      <c r="A1454">
        <v>14324672</v>
      </c>
      <c r="B1454">
        <v>10</v>
      </c>
      <c r="C1454">
        <v>0</v>
      </c>
      <c r="D1454">
        <v>0</v>
      </c>
      <c r="E1454">
        <v>1</v>
      </c>
      <c r="F1454">
        <v>3</v>
      </c>
      <c r="G1454">
        <v>5</v>
      </c>
      <c r="H1454">
        <v>0</v>
      </c>
    </row>
    <row r="1455" spans="1:8" x14ac:dyDescent="0.25">
      <c r="A1455">
        <v>14324673</v>
      </c>
      <c r="B1455">
        <v>2</v>
      </c>
      <c r="C1455">
        <v>0</v>
      </c>
      <c r="D1455">
        <v>0</v>
      </c>
      <c r="E1455">
        <v>0</v>
      </c>
      <c r="F1455">
        <v>0</v>
      </c>
      <c r="G1455">
        <v>2</v>
      </c>
      <c r="H1455">
        <v>0</v>
      </c>
    </row>
    <row r="1456" spans="1:8" x14ac:dyDescent="0.25">
      <c r="A1456">
        <v>14324675</v>
      </c>
      <c r="B1456">
        <v>16</v>
      </c>
      <c r="C1456">
        <v>0</v>
      </c>
      <c r="D1456">
        <v>-1</v>
      </c>
      <c r="E1456">
        <v>0</v>
      </c>
      <c r="F1456">
        <v>2</v>
      </c>
      <c r="G1456">
        <v>4</v>
      </c>
      <c r="H1456">
        <v>179.99</v>
      </c>
    </row>
    <row r="1457" spans="1:8" x14ac:dyDescent="0.25">
      <c r="A1457">
        <v>14326785</v>
      </c>
      <c r="B1457">
        <v>1</v>
      </c>
      <c r="C1457">
        <v>0</v>
      </c>
      <c r="D1457">
        <v>0</v>
      </c>
      <c r="E1457">
        <v>0</v>
      </c>
      <c r="F1457">
        <v>1</v>
      </c>
      <c r="G1457">
        <v>1</v>
      </c>
      <c r="H1457">
        <v>0</v>
      </c>
    </row>
    <row r="1458" spans="1:8" x14ac:dyDescent="0.25">
      <c r="A1458">
        <v>14326786</v>
      </c>
      <c r="B1458">
        <v>55</v>
      </c>
      <c r="C1458">
        <v>0</v>
      </c>
      <c r="D1458">
        <v>0</v>
      </c>
      <c r="E1458">
        <v>7</v>
      </c>
      <c r="F1458">
        <v>21</v>
      </c>
      <c r="G1458">
        <v>96</v>
      </c>
      <c r="H1458">
        <v>0</v>
      </c>
    </row>
    <row r="1459" spans="1:8" x14ac:dyDescent="0.25">
      <c r="A1459">
        <v>14337772</v>
      </c>
      <c r="B1459">
        <v>13</v>
      </c>
      <c r="C1459">
        <v>0</v>
      </c>
      <c r="D1459">
        <v>8</v>
      </c>
      <c r="E1459">
        <v>11</v>
      </c>
      <c r="F1459">
        <v>11</v>
      </c>
      <c r="G1459">
        <v>13</v>
      </c>
      <c r="H1459">
        <v>47.07</v>
      </c>
    </row>
    <row r="1460" spans="1:8" x14ac:dyDescent="0.25">
      <c r="A1460">
        <v>14338690</v>
      </c>
      <c r="B1460">
        <v>5</v>
      </c>
      <c r="C1460">
        <v>0</v>
      </c>
      <c r="D1460">
        <v>0</v>
      </c>
      <c r="E1460">
        <v>0</v>
      </c>
      <c r="F1460">
        <v>1</v>
      </c>
      <c r="G1460">
        <v>3</v>
      </c>
      <c r="H1460">
        <v>0</v>
      </c>
    </row>
    <row r="1461" spans="1:8" x14ac:dyDescent="0.25">
      <c r="A1461">
        <v>14338691</v>
      </c>
      <c r="B1461">
        <v>5</v>
      </c>
      <c r="C1461">
        <v>0</v>
      </c>
      <c r="D1461">
        <v>0</v>
      </c>
      <c r="E1461">
        <v>0</v>
      </c>
      <c r="F1461">
        <v>2</v>
      </c>
      <c r="G1461">
        <v>2</v>
      </c>
      <c r="H1461">
        <v>0</v>
      </c>
    </row>
    <row r="1462" spans="1:8" x14ac:dyDescent="0.25">
      <c r="A1462">
        <v>14338692</v>
      </c>
      <c r="B1462">
        <v>370</v>
      </c>
      <c r="C1462">
        <v>0</v>
      </c>
      <c r="D1462">
        <v>2</v>
      </c>
      <c r="E1462">
        <v>12</v>
      </c>
      <c r="F1462">
        <v>91</v>
      </c>
      <c r="G1462">
        <v>142</v>
      </c>
      <c r="H1462">
        <v>47.22</v>
      </c>
    </row>
    <row r="1463" spans="1:8" x14ac:dyDescent="0.25">
      <c r="A1463">
        <v>14338694</v>
      </c>
      <c r="B1463">
        <v>60</v>
      </c>
      <c r="C1463">
        <v>0</v>
      </c>
      <c r="D1463">
        <v>3</v>
      </c>
      <c r="E1463">
        <v>16</v>
      </c>
      <c r="F1463">
        <v>51</v>
      </c>
      <c r="G1463">
        <v>116</v>
      </c>
      <c r="H1463">
        <v>22.436699999999998</v>
      </c>
    </row>
    <row r="1464" spans="1:8" x14ac:dyDescent="0.25">
      <c r="A1464">
        <v>14338695</v>
      </c>
      <c r="B1464">
        <v>4</v>
      </c>
      <c r="C1464">
        <v>0</v>
      </c>
      <c r="D1464">
        <v>0</v>
      </c>
      <c r="E1464">
        <v>1</v>
      </c>
      <c r="F1464">
        <v>15</v>
      </c>
      <c r="G1464">
        <v>29</v>
      </c>
      <c r="H1464">
        <v>0</v>
      </c>
    </row>
    <row r="1465" spans="1:8" x14ac:dyDescent="0.25">
      <c r="A1465">
        <v>14338696</v>
      </c>
      <c r="B1465">
        <v>100</v>
      </c>
      <c r="C1465">
        <v>0</v>
      </c>
      <c r="D1465">
        <v>3</v>
      </c>
      <c r="E1465">
        <v>6</v>
      </c>
      <c r="F1465">
        <v>21</v>
      </c>
      <c r="G1465">
        <v>35</v>
      </c>
      <c r="H1465">
        <v>71.276700000000005</v>
      </c>
    </row>
    <row r="1466" spans="1:8" x14ac:dyDescent="0.25">
      <c r="A1466">
        <v>14338697</v>
      </c>
      <c r="B1466">
        <v>190</v>
      </c>
      <c r="C1466">
        <v>0</v>
      </c>
      <c r="D1466">
        <v>25</v>
      </c>
      <c r="E1466">
        <v>62</v>
      </c>
      <c r="F1466">
        <v>188</v>
      </c>
      <c r="G1466">
        <v>440</v>
      </c>
      <c r="H1466">
        <v>29.976800000000001</v>
      </c>
    </row>
    <row r="1467" spans="1:8" x14ac:dyDescent="0.25">
      <c r="A1467">
        <v>14339843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</row>
    <row r="1468" spans="1:8" x14ac:dyDescent="0.25">
      <c r="A1468">
        <v>14339844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</row>
    <row r="1469" spans="1:8" x14ac:dyDescent="0.25">
      <c r="A1469">
        <v>14339845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1</v>
      </c>
      <c r="H1469">
        <v>0</v>
      </c>
    </row>
    <row r="1470" spans="1:8" x14ac:dyDescent="0.25">
      <c r="A1470">
        <v>14339846</v>
      </c>
      <c r="B1470">
        <v>0</v>
      </c>
      <c r="C1470">
        <v>0</v>
      </c>
      <c r="D1470">
        <v>0</v>
      </c>
      <c r="E1470">
        <v>0</v>
      </c>
      <c r="F1470">
        <v>1</v>
      </c>
      <c r="G1470">
        <v>1</v>
      </c>
      <c r="H1470">
        <v>0</v>
      </c>
    </row>
    <row r="1471" spans="1:8" x14ac:dyDescent="0.25">
      <c r="A1471">
        <v>14339849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</row>
    <row r="1472" spans="1:8" x14ac:dyDescent="0.25">
      <c r="A1472">
        <v>14341948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</row>
    <row r="1473" spans="1:8" x14ac:dyDescent="0.25">
      <c r="A1473">
        <v>14343267</v>
      </c>
      <c r="B1473">
        <v>84</v>
      </c>
      <c r="C1473">
        <v>22</v>
      </c>
      <c r="D1473">
        <v>9</v>
      </c>
      <c r="E1473">
        <v>33</v>
      </c>
      <c r="F1473">
        <v>101</v>
      </c>
      <c r="G1473">
        <v>198</v>
      </c>
      <c r="H1473">
        <v>49.1967</v>
      </c>
    </row>
    <row r="1474" spans="1:8" x14ac:dyDescent="0.25">
      <c r="A1474">
        <v>14344122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2</v>
      </c>
      <c r="H1474">
        <v>0</v>
      </c>
    </row>
    <row r="1475" spans="1:8" x14ac:dyDescent="0.25">
      <c r="A1475">
        <v>14344961</v>
      </c>
      <c r="B1475">
        <v>12</v>
      </c>
      <c r="C1475">
        <v>0</v>
      </c>
      <c r="D1475">
        <v>1</v>
      </c>
      <c r="E1475">
        <v>2</v>
      </c>
      <c r="F1475">
        <v>3</v>
      </c>
      <c r="G1475">
        <v>14</v>
      </c>
      <c r="H1475">
        <v>38.15</v>
      </c>
    </row>
    <row r="1476" spans="1:8" x14ac:dyDescent="0.25">
      <c r="A1476">
        <v>14344962</v>
      </c>
      <c r="B1476">
        <v>5</v>
      </c>
      <c r="C1476">
        <v>0</v>
      </c>
      <c r="D1476">
        <v>0</v>
      </c>
      <c r="E1476">
        <v>0</v>
      </c>
      <c r="F1476">
        <v>5</v>
      </c>
      <c r="G1476">
        <v>7</v>
      </c>
      <c r="H1476">
        <v>0</v>
      </c>
    </row>
    <row r="1477" spans="1:8" x14ac:dyDescent="0.25">
      <c r="A1477">
        <v>14344972</v>
      </c>
      <c r="B1477">
        <v>27</v>
      </c>
      <c r="C1477">
        <v>0</v>
      </c>
      <c r="D1477">
        <v>0</v>
      </c>
      <c r="E1477">
        <v>6</v>
      </c>
      <c r="F1477">
        <v>16</v>
      </c>
      <c r="G1477">
        <v>29</v>
      </c>
      <c r="H1477">
        <v>0</v>
      </c>
    </row>
    <row r="1478" spans="1:8" x14ac:dyDescent="0.25">
      <c r="A1478">
        <v>14344973</v>
      </c>
      <c r="B1478">
        <v>15</v>
      </c>
      <c r="C1478">
        <v>0</v>
      </c>
      <c r="D1478">
        <v>0</v>
      </c>
      <c r="E1478">
        <v>-1</v>
      </c>
      <c r="F1478">
        <v>2</v>
      </c>
      <c r="G1478">
        <v>3</v>
      </c>
      <c r="H1478">
        <v>0</v>
      </c>
    </row>
    <row r="1479" spans="1:8" x14ac:dyDescent="0.25">
      <c r="A1479">
        <v>14344975</v>
      </c>
      <c r="B1479">
        <v>10</v>
      </c>
      <c r="C1479">
        <v>0</v>
      </c>
      <c r="D1479">
        <v>0</v>
      </c>
      <c r="E1479">
        <v>0</v>
      </c>
      <c r="F1479">
        <v>2</v>
      </c>
      <c r="G1479">
        <v>13</v>
      </c>
      <c r="H1479">
        <v>0</v>
      </c>
    </row>
    <row r="1480" spans="1:8" x14ac:dyDescent="0.25">
      <c r="A1480">
        <v>14347962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</row>
    <row r="1481" spans="1:8" x14ac:dyDescent="0.25">
      <c r="A1481">
        <v>14348031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</row>
    <row r="1482" spans="1:8" x14ac:dyDescent="0.25">
      <c r="A1482">
        <v>14348036</v>
      </c>
      <c r="B1482">
        <v>1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</row>
    <row r="1483" spans="1:8" x14ac:dyDescent="0.25">
      <c r="A1483">
        <v>14348042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</row>
    <row r="1484" spans="1:8" x14ac:dyDescent="0.25">
      <c r="A1484">
        <v>14348891</v>
      </c>
      <c r="B1484">
        <v>8</v>
      </c>
      <c r="C1484">
        <v>0</v>
      </c>
      <c r="D1484">
        <v>0</v>
      </c>
      <c r="E1484">
        <v>1</v>
      </c>
      <c r="F1484">
        <v>3</v>
      </c>
      <c r="G1484">
        <v>28</v>
      </c>
      <c r="H1484">
        <v>0</v>
      </c>
    </row>
    <row r="1485" spans="1:8" x14ac:dyDescent="0.25">
      <c r="A1485">
        <v>14348892</v>
      </c>
      <c r="B1485">
        <v>27</v>
      </c>
      <c r="C1485">
        <v>0</v>
      </c>
      <c r="D1485">
        <v>1</v>
      </c>
      <c r="E1485">
        <v>3</v>
      </c>
      <c r="F1485">
        <v>7</v>
      </c>
      <c r="G1485">
        <v>24</v>
      </c>
      <c r="H1485">
        <v>149.99</v>
      </c>
    </row>
    <row r="1486" spans="1:8" x14ac:dyDescent="0.25">
      <c r="A1486">
        <v>14348893</v>
      </c>
      <c r="B1486">
        <v>476</v>
      </c>
      <c r="C1486">
        <v>8</v>
      </c>
      <c r="D1486">
        <v>11</v>
      </c>
      <c r="E1486">
        <v>44</v>
      </c>
      <c r="F1486">
        <v>179</v>
      </c>
      <c r="G1486">
        <v>486</v>
      </c>
      <c r="H1486">
        <v>286.85359999999997</v>
      </c>
    </row>
    <row r="1487" spans="1:8" x14ac:dyDescent="0.25">
      <c r="A1487">
        <v>14348894</v>
      </c>
      <c r="B1487">
        <v>378</v>
      </c>
      <c r="C1487">
        <v>0</v>
      </c>
      <c r="D1487">
        <v>8</v>
      </c>
      <c r="E1487">
        <v>19</v>
      </c>
      <c r="F1487">
        <v>74</v>
      </c>
      <c r="G1487">
        <v>170</v>
      </c>
      <c r="H1487">
        <v>286.64879999999999</v>
      </c>
    </row>
    <row r="1488" spans="1:8" x14ac:dyDescent="0.25">
      <c r="A1488">
        <v>14349176</v>
      </c>
      <c r="B1488">
        <v>279</v>
      </c>
      <c r="C1488">
        <v>0</v>
      </c>
      <c r="D1488">
        <v>3</v>
      </c>
      <c r="E1488">
        <v>7</v>
      </c>
      <c r="F1488">
        <v>16</v>
      </c>
      <c r="G1488">
        <v>43</v>
      </c>
      <c r="H1488">
        <v>3.26</v>
      </c>
    </row>
    <row r="1489" spans="1:8" x14ac:dyDescent="0.25">
      <c r="A1489">
        <v>14349177</v>
      </c>
      <c r="B1489">
        <v>439</v>
      </c>
      <c r="C1489">
        <v>0</v>
      </c>
      <c r="D1489">
        <v>0</v>
      </c>
      <c r="E1489">
        <v>4</v>
      </c>
      <c r="F1489">
        <v>23</v>
      </c>
      <c r="G1489">
        <v>46</v>
      </c>
      <c r="H1489">
        <v>0</v>
      </c>
    </row>
    <row r="1490" spans="1:8" x14ac:dyDescent="0.25">
      <c r="A1490">
        <v>14349178</v>
      </c>
      <c r="B1490">
        <v>122</v>
      </c>
      <c r="C1490">
        <v>0</v>
      </c>
      <c r="D1490">
        <v>0</v>
      </c>
      <c r="E1490">
        <v>4</v>
      </c>
      <c r="F1490">
        <v>18</v>
      </c>
      <c r="G1490">
        <v>41</v>
      </c>
      <c r="H1490">
        <v>0</v>
      </c>
    </row>
    <row r="1491" spans="1:8" x14ac:dyDescent="0.25">
      <c r="A1491">
        <v>14349179</v>
      </c>
      <c r="B1491">
        <v>268</v>
      </c>
      <c r="C1491">
        <v>0</v>
      </c>
      <c r="D1491">
        <v>1</v>
      </c>
      <c r="E1491">
        <v>2</v>
      </c>
      <c r="F1491">
        <v>10</v>
      </c>
      <c r="G1491">
        <v>29</v>
      </c>
      <c r="H1491">
        <v>5.47</v>
      </c>
    </row>
    <row r="1492" spans="1:8" x14ac:dyDescent="0.25">
      <c r="A1492">
        <v>14349180</v>
      </c>
      <c r="B1492">
        <v>325</v>
      </c>
      <c r="C1492">
        <v>0</v>
      </c>
      <c r="D1492">
        <v>3</v>
      </c>
      <c r="E1492">
        <v>4</v>
      </c>
      <c r="F1492">
        <v>13</v>
      </c>
      <c r="G1492">
        <v>33</v>
      </c>
      <c r="H1492">
        <v>5.27</v>
      </c>
    </row>
    <row r="1493" spans="1:8" x14ac:dyDescent="0.25">
      <c r="A1493">
        <v>14349181</v>
      </c>
      <c r="B1493">
        <v>118</v>
      </c>
      <c r="C1493">
        <v>0</v>
      </c>
      <c r="D1493">
        <v>0</v>
      </c>
      <c r="E1493">
        <v>2</v>
      </c>
      <c r="F1493">
        <v>21</v>
      </c>
      <c r="G1493">
        <v>38</v>
      </c>
      <c r="H1493">
        <v>0</v>
      </c>
    </row>
    <row r="1494" spans="1:8" x14ac:dyDescent="0.25">
      <c r="A1494">
        <v>14349182</v>
      </c>
      <c r="B1494">
        <v>216</v>
      </c>
      <c r="C1494">
        <v>0</v>
      </c>
      <c r="D1494">
        <v>0</v>
      </c>
      <c r="E1494">
        <v>3</v>
      </c>
      <c r="F1494">
        <v>8</v>
      </c>
      <c r="G1494">
        <v>21</v>
      </c>
      <c r="H1494">
        <v>0</v>
      </c>
    </row>
    <row r="1495" spans="1:8" x14ac:dyDescent="0.25">
      <c r="A1495">
        <v>14349183</v>
      </c>
      <c r="B1495">
        <v>312</v>
      </c>
      <c r="C1495">
        <v>0</v>
      </c>
      <c r="D1495">
        <v>-1</v>
      </c>
      <c r="E1495">
        <v>2</v>
      </c>
      <c r="F1495">
        <v>7</v>
      </c>
      <c r="G1495">
        <v>20</v>
      </c>
      <c r="H1495">
        <v>24.97</v>
      </c>
    </row>
    <row r="1496" spans="1:8" x14ac:dyDescent="0.25">
      <c r="A1496">
        <v>14349184</v>
      </c>
      <c r="B1496">
        <v>85</v>
      </c>
      <c r="C1496">
        <v>0</v>
      </c>
      <c r="D1496">
        <v>0</v>
      </c>
      <c r="E1496">
        <v>1</v>
      </c>
      <c r="F1496">
        <v>5</v>
      </c>
      <c r="G1496">
        <v>14</v>
      </c>
      <c r="H1496">
        <v>0</v>
      </c>
    </row>
    <row r="1497" spans="1:8" x14ac:dyDescent="0.25">
      <c r="A1497">
        <v>14354607</v>
      </c>
      <c r="B1497">
        <v>20</v>
      </c>
      <c r="C1497">
        <v>0</v>
      </c>
      <c r="D1497">
        <v>0</v>
      </c>
      <c r="E1497">
        <v>0</v>
      </c>
      <c r="F1497">
        <v>5</v>
      </c>
      <c r="G1497">
        <v>7</v>
      </c>
      <c r="H1497">
        <v>0</v>
      </c>
    </row>
    <row r="1498" spans="1:8" x14ac:dyDescent="0.25">
      <c r="A1498">
        <v>14354608</v>
      </c>
      <c r="B1498">
        <v>7</v>
      </c>
      <c r="C1498">
        <v>0</v>
      </c>
      <c r="D1498">
        <v>0</v>
      </c>
      <c r="E1498">
        <v>0</v>
      </c>
      <c r="F1498">
        <v>0</v>
      </c>
      <c r="G1498">
        <v>1</v>
      </c>
      <c r="H1498">
        <v>0</v>
      </c>
    </row>
    <row r="1499" spans="1:8" x14ac:dyDescent="0.25">
      <c r="A1499">
        <v>14361257</v>
      </c>
      <c r="B1499">
        <v>64</v>
      </c>
      <c r="C1499">
        <v>13</v>
      </c>
      <c r="D1499">
        <v>2</v>
      </c>
      <c r="E1499">
        <v>9</v>
      </c>
      <c r="F1499">
        <v>34</v>
      </c>
      <c r="G1499">
        <v>100</v>
      </c>
      <c r="H1499">
        <v>209</v>
      </c>
    </row>
    <row r="1500" spans="1:8" x14ac:dyDescent="0.25">
      <c r="A1500">
        <v>14361258</v>
      </c>
      <c r="B1500">
        <v>29</v>
      </c>
      <c r="C1500">
        <v>0</v>
      </c>
      <c r="D1500">
        <v>0</v>
      </c>
      <c r="E1500">
        <v>0</v>
      </c>
      <c r="F1500">
        <v>0</v>
      </c>
      <c r="G1500">
        <v>11</v>
      </c>
      <c r="H1500">
        <v>0</v>
      </c>
    </row>
    <row r="1501" spans="1:8" x14ac:dyDescent="0.25">
      <c r="A1501">
        <v>14362035</v>
      </c>
      <c r="B1501">
        <v>270</v>
      </c>
      <c r="C1501">
        <v>42</v>
      </c>
      <c r="D1501">
        <v>5</v>
      </c>
      <c r="E1501">
        <v>38</v>
      </c>
      <c r="F1501">
        <v>135</v>
      </c>
      <c r="G1501">
        <v>298</v>
      </c>
      <c r="H1501">
        <v>94.364000000000004</v>
      </c>
    </row>
    <row r="1502" spans="1:8" x14ac:dyDescent="0.25">
      <c r="A1502">
        <v>14362036</v>
      </c>
      <c r="B1502">
        <v>65</v>
      </c>
      <c r="C1502">
        <v>36</v>
      </c>
      <c r="D1502">
        <v>16</v>
      </c>
      <c r="E1502">
        <v>29</v>
      </c>
      <c r="F1502">
        <v>91</v>
      </c>
      <c r="G1502">
        <v>175</v>
      </c>
      <c r="H1502">
        <v>140.3125</v>
      </c>
    </row>
    <row r="1503" spans="1:8" x14ac:dyDescent="0.25">
      <c r="A1503">
        <v>14362452</v>
      </c>
      <c r="B1503">
        <v>7</v>
      </c>
      <c r="C1503">
        <v>0</v>
      </c>
      <c r="D1503">
        <v>0</v>
      </c>
      <c r="E1503">
        <v>1</v>
      </c>
      <c r="F1503">
        <v>4</v>
      </c>
      <c r="G1503">
        <v>13</v>
      </c>
      <c r="H1503">
        <v>0</v>
      </c>
    </row>
    <row r="1504" spans="1:8" x14ac:dyDescent="0.25">
      <c r="A1504">
        <v>14362453</v>
      </c>
      <c r="B1504">
        <v>-1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</row>
    <row r="1505" spans="1:8" x14ac:dyDescent="0.25">
      <c r="A1505">
        <v>14362456</v>
      </c>
      <c r="B1505">
        <v>61</v>
      </c>
      <c r="C1505">
        <v>0</v>
      </c>
      <c r="D1505">
        <v>2</v>
      </c>
      <c r="E1505">
        <v>2</v>
      </c>
      <c r="F1505">
        <v>8</v>
      </c>
      <c r="G1505">
        <v>12</v>
      </c>
      <c r="H1505">
        <v>15.925000000000001</v>
      </c>
    </row>
    <row r="1506" spans="1:8" x14ac:dyDescent="0.25">
      <c r="A1506">
        <v>14363735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</row>
    <row r="1507" spans="1:8" x14ac:dyDescent="0.25">
      <c r="A1507">
        <v>14366935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</row>
    <row r="1508" spans="1:8" x14ac:dyDescent="0.25">
      <c r="A1508">
        <v>14368652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</row>
    <row r="1509" spans="1:8" x14ac:dyDescent="0.25">
      <c r="A1509">
        <v>14368657</v>
      </c>
      <c r="B1509">
        <v>5</v>
      </c>
      <c r="C1509">
        <v>0</v>
      </c>
      <c r="D1509">
        <v>0</v>
      </c>
      <c r="E1509">
        <v>1</v>
      </c>
      <c r="F1509">
        <v>1</v>
      </c>
      <c r="G1509">
        <v>3</v>
      </c>
      <c r="H1509">
        <v>0</v>
      </c>
    </row>
    <row r="1510" spans="1:8" x14ac:dyDescent="0.25">
      <c r="A1510">
        <v>14368658</v>
      </c>
      <c r="B1510">
        <v>1</v>
      </c>
      <c r="C1510">
        <v>0</v>
      </c>
      <c r="D1510">
        <v>0</v>
      </c>
      <c r="E1510">
        <v>0</v>
      </c>
      <c r="F1510">
        <v>1</v>
      </c>
      <c r="G1510">
        <v>3</v>
      </c>
      <c r="H1510">
        <v>0</v>
      </c>
    </row>
    <row r="1511" spans="1:8" x14ac:dyDescent="0.25">
      <c r="A1511">
        <v>14368659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1</v>
      </c>
      <c r="H1511">
        <v>0</v>
      </c>
    </row>
    <row r="1512" spans="1:8" x14ac:dyDescent="0.25">
      <c r="A1512">
        <v>14369014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1</v>
      </c>
      <c r="H1512">
        <v>0</v>
      </c>
    </row>
    <row r="1513" spans="1:8" x14ac:dyDescent="0.25">
      <c r="A1513">
        <v>14369349</v>
      </c>
      <c r="B1513">
        <v>1</v>
      </c>
      <c r="C1513">
        <v>0</v>
      </c>
      <c r="D1513">
        <v>0</v>
      </c>
      <c r="E1513">
        <v>0</v>
      </c>
      <c r="F1513">
        <v>0</v>
      </c>
      <c r="G1513">
        <v>1</v>
      </c>
      <c r="H1513">
        <v>0</v>
      </c>
    </row>
    <row r="1514" spans="1:8" x14ac:dyDescent="0.25">
      <c r="A1514">
        <v>14374317</v>
      </c>
      <c r="B1514">
        <v>141</v>
      </c>
      <c r="C1514">
        <v>0</v>
      </c>
      <c r="D1514">
        <v>5</v>
      </c>
      <c r="E1514">
        <v>16</v>
      </c>
      <c r="F1514">
        <v>55</v>
      </c>
      <c r="G1514">
        <v>113</v>
      </c>
      <c r="H1514">
        <v>78.584000000000003</v>
      </c>
    </row>
    <row r="1515" spans="1:8" x14ac:dyDescent="0.25">
      <c r="A1515">
        <v>14383038</v>
      </c>
      <c r="B1515">
        <v>75</v>
      </c>
      <c r="C1515">
        <v>0</v>
      </c>
      <c r="D1515">
        <v>2</v>
      </c>
      <c r="E1515">
        <v>10</v>
      </c>
      <c r="F1515">
        <v>28</v>
      </c>
      <c r="G1515">
        <v>73</v>
      </c>
      <c r="H1515">
        <v>177.49</v>
      </c>
    </row>
    <row r="1516" spans="1:8" x14ac:dyDescent="0.25">
      <c r="A1516">
        <v>14383039</v>
      </c>
      <c r="B1516">
        <v>116</v>
      </c>
      <c r="C1516">
        <v>0</v>
      </c>
      <c r="D1516">
        <v>4</v>
      </c>
      <c r="E1516">
        <v>10</v>
      </c>
      <c r="F1516">
        <v>30</v>
      </c>
      <c r="G1516">
        <v>100</v>
      </c>
      <c r="H1516">
        <v>210.7225</v>
      </c>
    </row>
    <row r="1517" spans="1:8" x14ac:dyDescent="0.25">
      <c r="A1517">
        <v>14389522</v>
      </c>
      <c r="B1517">
        <v>34</v>
      </c>
      <c r="C1517">
        <v>0</v>
      </c>
      <c r="D1517">
        <v>1</v>
      </c>
      <c r="E1517">
        <v>3</v>
      </c>
      <c r="F1517">
        <v>6</v>
      </c>
      <c r="G1517">
        <v>12</v>
      </c>
      <c r="H1517">
        <v>74.989999999999995</v>
      </c>
    </row>
    <row r="1518" spans="1:8" x14ac:dyDescent="0.25">
      <c r="A1518">
        <v>14389523</v>
      </c>
      <c r="B1518">
        <v>281</v>
      </c>
      <c r="C1518">
        <v>0</v>
      </c>
      <c r="D1518">
        <v>35</v>
      </c>
      <c r="E1518">
        <v>100</v>
      </c>
      <c r="F1518">
        <v>264</v>
      </c>
      <c r="G1518">
        <v>479</v>
      </c>
      <c r="H1518">
        <v>94.9709</v>
      </c>
    </row>
    <row r="1519" spans="1:8" x14ac:dyDescent="0.25">
      <c r="A1519">
        <v>14389881</v>
      </c>
      <c r="B1519">
        <v>5</v>
      </c>
      <c r="C1519">
        <v>0</v>
      </c>
      <c r="D1519">
        <v>0</v>
      </c>
      <c r="E1519">
        <v>0</v>
      </c>
      <c r="F1519">
        <v>0</v>
      </c>
      <c r="G1519">
        <v>1</v>
      </c>
      <c r="H1519">
        <v>0</v>
      </c>
    </row>
    <row r="1520" spans="1:8" x14ac:dyDescent="0.25">
      <c r="A1520">
        <v>14389882</v>
      </c>
      <c r="B1520">
        <v>5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</row>
    <row r="1521" spans="1:8" x14ac:dyDescent="0.25">
      <c r="A1521">
        <v>14392343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</row>
    <row r="1522" spans="1:8" x14ac:dyDescent="0.25">
      <c r="A1522">
        <v>14392344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</row>
    <row r="1523" spans="1:8" x14ac:dyDescent="0.25">
      <c r="A1523">
        <v>14392345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3</v>
      </c>
      <c r="H1523">
        <v>0</v>
      </c>
    </row>
    <row r="1524" spans="1:8" x14ac:dyDescent="0.25">
      <c r="A1524">
        <v>14406198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</row>
    <row r="1525" spans="1:8" x14ac:dyDescent="0.25">
      <c r="A1525">
        <v>14419348</v>
      </c>
      <c r="B1525">
        <v>1</v>
      </c>
      <c r="C1525">
        <v>0</v>
      </c>
      <c r="D1525">
        <v>0</v>
      </c>
      <c r="E1525">
        <v>0</v>
      </c>
      <c r="F1525">
        <v>0</v>
      </c>
      <c r="G1525">
        <v>2</v>
      </c>
      <c r="H1525">
        <v>0</v>
      </c>
    </row>
    <row r="1526" spans="1:8" x14ac:dyDescent="0.25">
      <c r="A1526">
        <v>14419350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2</v>
      </c>
      <c r="H1526">
        <v>0</v>
      </c>
    </row>
    <row r="1527" spans="1:8" x14ac:dyDescent="0.25">
      <c r="A1527">
        <v>14419351</v>
      </c>
      <c r="B1527">
        <v>1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</row>
    <row r="1528" spans="1:8" x14ac:dyDescent="0.25">
      <c r="A1528">
        <v>14419353</v>
      </c>
      <c r="B1528">
        <v>1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</row>
    <row r="1529" spans="1:8" x14ac:dyDescent="0.25">
      <c r="A1529">
        <v>14419355</v>
      </c>
      <c r="B1529">
        <v>1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</row>
    <row r="1530" spans="1:8" x14ac:dyDescent="0.25">
      <c r="A1530">
        <v>14419356</v>
      </c>
      <c r="B1530">
        <v>0</v>
      </c>
      <c r="C1530">
        <v>0</v>
      </c>
      <c r="D1530">
        <v>0</v>
      </c>
      <c r="E1530">
        <v>0</v>
      </c>
      <c r="F1530">
        <v>1</v>
      </c>
      <c r="G1530">
        <v>1</v>
      </c>
      <c r="H1530">
        <v>0</v>
      </c>
    </row>
    <row r="1531" spans="1:8" x14ac:dyDescent="0.25">
      <c r="A1531">
        <v>14419358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</row>
    <row r="1532" spans="1:8" x14ac:dyDescent="0.25">
      <c r="A1532">
        <v>14419361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3</v>
      </c>
      <c r="H1532">
        <v>0</v>
      </c>
    </row>
    <row r="1533" spans="1:8" x14ac:dyDescent="0.25">
      <c r="A1533">
        <v>14424839</v>
      </c>
      <c r="B1533">
        <v>1</v>
      </c>
      <c r="C1533">
        <v>0</v>
      </c>
      <c r="D1533">
        <v>0</v>
      </c>
      <c r="E1533">
        <v>0</v>
      </c>
      <c r="F1533">
        <v>1</v>
      </c>
      <c r="G1533">
        <v>1</v>
      </c>
      <c r="H1533">
        <v>0</v>
      </c>
    </row>
    <row r="1534" spans="1:8" x14ac:dyDescent="0.25">
      <c r="A1534">
        <v>14424840</v>
      </c>
      <c r="B1534">
        <v>1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</row>
    <row r="1535" spans="1:8" x14ac:dyDescent="0.25">
      <c r="A1535">
        <v>14425505</v>
      </c>
      <c r="B1535">
        <v>37</v>
      </c>
      <c r="C1535">
        <v>0</v>
      </c>
      <c r="D1535">
        <v>0</v>
      </c>
      <c r="E1535">
        <v>9</v>
      </c>
      <c r="F1535">
        <v>32</v>
      </c>
      <c r="G1535">
        <v>69</v>
      </c>
      <c r="H1535">
        <v>0</v>
      </c>
    </row>
    <row r="1536" spans="1:8" x14ac:dyDescent="0.25">
      <c r="A1536">
        <v>14439587</v>
      </c>
      <c r="B1536">
        <v>14</v>
      </c>
      <c r="C1536">
        <v>0</v>
      </c>
      <c r="D1536">
        <v>2</v>
      </c>
      <c r="E1536">
        <v>4</v>
      </c>
      <c r="F1536">
        <v>8</v>
      </c>
      <c r="G1536">
        <v>12</v>
      </c>
      <c r="H1536">
        <v>108.80500000000001</v>
      </c>
    </row>
    <row r="1537" spans="1:8" x14ac:dyDescent="0.25">
      <c r="A1537">
        <v>14439588</v>
      </c>
      <c r="B1537">
        <v>2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</row>
    <row r="1538" spans="1:8" x14ac:dyDescent="0.25">
      <c r="A1538">
        <v>14439589</v>
      </c>
      <c r="B1538">
        <v>40</v>
      </c>
      <c r="C1538">
        <v>0</v>
      </c>
      <c r="D1538">
        <v>0</v>
      </c>
      <c r="E1538">
        <v>0</v>
      </c>
      <c r="F1538">
        <v>2</v>
      </c>
      <c r="G1538">
        <v>6</v>
      </c>
      <c r="H1538">
        <v>0</v>
      </c>
    </row>
    <row r="1539" spans="1:8" x14ac:dyDescent="0.25">
      <c r="A1539">
        <v>14439590</v>
      </c>
      <c r="B1539">
        <v>76</v>
      </c>
      <c r="C1539">
        <v>0</v>
      </c>
      <c r="D1539">
        <v>0</v>
      </c>
      <c r="E1539">
        <v>0</v>
      </c>
      <c r="F1539">
        <v>2</v>
      </c>
      <c r="G1539">
        <v>4</v>
      </c>
      <c r="H1539">
        <v>0</v>
      </c>
    </row>
    <row r="1540" spans="1:8" x14ac:dyDescent="0.25">
      <c r="A1540">
        <v>14439591</v>
      </c>
      <c r="B1540">
        <v>3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</row>
    <row r="1541" spans="1:8" x14ac:dyDescent="0.25">
      <c r="A1541">
        <v>14441684</v>
      </c>
      <c r="B1541">
        <v>8</v>
      </c>
      <c r="C1541">
        <v>0</v>
      </c>
      <c r="D1541">
        <v>0</v>
      </c>
      <c r="E1541">
        <v>-1</v>
      </c>
      <c r="F1541">
        <v>3</v>
      </c>
      <c r="G1541">
        <v>28</v>
      </c>
      <c r="H1541">
        <v>0</v>
      </c>
    </row>
    <row r="1542" spans="1:8" x14ac:dyDescent="0.25">
      <c r="A1542">
        <v>14443713</v>
      </c>
      <c r="B1542">
        <v>125</v>
      </c>
      <c r="C1542">
        <v>0</v>
      </c>
      <c r="D1542">
        <v>2</v>
      </c>
      <c r="E1542">
        <v>11</v>
      </c>
      <c r="F1542">
        <v>20</v>
      </c>
      <c r="G1542">
        <v>106</v>
      </c>
      <c r="H1542">
        <v>59.99</v>
      </c>
    </row>
    <row r="1543" spans="1:8" x14ac:dyDescent="0.25">
      <c r="A1543">
        <v>14443714</v>
      </c>
      <c r="B1543">
        <v>3</v>
      </c>
      <c r="C1543">
        <v>0</v>
      </c>
      <c r="D1543">
        <v>0</v>
      </c>
      <c r="E1543">
        <v>0</v>
      </c>
      <c r="F1543">
        <v>2</v>
      </c>
      <c r="G1543">
        <v>110</v>
      </c>
      <c r="H1543">
        <v>0</v>
      </c>
    </row>
    <row r="1544" spans="1:8" x14ac:dyDescent="0.25">
      <c r="A1544">
        <v>14443715</v>
      </c>
      <c r="B1544">
        <v>74</v>
      </c>
      <c r="C1544">
        <v>0</v>
      </c>
      <c r="D1544">
        <v>3</v>
      </c>
      <c r="E1544">
        <v>10</v>
      </c>
      <c r="F1544">
        <v>43</v>
      </c>
      <c r="G1544">
        <v>120</v>
      </c>
      <c r="H1544">
        <v>94.99</v>
      </c>
    </row>
    <row r="1545" spans="1:8" x14ac:dyDescent="0.25">
      <c r="A1545">
        <v>14443716</v>
      </c>
      <c r="B1545">
        <v>104</v>
      </c>
      <c r="C1545">
        <v>18</v>
      </c>
      <c r="D1545">
        <v>10</v>
      </c>
      <c r="E1545">
        <v>21</v>
      </c>
      <c r="F1545">
        <v>50</v>
      </c>
      <c r="G1545">
        <v>118</v>
      </c>
      <c r="H1545">
        <v>29.315000000000001</v>
      </c>
    </row>
    <row r="1546" spans="1:8" x14ac:dyDescent="0.25">
      <c r="A1546">
        <v>14443717</v>
      </c>
      <c r="B1546">
        <v>168</v>
      </c>
      <c r="C1546">
        <v>32</v>
      </c>
      <c r="D1546">
        <v>1</v>
      </c>
      <c r="E1546">
        <v>14</v>
      </c>
      <c r="F1546">
        <v>59</v>
      </c>
      <c r="G1546">
        <v>162</v>
      </c>
      <c r="H1546">
        <v>37.99</v>
      </c>
    </row>
    <row r="1547" spans="1:8" x14ac:dyDescent="0.25">
      <c r="A1547">
        <v>14443718</v>
      </c>
      <c r="B1547">
        <v>99</v>
      </c>
      <c r="C1547">
        <v>0</v>
      </c>
      <c r="D1547">
        <v>-1</v>
      </c>
      <c r="E1547">
        <v>0</v>
      </c>
      <c r="F1547">
        <v>7</v>
      </c>
      <c r="G1547">
        <v>62</v>
      </c>
      <c r="H1547">
        <v>74.989999999999995</v>
      </c>
    </row>
    <row r="1548" spans="1:8" x14ac:dyDescent="0.25">
      <c r="A1548">
        <v>14443719</v>
      </c>
      <c r="B1548">
        <v>3</v>
      </c>
      <c r="C1548">
        <v>0</v>
      </c>
      <c r="D1548">
        <v>0</v>
      </c>
      <c r="E1548">
        <v>2</v>
      </c>
      <c r="F1548">
        <v>4</v>
      </c>
      <c r="G1548">
        <v>22</v>
      </c>
      <c r="H1548">
        <v>0</v>
      </c>
    </row>
    <row r="1549" spans="1:8" x14ac:dyDescent="0.25">
      <c r="A1549">
        <v>14443720</v>
      </c>
      <c r="B1549">
        <v>156</v>
      </c>
      <c r="C1549">
        <v>0</v>
      </c>
      <c r="D1549">
        <v>1</v>
      </c>
      <c r="E1549">
        <v>9</v>
      </c>
      <c r="F1549">
        <v>54</v>
      </c>
      <c r="G1549">
        <v>219</v>
      </c>
      <c r="H1549">
        <v>24.99</v>
      </c>
    </row>
    <row r="1550" spans="1:8" x14ac:dyDescent="0.25">
      <c r="A1550">
        <v>14443721</v>
      </c>
      <c r="B1550">
        <v>151</v>
      </c>
      <c r="C1550">
        <v>0</v>
      </c>
      <c r="D1550">
        <v>6</v>
      </c>
      <c r="E1550">
        <v>11</v>
      </c>
      <c r="F1550">
        <v>50</v>
      </c>
      <c r="G1550">
        <v>182</v>
      </c>
      <c r="H1550">
        <v>44.306699999999999</v>
      </c>
    </row>
    <row r="1551" spans="1:8" x14ac:dyDescent="0.25">
      <c r="A1551">
        <v>14443722</v>
      </c>
      <c r="B1551">
        <v>110</v>
      </c>
      <c r="C1551">
        <v>12</v>
      </c>
      <c r="D1551">
        <v>2</v>
      </c>
      <c r="E1551">
        <v>19</v>
      </c>
      <c r="F1551">
        <v>63</v>
      </c>
      <c r="G1551">
        <v>179</v>
      </c>
      <c r="H1551">
        <v>51.87</v>
      </c>
    </row>
    <row r="1552" spans="1:8" x14ac:dyDescent="0.25">
      <c r="A1552">
        <v>14443723</v>
      </c>
      <c r="B1552">
        <v>84</v>
      </c>
      <c r="C1552">
        <v>0</v>
      </c>
      <c r="D1552">
        <v>3</v>
      </c>
      <c r="E1552">
        <v>6</v>
      </c>
      <c r="F1552">
        <v>15</v>
      </c>
      <c r="G1552">
        <v>44</v>
      </c>
      <c r="H1552">
        <v>79.78</v>
      </c>
    </row>
    <row r="1553" spans="1:8" x14ac:dyDescent="0.25">
      <c r="A1553">
        <v>14443724</v>
      </c>
      <c r="B1553">
        <v>36</v>
      </c>
      <c r="C1553">
        <v>0</v>
      </c>
      <c r="D1553">
        <v>2</v>
      </c>
      <c r="E1553">
        <v>27</v>
      </c>
      <c r="F1553">
        <v>67</v>
      </c>
      <c r="G1553">
        <v>153</v>
      </c>
      <c r="H1553">
        <v>22.47</v>
      </c>
    </row>
    <row r="1554" spans="1:8" x14ac:dyDescent="0.25">
      <c r="A1554">
        <v>14443725</v>
      </c>
      <c r="B1554">
        <v>-1</v>
      </c>
      <c r="C1554">
        <v>0</v>
      </c>
      <c r="D1554">
        <v>0</v>
      </c>
      <c r="E1554">
        <v>0</v>
      </c>
      <c r="F1554">
        <v>0</v>
      </c>
      <c r="G1554">
        <v>5</v>
      </c>
      <c r="H1554">
        <v>0</v>
      </c>
    </row>
    <row r="1555" spans="1:8" x14ac:dyDescent="0.25">
      <c r="A1555">
        <v>14464620</v>
      </c>
      <c r="B1555">
        <v>0</v>
      </c>
      <c r="C1555">
        <v>0</v>
      </c>
      <c r="D1555">
        <v>0</v>
      </c>
      <c r="E1555">
        <v>0</v>
      </c>
      <c r="F1555">
        <v>5</v>
      </c>
      <c r="G1555">
        <v>16</v>
      </c>
      <c r="H1555">
        <v>0</v>
      </c>
    </row>
    <row r="1556" spans="1:8" x14ac:dyDescent="0.25">
      <c r="A1556">
        <v>14467700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1</v>
      </c>
      <c r="H1556">
        <v>0</v>
      </c>
    </row>
    <row r="1557" spans="1:8" x14ac:dyDescent="0.25">
      <c r="A1557">
        <v>14482746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</row>
    <row r="1558" spans="1:8" x14ac:dyDescent="0.25">
      <c r="A1558">
        <v>14482995</v>
      </c>
      <c r="B1558">
        <v>-1</v>
      </c>
      <c r="C1558">
        <v>0</v>
      </c>
      <c r="D1558">
        <v>0</v>
      </c>
      <c r="E1558">
        <v>0</v>
      </c>
      <c r="F1558">
        <v>0</v>
      </c>
      <c r="G1558">
        <v>1</v>
      </c>
      <c r="H1558">
        <v>0</v>
      </c>
    </row>
    <row r="1559" spans="1:8" x14ac:dyDescent="0.25">
      <c r="A1559">
        <v>14483384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</row>
    <row r="1560" spans="1:8" x14ac:dyDescent="0.25">
      <c r="A1560">
        <v>14484351</v>
      </c>
      <c r="B1560">
        <v>42</v>
      </c>
      <c r="C1560">
        <v>21</v>
      </c>
      <c r="D1560">
        <v>2</v>
      </c>
      <c r="E1560">
        <v>7</v>
      </c>
      <c r="F1560">
        <v>23</v>
      </c>
      <c r="G1560">
        <v>24</v>
      </c>
      <c r="H1560">
        <v>20.324999999999999</v>
      </c>
    </row>
    <row r="1561" spans="1:8" x14ac:dyDescent="0.25">
      <c r="A1561">
        <v>14484354</v>
      </c>
      <c r="B1561">
        <v>70</v>
      </c>
      <c r="C1561">
        <v>33</v>
      </c>
      <c r="D1561">
        <v>2</v>
      </c>
      <c r="E1561">
        <v>9</v>
      </c>
      <c r="F1561">
        <v>42</v>
      </c>
      <c r="G1561">
        <v>61</v>
      </c>
      <c r="H1561">
        <v>25.99</v>
      </c>
    </row>
    <row r="1562" spans="1:8" x14ac:dyDescent="0.25">
      <c r="A1562">
        <v>14484357</v>
      </c>
      <c r="B1562">
        <v>9</v>
      </c>
      <c r="C1562">
        <v>0</v>
      </c>
      <c r="D1562">
        <v>1</v>
      </c>
      <c r="E1562">
        <v>1</v>
      </c>
      <c r="F1562">
        <v>27</v>
      </c>
      <c r="G1562">
        <v>98</v>
      </c>
      <c r="H1562">
        <v>17.989999999999998</v>
      </c>
    </row>
    <row r="1563" spans="1:8" x14ac:dyDescent="0.25">
      <c r="A1563">
        <v>14484358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14</v>
      </c>
      <c r="H1563">
        <v>0</v>
      </c>
    </row>
    <row r="1564" spans="1:8" x14ac:dyDescent="0.25">
      <c r="A1564">
        <v>14484359</v>
      </c>
      <c r="B1564">
        <v>22</v>
      </c>
      <c r="C1564">
        <v>0</v>
      </c>
      <c r="D1564">
        <v>3</v>
      </c>
      <c r="E1564">
        <v>6</v>
      </c>
      <c r="F1564">
        <v>17</v>
      </c>
      <c r="G1564">
        <v>23</v>
      </c>
      <c r="H1564">
        <v>11.99</v>
      </c>
    </row>
    <row r="1565" spans="1:8" x14ac:dyDescent="0.25">
      <c r="A1565">
        <v>14487090</v>
      </c>
      <c r="B1565">
        <v>289</v>
      </c>
      <c r="C1565">
        <v>10</v>
      </c>
      <c r="D1565">
        <v>14</v>
      </c>
      <c r="E1565">
        <v>54</v>
      </c>
      <c r="F1565">
        <v>199</v>
      </c>
      <c r="G1565">
        <v>430</v>
      </c>
      <c r="H1565">
        <v>57.038600000000002</v>
      </c>
    </row>
    <row r="1566" spans="1:8" x14ac:dyDescent="0.25">
      <c r="A1566">
        <v>14487091</v>
      </c>
      <c r="B1566">
        <v>1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</row>
    <row r="1567" spans="1:8" x14ac:dyDescent="0.25">
      <c r="A1567">
        <v>14487092</v>
      </c>
      <c r="B1567">
        <v>226</v>
      </c>
      <c r="C1567">
        <v>120</v>
      </c>
      <c r="D1567">
        <v>32</v>
      </c>
      <c r="E1567">
        <v>100</v>
      </c>
      <c r="F1567">
        <v>293</v>
      </c>
      <c r="G1567">
        <v>659</v>
      </c>
      <c r="H1567">
        <v>33.739100000000001</v>
      </c>
    </row>
    <row r="1568" spans="1:8" x14ac:dyDescent="0.25">
      <c r="A1568">
        <v>14487093</v>
      </c>
      <c r="B1568">
        <v>-1</v>
      </c>
      <c r="C1568">
        <v>0</v>
      </c>
      <c r="D1568">
        <v>0</v>
      </c>
      <c r="E1568">
        <v>0</v>
      </c>
      <c r="F1568">
        <v>0</v>
      </c>
      <c r="G1568">
        <v>1</v>
      </c>
      <c r="H1568">
        <v>0</v>
      </c>
    </row>
    <row r="1569" spans="1:8" x14ac:dyDescent="0.25">
      <c r="A1569">
        <v>14487094</v>
      </c>
      <c r="B1569">
        <v>164</v>
      </c>
      <c r="C1569">
        <v>56</v>
      </c>
      <c r="D1569">
        <v>12</v>
      </c>
      <c r="E1569">
        <v>55</v>
      </c>
      <c r="F1569">
        <v>161</v>
      </c>
      <c r="G1569">
        <v>545</v>
      </c>
      <c r="H1569">
        <v>47.49</v>
      </c>
    </row>
    <row r="1570" spans="1:8" x14ac:dyDescent="0.25">
      <c r="A1570">
        <v>14487095</v>
      </c>
      <c r="B1570">
        <v>24</v>
      </c>
      <c r="C1570">
        <v>0</v>
      </c>
      <c r="D1570">
        <v>0</v>
      </c>
      <c r="E1570">
        <v>2</v>
      </c>
      <c r="F1570">
        <v>7</v>
      </c>
      <c r="G1570">
        <v>13</v>
      </c>
      <c r="H1570">
        <v>0</v>
      </c>
    </row>
    <row r="1571" spans="1:8" x14ac:dyDescent="0.25">
      <c r="A1571">
        <v>14487096</v>
      </c>
      <c r="B1571">
        <v>299</v>
      </c>
      <c r="C1571">
        <v>88</v>
      </c>
      <c r="D1571">
        <v>28</v>
      </c>
      <c r="E1571">
        <v>88</v>
      </c>
      <c r="F1571">
        <v>333</v>
      </c>
      <c r="G1571">
        <v>910</v>
      </c>
      <c r="H1571">
        <v>79.345399999999998</v>
      </c>
    </row>
    <row r="1572" spans="1:8" x14ac:dyDescent="0.25">
      <c r="A1572">
        <v>14504167</v>
      </c>
      <c r="B1572">
        <v>45</v>
      </c>
      <c r="C1572">
        <v>0</v>
      </c>
      <c r="D1572">
        <v>2</v>
      </c>
      <c r="E1572">
        <v>3</v>
      </c>
      <c r="F1572">
        <v>10</v>
      </c>
      <c r="G1572">
        <v>20</v>
      </c>
      <c r="H1572">
        <v>59.99</v>
      </c>
    </row>
    <row r="1573" spans="1:8" x14ac:dyDescent="0.25">
      <c r="A1573">
        <v>14507814</v>
      </c>
      <c r="B1573">
        <v>187</v>
      </c>
      <c r="C1573">
        <v>51</v>
      </c>
      <c r="D1573">
        <v>18</v>
      </c>
      <c r="E1573">
        <v>73</v>
      </c>
      <c r="F1573">
        <v>215</v>
      </c>
      <c r="G1573">
        <v>519</v>
      </c>
      <c r="H1573">
        <v>76.308300000000003</v>
      </c>
    </row>
    <row r="1574" spans="1:8" x14ac:dyDescent="0.25">
      <c r="A1574">
        <v>14507815</v>
      </c>
      <c r="B1574">
        <v>120</v>
      </c>
      <c r="C1574">
        <v>18</v>
      </c>
      <c r="D1574">
        <v>7</v>
      </c>
      <c r="E1574">
        <v>28</v>
      </c>
      <c r="F1574">
        <v>87</v>
      </c>
      <c r="G1574">
        <v>218</v>
      </c>
      <c r="H1574">
        <v>79.252899999999997</v>
      </c>
    </row>
    <row r="1575" spans="1:8" x14ac:dyDescent="0.25">
      <c r="A1575">
        <v>14507816</v>
      </c>
      <c r="B1575">
        <v>103</v>
      </c>
      <c r="C1575">
        <v>4</v>
      </c>
      <c r="D1575">
        <v>0</v>
      </c>
      <c r="E1575">
        <v>8</v>
      </c>
      <c r="F1575">
        <v>21</v>
      </c>
      <c r="G1575">
        <v>76</v>
      </c>
      <c r="H1575">
        <v>0</v>
      </c>
    </row>
    <row r="1576" spans="1:8" x14ac:dyDescent="0.25">
      <c r="A1576">
        <v>14507817</v>
      </c>
      <c r="B1576">
        <v>153</v>
      </c>
      <c r="C1576">
        <v>34</v>
      </c>
      <c r="D1576">
        <v>8</v>
      </c>
      <c r="E1576">
        <v>42</v>
      </c>
      <c r="F1576">
        <v>118</v>
      </c>
      <c r="G1576">
        <v>274</v>
      </c>
      <c r="H1576">
        <v>156.46629999999999</v>
      </c>
    </row>
    <row r="1577" spans="1:8" x14ac:dyDescent="0.25">
      <c r="A1577">
        <v>14507818</v>
      </c>
      <c r="B1577">
        <v>59</v>
      </c>
      <c r="C1577">
        <v>6</v>
      </c>
      <c r="D1577">
        <v>2</v>
      </c>
      <c r="E1577">
        <v>13</v>
      </c>
      <c r="F1577">
        <v>32</v>
      </c>
      <c r="G1577">
        <v>89</v>
      </c>
      <c r="H1577">
        <v>159.99</v>
      </c>
    </row>
    <row r="1578" spans="1:8" x14ac:dyDescent="0.25">
      <c r="A1578">
        <v>14507819</v>
      </c>
      <c r="B1578">
        <v>47</v>
      </c>
      <c r="C1578">
        <v>3</v>
      </c>
      <c r="D1578">
        <v>2</v>
      </c>
      <c r="E1578">
        <v>14</v>
      </c>
      <c r="F1578">
        <v>35</v>
      </c>
      <c r="G1578">
        <v>83</v>
      </c>
      <c r="H1578">
        <v>144.99</v>
      </c>
    </row>
    <row r="1579" spans="1:8" x14ac:dyDescent="0.25">
      <c r="A1579">
        <v>14507820</v>
      </c>
      <c r="B1579">
        <v>107</v>
      </c>
      <c r="C1579">
        <v>22</v>
      </c>
      <c r="D1579">
        <v>8</v>
      </c>
      <c r="E1579">
        <v>30</v>
      </c>
      <c r="F1579">
        <v>88</v>
      </c>
      <c r="G1579">
        <v>219</v>
      </c>
      <c r="H1579">
        <v>206.3613</v>
      </c>
    </row>
    <row r="1580" spans="1:8" x14ac:dyDescent="0.25">
      <c r="A1580">
        <v>14507821</v>
      </c>
      <c r="B1580">
        <v>82</v>
      </c>
      <c r="C1580">
        <v>2</v>
      </c>
      <c r="D1580">
        <v>1</v>
      </c>
      <c r="E1580">
        <v>8</v>
      </c>
      <c r="F1580">
        <v>19</v>
      </c>
      <c r="G1580">
        <v>42</v>
      </c>
      <c r="H1580">
        <v>257.11</v>
      </c>
    </row>
    <row r="1581" spans="1:8" x14ac:dyDescent="0.25">
      <c r="A1581">
        <v>14507822</v>
      </c>
      <c r="B1581">
        <v>56</v>
      </c>
      <c r="C1581">
        <v>3</v>
      </c>
      <c r="D1581">
        <v>1</v>
      </c>
      <c r="E1581">
        <v>1</v>
      </c>
      <c r="F1581">
        <v>12</v>
      </c>
      <c r="G1581">
        <v>62</v>
      </c>
      <c r="H1581">
        <v>199.95</v>
      </c>
    </row>
    <row r="1582" spans="1:8" x14ac:dyDescent="0.25">
      <c r="A1582">
        <v>14511352</v>
      </c>
      <c r="B1582">
        <v>0</v>
      </c>
      <c r="C1582">
        <v>0</v>
      </c>
      <c r="D1582">
        <v>0</v>
      </c>
      <c r="E1582">
        <v>0</v>
      </c>
      <c r="F1582">
        <v>2</v>
      </c>
      <c r="G1582">
        <v>15</v>
      </c>
      <c r="H1582">
        <v>0</v>
      </c>
    </row>
    <row r="1583" spans="1:8" x14ac:dyDescent="0.25">
      <c r="A1583">
        <v>14511353</v>
      </c>
      <c r="B1583">
        <v>102</v>
      </c>
      <c r="C1583">
        <v>72</v>
      </c>
      <c r="D1583">
        <v>4</v>
      </c>
      <c r="E1583">
        <v>12</v>
      </c>
      <c r="F1583">
        <v>58</v>
      </c>
      <c r="G1583">
        <v>162</v>
      </c>
      <c r="H1583">
        <v>69.989999999999995</v>
      </c>
    </row>
    <row r="1584" spans="1:8" x14ac:dyDescent="0.25">
      <c r="A1584">
        <v>14511354</v>
      </c>
      <c r="B1584">
        <v>0</v>
      </c>
      <c r="C1584">
        <v>48</v>
      </c>
      <c r="D1584">
        <v>0</v>
      </c>
      <c r="E1584">
        <v>0</v>
      </c>
      <c r="F1584">
        <v>0</v>
      </c>
      <c r="G1584">
        <v>1</v>
      </c>
      <c r="H1584">
        <v>0</v>
      </c>
    </row>
    <row r="1585" spans="1:8" x14ac:dyDescent="0.25">
      <c r="A1585">
        <v>14511355</v>
      </c>
      <c r="B1585">
        <v>116</v>
      </c>
      <c r="C1585">
        <v>0</v>
      </c>
      <c r="D1585">
        <v>0</v>
      </c>
      <c r="E1585">
        <v>5</v>
      </c>
      <c r="F1585">
        <v>21</v>
      </c>
      <c r="G1585">
        <v>62</v>
      </c>
      <c r="H1585">
        <v>0</v>
      </c>
    </row>
    <row r="1586" spans="1:8" x14ac:dyDescent="0.25">
      <c r="A1586">
        <v>14511356</v>
      </c>
      <c r="B1586">
        <v>1</v>
      </c>
      <c r="C1586">
        <v>0</v>
      </c>
      <c r="D1586">
        <v>0</v>
      </c>
      <c r="E1586">
        <v>1</v>
      </c>
      <c r="F1586">
        <v>2</v>
      </c>
      <c r="G1586">
        <v>5</v>
      </c>
      <c r="H1586">
        <v>0</v>
      </c>
    </row>
    <row r="1587" spans="1:8" x14ac:dyDescent="0.25">
      <c r="A1587">
        <v>14512047</v>
      </c>
      <c r="B1587">
        <v>17</v>
      </c>
      <c r="C1587">
        <v>0</v>
      </c>
      <c r="D1587">
        <v>1</v>
      </c>
      <c r="E1587">
        <v>4</v>
      </c>
      <c r="F1587">
        <v>20</v>
      </c>
      <c r="G1587">
        <v>28</v>
      </c>
      <c r="H1587">
        <v>69.989999999999995</v>
      </c>
    </row>
    <row r="1588" spans="1:8" x14ac:dyDescent="0.25">
      <c r="A1588">
        <v>14518008</v>
      </c>
      <c r="B1588">
        <v>293</v>
      </c>
      <c r="C1588">
        <v>96</v>
      </c>
      <c r="D1588">
        <v>24</v>
      </c>
      <c r="E1588">
        <v>91</v>
      </c>
      <c r="F1588">
        <v>348</v>
      </c>
      <c r="G1588">
        <v>886</v>
      </c>
      <c r="H1588">
        <v>57.817900000000002</v>
      </c>
    </row>
    <row r="1589" spans="1:8" x14ac:dyDescent="0.25">
      <c r="A1589">
        <v>14518010</v>
      </c>
      <c r="B1589">
        <v>8</v>
      </c>
      <c r="C1589">
        <v>0</v>
      </c>
      <c r="D1589">
        <v>0</v>
      </c>
      <c r="E1589">
        <v>0</v>
      </c>
      <c r="F1589">
        <v>0</v>
      </c>
      <c r="G1589">
        <v>5</v>
      </c>
      <c r="H1589">
        <v>0</v>
      </c>
    </row>
    <row r="1590" spans="1:8" x14ac:dyDescent="0.25">
      <c r="A1590">
        <v>14518038</v>
      </c>
      <c r="B1590">
        <v>0</v>
      </c>
      <c r="C1590">
        <v>0</v>
      </c>
      <c r="D1590">
        <v>1</v>
      </c>
      <c r="E1590">
        <v>2</v>
      </c>
      <c r="F1590">
        <v>4</v>
      </c>
      <c r="G1590">
        <v>7</v>
      </c>
      <c r="H1590">
        <v>25</v>
      </c>
    </row>
    <row r="1591" spans="1:8" x14ac:dyDescent="0.25">
      <c r="A1591">
        <v>14518476</v>
      </c>
      <c r="B1591">
        <v>38</v>
      </c>
      <c r="C1591">
        <v>3</v>
      </c>
      <c r="D1591">
        <v>0</v>
      </c>
      <c r="E1591">
        <v>4</v>
      </c>
      <c r="F1591">
        <v>9</v>
      </c>
      <c r="G1591">
        <v>41</v>
      </c>
      <c r="H1591">
        <v>0</v>
      </c>
    </row>
    <row r="1592" spans="1:8" x14ac:dyDescent="0.25">
      <c r="A1592">
        <v>14518805</v>
      </c>
      <c r="B1592">
        <v>1267</v>
      </c>
      <c r="C1592">
        <v>302</v>
      </c>
      <c r="D1592">
        <v>104</v>
      </c>
      <c r="E1592">
        <v>455</v>
      </c>
      <c r="F1592">
        <v>1886</v>
      </c>
      <c r="G1592">
        <v>3355</v>
      </c>
      <c r="H1592">
        <v>8.6784999999999997</v>
      </c>
    </row>
    <row r="1593" spans="1:8" x14ac:dyDescent="0.25">
      <c r="A1593">
        <v>14518806</v>
      </c>
      <c r="B1593">
        <v>54</v>
      </c>
      <c r="C1593">
        <v>0</v>
      </c>
      <c r="D1593">
        <v>4</v>
      </c>
      <c r="E1593">
        <v>15</v>
      </c>
      <c r="F1593">
        <v>45</v>
      </c>
      <c r="G1593">
        <v>119</v>
      </c>
      <c r="H1593">
        <v>6.97</v>
      </c>
    </row>
    <row r="1594" spans="1:8" x14ac:dyDescent="0.25">
      <c r="A1594">
        <v>14518807</v>
      </c>
      <c r="B1594">
        <v>11</v>
      </c>
      <c r="C1594">
        <v>0</v>
      </c>
      <c r="D1594">
        <v>0</v>
      </c>
      <c r="E1594">
        <v>0</v>
      </c>
      <c r="F1594">
        <v>14</v>
      </c>
      <c r="G1594">
        <v>67</v>
      </c>
      <c r="H1594">
        <v>0</v>
      </c>
    </row>
    <row r="1595" spans="1:8" x14ac:dyDescent="0.25">
      <c r="A1595">
        <v>14518808</v>
      </c>
      <c r="B1595">
        <v>454</v>
      </c>
      <c r="C1595">
        <v>20</v>
      </c>
      <c r="D1595">
        <v>29</v>
      </c>
      <c r="E1595">
        <v>95</v>
      </c>
      <c r="F1595">
        <v>330</v>
      </c>
      <c r="G1595">
        <v>777</v>
      </c>
      <c r="H1595">
        <v>22.570699999999999</v>
      </c>
    </row>
    <row r="1596" spans="1:8" x14ac:dyDescent="0.25">
      <c r="A1596">
        <v>14518809</v>
      </c>
      <c r="B1596">
        <v>16</v>
      </c>
      <c r="C1596">
        <v>0</v>
      </c>
      <c r="D1596">
        <v>1</v>
      </c>
      <c r="E1596">
        <v>5</v>
      </c>
      <c r="F1596">
        <v>26</v>
      </c>
      <c r="G1596">
        <v>64</v>
      </c>
      <c r="H1596">
        <v>14.97</v>
      </c>
    </row>
    <row r="1597" spans="1:8" x14ac:dyDescent="0.25">
      <c r="A1597">
        <v>14518810</v>
      </c>
      <c r="B1597">
        <v>10</v>
      </c>
      <c r="C1597">
        <v>0</v>
      </c>
      <c r="D1597">
        <v>0</v>
      </c>
      <c r="E1597">
        <v>2</v>
      </c>
      <c r="F1597">
        <v>4</v>
      </c>
      <c r="G1597">
        <v>19</v>
      </c>
      <c r="H1597">
        <v>0</v>
      </c>
    </row>
    <row r="1598" spans="1:8" x14ac:dyDescent="0.25">
      <c r="A1598">
        <v>14519249</v>
      </c>
      <c r="B1598">
        <v>271</v>
      </c>
      <c r="C1598">
        <v>0</v>
      </c>
      <c r="D1598">
        <v>6</v>
      </c>
      <c r="E1598">
        <v>29</v>
      </c>
      <c r="F1598">
        <v>121</v>
      </c>
      <c r="G1598">
        <v>218</v>
      </c>
      <c r="H1598">
        <v>24.99</v>
      </c>
    </row>
    <row r="1599" spans="1:8" x14ac:dyDescent="0.25">
      <c r="A1599">
        <v>14519809</v>
      </c>
      <c r="B1599">
        <v>25</v>
      </c>
      <c r="C1599">
        <v>0</v>
      </c>
      <c r="D1599">
        <v>1</v>
      </c>
      <c r="E1599">
        <v>3</v>
      </c>
      <c r="F1599">
        <v>4</v>
      </c>
      <c r="G1599">
        <v>5</v>
      </c>
      <c r="H1599">
        <v>64.989999999999995</v>
      </c>
    </row>
    <row r="1600" spans="1:8" x14ac:dyDescent="0.25">
      <c r="A1600">
        <v>14520952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</row>
    <row r="1601" spans="1:8" x14ac:dyDescent="0.25">
      <c r="A1601">
        <v>14522982</v>
      </c>
      <c r="B1601">
        <v>-2</v>
      </c>
      <c r="C1601">
        <v>0</v>
      </c>
      <c r="D1601">
        <v>0</v>
      </c>
      <c r="E1601">
        <v>0</v>
      </c>
      <c r="F1601">
        <v>0</v>
      </c>
      <c r="G1601">
        <v>8</v>
      </c>
      <c r="H1601">
        <v>0</v>
      </c>
    </row>
    <row r="1602" spans="1:8" x14ac:dyDescent="0.25">
      <c r="A1602">
        <v>14522984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10</v>
      </c>
      <c r="H1602">
        <v>0</v>
      </c>
    </row>
    <row r="1603" spans="1:8" x14ac:dyDescent="0.25">
      <c r="A1603">
        <v>14525652</v>
      </c>
      <c r="B1603">
        <v>7</v>
      </c>
      <c r="C1603">
        <v>0</v>
      </c>
      <c r="D1603">
        <v>0</v>
      </c>
      <c r="E1603">
        <v>0</v>
      </c>
      <c r="F1603">
        <v>2</v>
      </c>
      <c r="G1603">
        <v>5</v>
      </c>
      <c r="H1603">
        <v>0</v>
      </c>
    </row>
    <row r="1604" spans="1:8" x14ac:dyDescent="0.25">
      <c r="A1604">
        <v>14526520</v>
      </c>
      <c r="B1604">
        <v>42</v>
      </c>
      <c r="C1604">
        <v>0</v>
      </c>
      <c r="D1604">
        <v>3</v>
      </c>
      <c r="E1604">
        <v>10</v>
      </c>
      <c r="F1604">
        <v>52</v>
      </c>
      <c r="G1604">
        <v>113</v>
      </c>
      <c r="H1604">
        <v>39.833300000000001</v>
      </c>
    </row>
    <row r="1605" spans="1:8" x14ac:dyDescent="0.25">
      <c r="A1605">
        <v>14526521</v>
      </c>
      <c r="B1605">
        <v>41</v>
      </c>
      <c r="C1605">
        <v>0</v>
      </c>
      <c r="D1605">
        <v>2</v>
      </c>
      <c r="E1605">
        <v>16</v>
      </c>
      <c r="F1605">
        <v>56</v>
      </c>
      <c r="G1605">
        <v>136</v>
      </c>
      <c r="H1605">
        <v>39.97</v>
      </c>
    </row>
    <row r="1606" spans="1:8" x14ac:dyDescent="0.25">
      <c r="A1606">
        <v>14543831</v>
      </c>
      <c r="B1606">
        <v>8</v>
      </c>
      <c r="C1606">
        <v>0</v>
      </c>
      <c r="D1606">
        <v>0</v>
      </c>
      <c r="E1606">
        <v>0</v>
      </c>
      <c r="F1606">
        <v>7</v>
      </c>
      <c r="G1606">
        <v>19</v>
      </c>
      <c r="H1606">
        <v>0</v>
      </c>
    </row>
    <row r="1607" spans="1:8" x14ac:dyDescent="0.25">
      <c r="A1607">
        <v>14543832</v>
      </c>
      <c r="B1607">
        <v>85</v>
      </c>
      <c r="C1607">
        <v>11</v>
      </c>
      <c r="D1607">
        <v>1</v>
      </c>
      <c r="E1607">
        <v>8</v>
      </c>
      <c r="F1607">
        <v>44</v>
      </c>
      <c r="G1607">
        <v>141</v>
      </c>
      <c r="H1607">
        <v>479</v>
      </c>
    </row>
    <row r="1608" spans="1:8" x14ac:dyDescent="0.25">
      <c r="A1608">
        <v>14546963</v>
      </c>
      <c r="B1608">
        <v>11</v>
      </c>
      <c r="C1608">
        <v>0</v>
      </c>
      <c r="D1608">
        <v>0</v>
      </c>
      <c r="E1608">
        <v>0</v>
      </c>
      <c r="F1608">
        <v>0</v>
      </c>
      <c r="G1608">
        <v>3</v>
      </c>
      <c r="H1608">
        <v>0</v>
      </c>
    </row>
    <row r="1609" spans="1:8" x14ac:dyDescent="0.25">
      <c r="A1609">
        <v>14547041</v>
      </c>
      <c r="B1609">
        <v>594</v>
      </c>
      <c r="C1609">
        <v>112</v>
      </c>
      <c r="D1609">
        <v>32</v>
      </c>
      <c r="E1609">
        <v>131</v>
      </c>
      <c r="F1609">
        <v>424</v>
      </c>
      <c r="G1609">
        <v>991</v>
      </c>
      <c r="H1609">
        <v>141.73249999999999</v>
      </c>
    </row>
    <row r="1610" spans="1:8" x14ac:dyDescent="0.25">
      <c r="A1610">
        <v>14551690</v>
      </c>
      <c r="B1610">
        <v>5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</row>
    <row r="1611" spans="1:8" x14ac:dyDescent="0.25">
      <c r="A1611">
        <v>14551692</v>
      </c>
      <c r="B1611">
        <v>1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</row>
    <row r="1612" spans="1:8" x14ac:dyDescent="0.25">
      <c r="A1612">
        <v>14551694</v>
      </c>
      <c r="B1612">
        <v>1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</row>
    <row r="1613" spans="1:8" x14ac:dyDescent="0.25">
      <c r="A1613">
        <v>14551782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1</v>
      </c>
      <c r="H1613">
        <v>0</v>
      </c>
    </row>
    <row r="1614" spans="1:8" x14ac:dyDescent="0.25">
      <c r="A1614">
        <v>14551792</v>
      </c>
      <c r="B1614">
        <v>-1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</row>
    <row r="1615" spans="1:8" x14ac:dyDescent="0.25">
      <c r="A1615">
        <v>14551797</v>
      </c>
      <c r="B1615">
        <v>1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</row>
    <row r="1616" spans="1:8" x14ac:dyDescent="0.25">
      <c r="A1616">
        <v>14551798</v>
      </c>
      <c r="B1616">
        <v>1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</row>
    <row r="1617" spans="1:8" x14ac:dyDescent="0.25">
      <c r="A1617">
        <v>14551813</v>
      </c>
      <c r="B1617">
        <v>1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</row>
    <row r="1618" spans="1:8" x14ac:dyDescent="0.25">
      <c r="A1618">
        <v>14551895</v>
      </c>
      <c r="B1618">
        <v>0</v>
      </c>
      <c r="C1618">
        <v>0</v>
      </c>
      <c r="D1618">
        <v>0</v>
      </c>
      <c r="E1618">
        <v>0</v>
      </c>
      <c r="F1618">
        <v>1</v>
      </c>
      <c r="G1618">
        <v>1</v>
      </c>
      <c r="H1618">
        <v>0</v>
      </c>
    </row>
    <row r="1619" spans="1:8" x14ac:dyDescent="0.25">
      <c r="A1619">
        <v>14554036</v>
      </c>
      <c r="B1619">
        <v>1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</row>
    <row r="1620" spans="1:8" x14ac:dyDescent="0.25">
      <c r="A1620">
        <v>14554057</v>
      </c>
      <c r="B1620">
        <v>2</v>
      </c>
      <c r="C1620">
        <v>0</v>
      </c>
      <c r="D1620">
        <v>0</v>
      </c>
      <c r="E1620">
        <v>0</v>
      </c>
      <c r="F1620">
        <v>0</v>
      </c>
      <c r="G1620">
        <v>1</v>
      </c>
      <c r="H1620">
        <v>0</v>
      </c>
    </row>
    <row r="1621" spans="1:8" x14ac:dyDescent="0.25">
      <c r="A1621">
        <v>14554059</v>
      </c>
      <c r="B1621">
        <v>2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</row>
    <row r="1622" spans="1:8" x14ac:dyDescent="0.25">
      <c r="A1622">
        <v>14554985</v>
      </c>
      <c r="B1622">
        <v>6</v>
      </c>
      <c r="C1622">
        <v>0</v>
      </c>
      <c r="D1622">
        <v>0</v>
      </c>
      <c r="E1622">
        <v>2</v>
      </c>
      <c r="F1622">
        <v>4</v>
      </c>
      <c r="G1622">
        <v>7</v>
      </c>
      <c r="H1622">
        <v>0</v>
      </c>
    </row>
    <row r="1623" spans="1:8" x14ac:dyDescent="0.25">
      <c r="A1623">
        <v>14554986</v>
      </c>
      <c r="B1623">
        <v>21</v>
      </c>
      <c r="C1623">
        <v>0</v>
      </c>
      <c r="D1623">
        <v>0</v>
      </c>
      <c r="E1623">
        <v>2</v>
      </c>
      <c r="F1623">
        <v>4</v>
      </c>
      <c r="G1623">
        <v>6</v>
      </c>
      <c r="H1623">
        <v>0</v>
      </c>
    </row>
    <row r="1624" spans="1:8" x14ac:dyDescent="0.25">
      <c r="A1624">
        <v>14557016</v>
      </c>
      <c r="B1624">
        <v>-1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</row>
    <row r="1625" spans="1:8" x14ac:dyDescent="0.25">
      <c r="A1625">
        <v>14557278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</row>
    <row r="1626" spans="1:8" x14ac:dyDescent="0.25">
      <c r="A1626">
        <v>14557279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</row>
    <row r="1627" spans="1:8" x14ac:dyDescent="0.25">
      <c r="A1627">
        <v>14562833</v>
      </c>
      <c r="B1627">
        <v>5</v>
      </c>
      <c r="C1627">
        <v>0</v>
      </c>
      <c r="D1627">
        <v>1</v>
      </c>
      <c r="E1627">
        <v>1</v>
      </c>
      <c r="F1627">
        <v>2</v>
      </c>
      <c r="G1627">
        <v>2</v>
      </c>
      <c r="H1627">
        <v>174.99</v>
      </c>
    </row>
    <row r="1628" spans="1:8" x14ac:dyDescent="0.25">
      <c r="A1628">
        <v>14564137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</row>
    <row r="1629" spans="1:8" x14ac:dyDescent="0.25">
      <c r="A1629">
        <v>14566279</v>
      </c>
      <c r="B1629">
        <v>1</v>
      </c>
      <c r="C1629">
        <v>0</v>
      </c>
      <c r="D1629">
        <v>0</v>
      </c>
      <c r="E1629">
        <v>1</v>
      </c>
      <c r="F1629">
        <v>1</v>
      </c>
      <c r="G1629">
        <v>4</v>
      </c>
      <c r="H1629">
        <v>0</v>
      </c>
    </row>
    <row r="1630" spans="1:8" x14ac:dyDescent="0.25">
      <c r="A1630">
        <v>14568800</v>
      </c>
      <c r="B1630">
        <v>4</v>
      </c>
      <c r="C1630">
        <v>0</v>
      </c>
      <c r="D1630">
        <v>0</v>
      </c>
      <c r="E1630">
        <v>0</v>
      </c>
      <c r="F1630">
        <v>4</v>
      </c>
      <c r="G1630">
        <v>3</v>
      </c>
      <c r="H1630">
        <v>0</v>
      </c>
    </row>
    <row r="1631" spans="1:8" x14ac:dyDescent="0.25">
      <c r="A1631">
        <v>14568801</v>
      </c>
      <c r="B1631">
        <v>3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</row>
    <row r="1632" spans="1:8" x14ac:dyDescent="0.25">
      <c r="A1632">
        <v>14568803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2</v>
      </c>
      <c r="H1632">
        <v>0</v>
      </c>
    </row>
    <row r="1633" spans="1:8" x14ac:dyDescent="0.25">
      <c r="A1633">
        <v>14569811</v>
      </c>
      <c r="B1633">
        <v>92</v>
      </c>
      <c r="C1633">
        <v>0</v>
      </c>
      <c r="D1633">
        <v>0</v>
      </c>
      <c r="E1633">
        <v>0</v>
      </c>
      <c r="F1633">
        <v>2</v>
      </c>
      <c r="G1633">
        <v>4</v>
      </c>
      <c r="H1633">
        <v>0</v>
      </c>
    </row>
    <row r="1634" spans="1:8" x14ac:dyDescent="0.25">
      <c r="A1634">
        <v>14574190</v>
      </c>
      <c r="B1634">
        <v>10</v>
      </c>
      <c r="C1634">
        <v>0</v>
      </c>
      <c r="D1634">
        <v>0</v>
      </c>
      <c r="E1634">
        <v>-2</v>
      </c>
      <c r="F1634">
        <v>1</v>
      </c>
      <c r="G1634">
        <v>53</v>
      </c>
      <c r="H1634">
        <v>0</v>
      </c>
    </row>
    <row r="1635" spans="1:8" x14ac:dyDescent="0.25">
      <c r="A1635">
        <v>14574191</v>
      </c>
      <c r="B1635">
        <v>4</v>
      </c>
      <c r="C1635">
        <v>0</v>
      </c>
      <c r="D1635">
        <v>0</v>
      </c>
      <c r="E1635">
        <v>0</v>
      </c>
      <c r="F1635">
        <v>6</v>
      </c>
      <c r="G1635">
        <v>38</v>
      </c>
      <c r="H1635">
        <v>0</v>
      </c>
    </row>
    <row r="1636" spans="1:8" x14ac:dyDescent="0.25">
      <c r="A1636">
        <v>14574192</v>
      </c>
      <c r="B1636">
        <v>-2</v>
      </c>
      <c r="C1636">
        <v>0</v>
      </c>
      <c r="D1636">
        <v>0</v>
      </c>
      <c r="E1636">
        <v>0</v>
      </c>
      <c r="F1636">
        <v>3</v>
      </c>
      <c r="G1636">
        <v>13</v>
      </c>
      <c r="H1636">
        <v>0</v>
      </c>
    </row>
    <row r="1637" spans="1:8" x14ac:dyDescent="0.25">
      <c r="A1637">
        <v>14574193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1</v>
      </c>
      <c r="H1637">
        <v>0</v>
      </c>
    </row>
    <row r="1638" spans="1:8" x14ac:dyDescent="0.25">
      <c r="A1638">
        <v>14576703</v>
      </c>
      <c r="B1638">
        <v>249</v>
      </c>
      <c r="C1638">
        <v>0</v>
      </c>
      <c r="D1638">
        <v>17</v>
      </c>
      <c r="E1638">
        <v>94</v>
      </c>
      <c r="F1638">
        <v>497</v>
      </c>
      <c r="G1638">
        <v>2163</v>
      </c>
      <c r="H1638">
        <v>73.665300000000002</v>
      </c>
    </row>
    <row r="1639" spans="1:8" x14ac:dyDescent="0.25">
      <c r="A1639">
        <v>14576704</v>
      </c>
      <c r="B1639">
        <v>2</v>
      </c>
      <c r="C1639">
        <v>0</v>
      </c>
      <c r="D1639">
        <v>0</v>
      </c>
      <c r="E1639">
        <v>0</v>
      </c>
      <c r="F1639">
        <v>0</v>
      </c>
      <c r="G1639">
        <v>54</v>
      </c>
      <c r="H1639">
        <v>0</v>
      </c>
    </row>
    <row r="1640" spans="1:8" x14ac:dyDescent="0.25">
      <c r="A1640">
        <v>14576982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1</v>
      </c>
      <c r="H1640">
        <v>0</v>
      </c>
    </row>
    <row r="1641" spans="1:8" x14ac:dyDescent="0.25">
      <c r="A1641">
        <v>14580163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39</v>
      </c>
      <c r="H1641">
        <v>0</v>
      </c>
    </row>
    <row r="1642" spans="1:8" x14ac:dyDescent="0.25">
      <c r="A1642">
        <v>14580510</v>
      </c>
      <c r="B1642">
        <v>2</v>
      </c>
      <c r="C1642">
        <v>0</v>
      </c>
      <c r="D1642">
        <v>0</v>
      </c>
      <c r="E1642">
        <v>0</v>
      </c>
      <c r="F1642">
        <v>6</v>
      </c>
      <c r="G1642">
        <v>202</v>
      </c>
      <c r="H1642">
        <v>0</v>
      </c>
    </row>
    <row r="1643" spans="1:8" x14ac:dyDescent="0.25">
      <c r="A1643">
        <v>14581506</v>
      </c>
      <c r="B1643">
        <v>102</v>
      </c>
      <c r="C1643">
        <v>24</v>
      </c>
      <c r="D1643">
        <v>6</v>
      </c>
      <c r="E1643">
        <v>9</v>
      </c>
      <c r="F1643">
        <v>23</v>
      </c>
      <c r="G1643">
        <v>121</v>
      </c>
      <c r="H1643">
        <v>37.369999999999997</v>
      </c>
    </row>
    <row r="1644" spans="1:8" x14ac:dyDescent="0.25">
      <c r="A1644">
        <v>14581507</v>
      </c>
      <c r="B1644">
        <v>76</v>
      </c>
      <c r="C1644">
        <v>27</v>
      </c>
      <c r="D1644">
        <v>1</v>
      </c>
      <c r="E1644">
        <v>19</v>
      </c>
      <c r="F1644">
        <v>41</v>
      </c>
      <c r="G1644">
        <v>84</v>
      </c>
      <c r="H1644">
        <v>39.99</v>
      </c>
    </row>
    <row r="1645" spans="1:8" x14ac:dyDescent="0.25">
      <c r="A1645">
        <v>14581508</v>
      </c>
      <c r="B1645">
        <v>18</v>
      </c>
      <c r="C1645">
        <v>81</v>
      </c>
      <c r="D1645">
        <v>1</v>
      </c>
      <c r="E1645">
        <v>3</v>
      </c>
      <c r="F1645">
        <v>13</v>
      </c>
      <c r="G1645">
        <v>91</v>
      </c>
      <c r="H1645">
        <v>39.99</v>
      </c>
    </row>
    <row r="1646" spans="1:8" x14ac:dyDescent="0.25">
      <c r="A1646">
        <v>14581571</v>
      </c>
      <c r="B1646">
        <v>5</v>
      </c>
      <c r="C1646">
        <v>0</v>
      </c>
      <c r="D1646">
        <v>0</v>
      </c>
      <c r="E1646">
        <v>0</v>
      </c>
      <c r="F1646">
        <v>0</v>
      </c>
      <c r="G1646">
        <v>3</v>
      </c>
      <c r="H1646">
        <v>0</v>
      </c>
    </row>
    <row r="1647" spans="1:8" x14ac:dyDescent="0.25">
      <c r="A1647">
        <v>14581926</v>
      </c>
      <c r="B1647">
        <v>1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</row>
    <row r="1648" spans="1:8" x14ac:dyDescent="0.25">
      <c r="A1648">
        <v>14585110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</row>
    <row r="1649" spans="1:8" x14ac:dyDescent="0.25">
      <c r="A1649">
        <v>14586178</v>
      </c>
      <c r="B1649">
        <v>284</v>
      </c>
      <c r="C1649">
        <v>0</v>
      </c>
      <c r="D1649">
        <v>11</v>
      </c>
      <c r="E1649">
        <v>51</v>
      </c>
      <c r="F1649">
        <v>212</v>
      </c>
      <c r="G1649">
        <v>457</v>
      </c>
      <c r="H1649">
        <v>39.240900000000003</v>
      </c>
    </row>
    <row r="1650" spans="1:8" x14ac:dyDescent="0.25">
      <c r="A1650">
        <v>14586549</v>
      </c>
      <c r="B1650">
        <v>120</v>
      </c>
      <c r="C1650">
        <v>3</v>
      </c>
      <c r="D1650">
        <v>16</v>
      </c>
      <c r="E1650">
        <v>55</v>
      </c>
      <c r="F1650">
        <v>254</v>
      </c>
      <c r="G1650">
        <v>685</v>
      </c>
      <c r="H1650">
        <v>123.74</v>
      </c>
    </row>
    <row r="1651" spans="1:8" x14ac:dyDescent="0.25">
      <c r="A1651">
        <v>14586550</v>
      </c>
      <c r="B1651">
        <v>127</v>
      </c>
      <c r="C1651">
        <v>35</v>
      </c>
      <c r="D1651">
        <v>27</v>
      </c>
      <c r="E1651">
        <v>88</v>
      </c>
      <c r="F1651">
        <v>303</v>
      </c>
      <c r="G1651">
        <v>716</v>
      </c>
      <c r="H1651">
        <v>140.9752</v>
      </c>
    </row>
    <row r="1652" spans="1:8" x14ac:dyDescent="0.25">
      <c r="A1652">
        <v>14586551</v>
      </c>
      <c r="B1652">
        <v>1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</row>
    <row r="1653" spans="1:8" x14ac:dyDescent="0.25">
      <c r="A1653">
        <v>14586555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</row>
    <row r="1654" spans="1:8" x14ac:dyDescent="0.25">
      <c r="A1654">
        <v>14586556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</row>
    <row r="1655" spans="1:8" x14ac:dyDescent="0.25">
      <c r="A1655">
        <v>14586568</v>
      </c>
      <c r="B1655">
        <v>1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</row>
    <row r="1656" spans="1:8" x14ac:dyDescent="0.25">
      <c r="A1656">
        <v>14586578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</row>
    <row r="1657" spans="1:8" x14ac:dyDescent="0.25">
      <c r="A1657">
        <v>14586909</v>
      </c>
      <c r="B1657">
        <v>10</v>
      </c>
      <c r="C1657">
        <v>0</v>
      </c>
      <c r="D1657">
        <v>0</v>
      </c>
      <c r="E1657">
        <v>0</v>
      </c>
      <c r="F1657">
        <v>0</v>
      </c>
      <c r="G1657">
        <v>3</v>
      </c>
      <c r="H1657">
        <v>0</v>
      </c>
    </row>
    <row r="1658" spans="1:8" x14ac:dyDescent="0.25">
      <c r="A1658">
        <v>14586911</v>
      </c>
      <c r="B1658">
        <v>-1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</row>
    <row r="1659" spans="1:8" x14ac:dyDescent="0.25">
      <c r="A1659">
        <v>14587463</v>
      </c>
      <c r="B1659">
        <v>105</v>
      </c>
      <c r="C1659">
        <v>6</v>
      </c>
      <c r="D1659">
        <v>7</v>
      </c>
      <c r="E1659">
        <v>17</v>
      </c>
      <c r="F1659">
        <v>58</v>
      </c>
      <c r="G1659">
        <v>152</v>
      </c>
      <c r="H1659">
        <v>57.492899999999999</v>
      </c>
    </row>
    <row r="1660" spans="1:8" x14ac:dyDescent="0.25">
      <c r="A1660">
        <v>14587464</v>
      </c>
      <c r="B1660">
        <v>1</v>
      </c>
      <c r="C1660">
        <v>0</v>
      </c>
      <c r="D1660">
        <v>0</v>
      </c>
      <c r="E1660">
        <v>1</v>
      </c>
      <c r="F1660">
        <v>5</v>
      </c>
      <c r="G1660">
        <v>9</v>
      </c>
      <c r="H1660">
        <v>0</v>
      </c>
    </row>
    <row r="1661" spans="1:8" x14ac:dyDescent="0.25">
      <c r="A1661">
        <v>14587465</v>
      </c>
      <c r="B1661">
        <v>4</v>
      </c>
      <c r="C1661">
        <v>0</v>
      </c>
      <c r="D1661">
        <v>0</v>
      </c>
      <c r="E1661">
        <v>2</v>
      </c>
      <c r="F1661">
        <v>15</v>
      </c>
      <c r="G1661">
        <v>27</v>
      </c>
      <c r="H1661">
        <v>0</v>
      </c>
    </row>
    <row r="1662" spans="1:8" x14ac:dyDescent="0.25">
      <c r="A1662">
        <v>14587469</v>
      </c>
      <c r="B1662">
        <v>16</v>
      </c>
      <c r="C1662">
        <v>0</v>
      </c>
      <c r="D1662">
        <v>-1</v>
      </c>
      <c r="E1662">
        <v>0</v>
      </c>
      <c r="F1662">
        <v>1</v>
      </c>
      <c r="G1662">
        <v>5</v>
      </c>
      <c r="H1662">
        <v>77</v>
      </c>
    </row>
    <row r="1663" spans="1:8" x14ac:dyDescent="0.25">
      <c r="A1663">
        <v>14587470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1</v>
      </c>
      <c r="H1663">
        <v>0</v>
      </c>
    </row>
    <row r="1664" spans="1:8" x14ac:dyDescent="0.25">
      <c r="A1664">
        <v>14587471</v>
      </c>
      <c r="B1664">
        <v>681</v>
      </c>
      <c r="C1664">
        <v>170</v>
      </c>
      <c r="D1664">
        <v>79</v>
      </c>
      <c r="E1664">
        <v>377</v>
      </c>
      <c r="F1664">
        <v>1354</v>
      </c>
      <c r="G1664">
        <v>2652</v>
      </c>
      <c r="H1664">
        <v>18.526800000000001</v>
      </c>
    </row>
    <row r="1665" spans="1:8" x14ac:dyDescent="0.25">
      <c r="A1665">
        <v>14587472</v>
      </c>
      <c r="B1665">
        <v>136</v>
      </c>
      <c r="C1665">
        <v>0</v>
      </c>
      <c r="D1665">
        <v>3</v>
      </c>
      <c r="E1665">
        <v>17</v>
      </c>
      <c r="F1665">
        <v>60</v>
      </c>
      <c r="G1665">
        <v>150</v>
      </c>
      <c r="H1665">
        <v>8.9</v>
      </c>
    </row>
    <row r="1666" spans="1:8" x14ac:dyDescent="0.25">
      <c r="A1666">
        <v>14587473</v>
      </c>
      <c r="B1666">
        <v>1</v>
      </c>
      <c r="C1666">
        <v>0</v>
      </c>
      <c r="D1666">
        <v>0</v>
      </c>
      <c r="E1666">
        <v>0</v>
      </c>
      <c r="F1666">
        <v>18</v>
      </c>
      <c r="G1666">
        <v>22</v>
      </c>
      <c r="H1666">
        <v>0</v>
      </c>
    </row>
    <row r="1667" spans="1:8" x14ac:dyDescent="0.25">
      <c r="A1667">
        <v>14588551</v>
      </c>
      <c r="B1667">
        <v>3</v>
      </c>
      <c r="C1667">
        <v>0</v>
      </c>
      <c r="D1667">
        <v>0</v>
      </c>
      <c r="E1667">
        <v>1</v>
      </c>
      <c r="F1667">
        <v>2</v>
      </c>
      <c r="G1667">
        <v>6</v>
      </c>
      <c r="H1667">
        <v>0</v>
      </c>
    </row>
    <row r="1668" spans="1:8" x14ac:dyDescent="0.25">
      <c r="A1668">
        <v>14588553</v>
      </c>
      <c r="B1668">
        <v>0</v>
      </c>
      <c r="C1668">
        <v>0</v>
      </c>
      <c r="D1668">
        <v>0</v>
      </c>
      <c r="E1668">
        <v>0</v>
      </c>
      <c r="F1668">
        <v>1</v>
      </c>
      <c r="G1668">
        <v>1</v>
      </c>
      <c r="H1668">
        <v>0</v>
      </c>
    </row>
    <row r="1669" spans="1:8" x14ac:dyDescent="0.25">
      <c r="A1669">
        <v>14588853</v>
      </c>
      <c r="B1669">
        <v>303</v>
      </c>
      <c r="C1669">
        <v>24</v>
      </c>
      <c r="D1669">
        <v>20</v>
      </c>
      <c r="E1669">
        <v>89</v>
      </c>
      <c r="F1669">
        <v>317</v>
      </c>
      <c r="G1669">
        <v>810</v>
      </c>
      <c r="H1669">
        <v>341.3175</v>
      </c>
    </row>
    <row r="1670" spans="1:8" x14ac:dyDescent="0.25">
      <c r="A1670">
        <v>14590015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</row>
    <row r="1671" spans="1:8" x14ac:dyDescent="0.25">
      <c r="A1671">
        <v>14591320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</row>
    <row r="1672" spans="1:8" x14ac:dyDescent="0.25">
      <c r="A1672">
        <v>14591323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</row>
    <row r="1673" spans="1:8" x14ac:dyDescent="0.25">
      <c r="A1673">
        <v>14591328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2</v>
      </c>
      <c r="H1673">
        <v>0</v>
      </c>
    </row>
    <row r="1674" spans="1:8" x14ac:dyDescent="0.25">
      <c r="A1674">
        <v>14591751</v>
      </c>
      <c r="B1674">
        <v>447</v>
      </c>
      <c r="C1674">
        <v>95</v>
      </c>
      <c r="D1674">
        <v>54</v>
      </c>
      <c r="E1674">
        <v>105</v>
      </c>
      <c r="F1674">
        <v>417</v>
      </c>
      <c r="G1674">
        <v>1189</v>
      </c>
      <c r="H1674">
        <v>31.523099999999999</v>
      </c>
    </row>
    <row r="1675" spans="1:8" x14ac:dyDescent="0.25">
      <c r="A1675">
        <v>14591752</v>
      </c>
      <c r="B1675">
        <v>327</v>
      </c>
      <c r="C1675">
        <v>16</v>
      </c>
      <c r="D1675">
        <v>22</v>
      </c>
      <c r="E1675">
        <v>24</v>
      </c>
      <c r="F1675">
        <v>93</v>
      </c>
      <c r="G1675">
        <v>336</v>
      </c>
      <c r="H1675">
        <v>43.991799999999998</v>
      </c>
    </row>
    <row r="1676" spans="1:8" x14ac:dyDescent="0.25">
      <c r="A1676">
        <v>14591753</v>
      </c>
      <c r="B1676">
        <v>369</v>
      </c>
      <c r="C1676">
        <v>65</v>
      </c>
      <c r="D1676">
        <v>26</v>
      </c>
      <c r="E1676">
        <v>54</v>
      </c>
      <c r="F1676">
        <v>188</v>
      </c>
      <c r="G1676">
        <v>668</v>
      </c>
      <c r="H1676">
        <v>73.531899999999993</v>
      </c>
    </row>
    <row r="1677" spans="1:8" x14ac:dyDescent="0.25">
      <c r="A1677">
        <v>14591754</v>
      </c>
      <c r="B1677">
        <v>267</v>
      </c>
      <c r="C1677">
        <v>171</v>
      </c>
      <c r="D1677">
        <v>4</v>
      </c>
      <c r="E1677">
        <v>16</v>
      </c>
      <c r="F1677">
        <v>155</v>
      </c>
      <c r="G1677">
        <v>602</v>
      </c>
      <c r="H1677">
        <v>136.91249999999999</v>
      </c>
    </row>
    <row r="1678" spans="1:8" x14ac:dyDescent="0.25">
      <c r="A1678">
        <v>14591756</v>
      </c>
      <c r="B1678">
        <v>10</v>
      </c>
      <c r="C1678">
        <v>0</v>
      </c>
      <c r="D1678">
        <v>0</v>
      </c>
      <c r="E1678">
        <v>0</v>
      </c>
      <c r="F1678">
        <v>25</v>
      </c>
      <c r="G1678">
        <v>153</v>
      </c>
      <c r="H1678">
        <v>0</v>
      </c>
    </row>
    <row r="1679" spans="1:8" x14ac:dyDescent="0.25">
      <c r="A1679">
        <v>14594386</v>
      </c>
      <c r="B1679">
        <v>1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</row>
    <row r="1680" spans="1:8" x14ac:dyDescent="0.25">
      <c r="A1680">
        <v>14598948</v>
      </c>
      <c r="B1680">
        <v>1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</row>
    <row r="1681" spans="1:8" x14ac:dyDescent="0.25">
      <c r="A1681">
        <v>14598952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</row>
    <row r="1682" spans="1:8" x14ac:dyDescent="0.25">
      <c r="A1682">
        <v>14620145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1</v>
      </c>
      <c r="H1682">
        <v>0</v>
      </c>
    </row>
    <row r="1683" spans="1:8" x14ac:dyDescent="0.25">
      <c r="A1683">
        <v>14626458</v>
      </c>
      <c r="B1683">
        <v>-11</v>
      </c>
      <c r="C1683">
        <v>0</v>
      </c>
      <c r="D1683">
        <v>2</v>
      </c>
      <c r="E1683">
        <v>4</v>
      </c>
      <c r="F1683">
        <v>7</v>
      </c>
      <c r="G1683">
        <v>11</v>
      </c>
      <c r="H1683">
        <v>99.444999999999993</v>
      </c>
    </row>
    <row r="1684" spans="1:8" x14ac:dyDescent="0.25">
      <c r="A1684">
        <v>14630989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1</v>
      </c>
      <c r="H1684">
        <v>0</v>
      </c>
    </row>
    <row r="1685" spans="1:8" x14ac:dyDescent="0.25">
      <c r="A1685">
        <v>14630999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4</v>
      </c>
      <c r="H1685">
        <v>0</v>
      </c>
    </row>
    <row r="1686" spans="1:8" x14ac:dyDescent="0.25">
      <c r="A1686">
        <v>14631008</v>
      </c>
      <c r="B1686">
        <v>0</v>
      </c>
      <c r="C1686">
        <v>0</v>
      </c>
      <c r="D1686">
        <v>0</v>
      </c>
      <c r="E1686">
        <v>0</v>
      </c>
      <c r="F1686">
        <v>2</v>
      </c>
      <c r="G1686">
        <v>8</v>
      </c>
      <c r="H1686">
        <v>0</v>
      </c>
    </row>
    <row r="1687" spans="1:8" x14ac:dyDescent="0.25">
      <c r="A1687">
        <v>14645064</v>
      </c>
      <c r="B1687">
        <v>2</v>
      </c>
      <c r="C1687">
        <v>0</v>
      </c>
      <c r="D1687">
        <v>1</v>
      </c>
      <c r="E1687">
        <v>1</v>
      </c>
      <c r="F1687">
        <v>3</v>
      </c>
      <c r="G1687">
        <v>7</v>
      </c>
      <c r="H1687">
        <v>9.9700000000000006</v>
      </c>
    </row>
    <row r="1688" spans="1:8" x14ac:dyDescent="0.25">
      <c r="A1688">
        <v>14645276</v>
      </c>
      <c r="B1688">
        <v>59</v>
      </c>
      <c r="C1688">
        <v>16</v>
      </c>
      <c r="D1688">
        <v>5</v>
      </c>
      <c r="E1688">
        <v>13</v>
      </c>
      <c r="F1688">
        <v>43</v>
      </c>
      <c r="G1688">
        <v>77</v>
      </c>
      <c r="H1688">
        <v>147.99</v>
      </c>
    </row>
    <row r="1689" spans="1:8" x14ac:dyDescent="0.25">
      <c r="A1689">
        <v>14646690</v>
      </c>
      <c r="B1689">
        <v>0</v>
      </c>
      <c r="C1689">
        <v>0</v>
      </c>
      <c r="D1689">
        <v>0</v>
      </c>
      <c r="E1689">
        <v>0</v>
      </c>
      <c r="F1689">
        <v>1</v>
      </c>
      <c r="G1689">
        <v>1</v>
      </c>
      <c r="H1689">
        <v>0</v>
      </c>
    </row>
    <row r="1690" spans="1:8" x14ac:dyDescent="0.25">
      <c r="A1690">
        <v>14652089</v>
      </c>
      <c r="B1690">
        <v>1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</row>
    <row r="1691" spans="1:8" x14ac:dyDescent="0.25">
      <c r="A1691">
        <v>14656147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1</v>
      </c>
      <c r="H1691">
        <v>0</v>
      </c>
    </row>
    <row r="1692" spans="1:8" x14ac:dyDescent="0.25">
      <c r="A1692">
        <v>14658869</v>
      </c>
      <c r="B1692">
        <v>-8</v>
      </c>
      <c r="C1692">
        <v>0</v>
      </c>
      <c r="D1692">
        <v>0</v>
      </c>
      <c r="E1692">
        <v>0</v>
      </c>
      <c r="F1692">
        <v>1</v>
      </c>
      <c r="G1692">
        <v>6</v>
      </c>
      <c r="H1692">
        <v>0</v>
      </c>
    </row>
    <row r="1693" spans="1:8" x14ac:dyDescent="0.25">
      <c r="A1693">
        <v>14662386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1</v>
      </c>
      <c r="H1693">
        <v>0</v>
      </c>
    </row>
    <row r="1694" spans="1:8" x14ac:dyDescent="0.25">
      <c r="A1694">
        <v>14662387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1</v>
      </c>
      <c r="H1694">
        <v>0</v>
      </c>
    </row>
    <row r="1695" spans="1:8" x14ac:dyDescent="0.25">
      <c r="A1695">
        <v>14662390</v>
      </c>
      <c r="B1695">
        <v>0</v>
      </c>
      <c r="C1695">
        <v>0</v>
      </c>
      <c r="D1695">
        <v>0</v>
      </c>
      <c r="E1695">
        <v>0</v>
      </c>
      <c r="F1695">
        <v>1</v>
      </c>
      <c r="G1695">
        <v>1</v>
      </c>
      <c r="H1695">
        <v>0</v>
      </c>
    </row>
    <row r="1696" spans="1:8" x14ac:dyDescent="0.25">
      <c r="A1696">
        <v>14662404</v>
      </c>
      <c r="B1696">
        <v>3</v>
      </c>
      <c r="C1696">
        <v>0</v>
      </c>
      <c r="D1696">
        <v>0</v>
      </c>
      <c r="E1696">
        <v>0</v>
      </c>
      <c r="F1696">
        <v>0</v>
      </c>
      <c r="G1696">
        <v>4</v>
      </c>
      <c r="H1696">
        <v>0</v>
      </c>
    </row>
    <row r="1697" spans="1:8" x14ac:dyDescent="0.25">
      <c r="A1697">
        <v>14666005</v>
      </c>
      <c r="B1697">
        <v>37</v>
      </c>
      <c r="C1697">
        <v>5</v>
      </c>
      <c r="D1697">
        <v>4</v>
      </c>
      <c r="E1697">
        <v>9</v>
      </c>
      <c r="F1697">
        <v>34</v>
      </c>
      <c r="G1697">
        <v>83</v>
      </c>
      <c r="H1697">
        <v>289</v>
      </c>
    </row>
    <row r="1698" spans="1:8" x14ac:dyDescent="0.25">
      <c r="A1698">
        <v>14666006</v>
      </c>
      <c r="B1698">
        <v>40</v>
      </c>
      <c r="C1698">
        <v>0</v>
      </c>
      <c r="D1698">
        <v>3</v>
      </c>
      <c r="E1698">
        <v>8</v>
      </c>
      <c r="F1698">
        <v>19</v>
      </c>
      <c r="G1698">
        <v>51</v>
      </c>
      <c r="H1698">
        <v>262.33330000000001</v>
      </c>
    </row>
    <row r="1699" spans="1:8" x14ac:dyDescent="0.25">
      <c r="A1699">
        <v>14674704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</row>
    <row r="1700" spans="1:8" x14ac:dyDescent="0.25">
      <c r="A1700">
        <v>14676962</v>
      </c>
      <c r="B1700">
        <v>3</v>
      </c>
      <c r="C1700">
        <v>0</v>
      </c>
      <c r="D1700">
        <v>3</v>
      </c>
      <c r="E1700">
        <v>4</v>
      </c>
      <c r="F1700">
        <v>7</v>
      </c>
      <c r="G1700">
        <v>9</v>
      </c>
      <c r="H1700">
        <v>49.97</v>
      </c>
    </row>
    <row r="1701" spans="1:8" x14ac:dyDescent="0.25">
      <c r="A1701">
        <v>14676963</v>
      </c>
      <c r="B1701">
        <v>135</v>
      </c>
      <c r="C1701">
        <v>0</v>
      </c>
      <c r="D1701">
        <v>10</v>
      </c>
      <c r="E1701">
        <v>39</v>
      </c>
      <c r="F1701">
        <v>135</v>
      </c>
      <c r="G1701">
        <v>526</v>
      </c>
      <c r="H1701">
        <v>82.745999999999995</v>
      </c>
    </row>
    <row r="1702" spans="1:8" x14ac:dyDescent="0.25">
      <c r="A1702">
        <v>14676964</v>
      </c>
      <c r="B1702">
        <v>126</v>
      </c>
      <c r="C1702">
        <v>0</v>
      </c>
      <c r="D1702">
        <v>11</v>
      </c>
      <c r="E1702">
        <v>47</v>
      </c>
      <c r="F1702">
        <v>153</v>
      </c>
      <c r="G1702">
        <v>557</v>
      </c>
      <c r="H1702">
        <v>80.855500000000006</v>
      </c>
    </row>
    <row r="1703" spans="1:8" x14ac:dyDescent="0.25">
      <c r="A1703">
        <v>14676965</v>
      </c>
      <c r="B1703">
        <v>56</v>
      </c>
      <c r="C1703">
        <v>0</v>
      </c>
      <c r="D1703">
        <v>7</v>
      </c>
      <c r="E1703">
        <v>29</v>
      </c>
      <c r="F1703">
        <v>103</v>
      </c>
      <c r="G1703">
        <v>436</v>
      </c>
      <c r="H1703">
        <v>85.284300000000002</v>
      </c>
    </row>
    <row r="1704" spans="1:8" x14ac:dyDescent="0.25">
      <c r="A1704">
        <v>14676967</v>
      </c>
      <c r="B1704">
        <v>330</v>
      </c>
      <c r="C1704">
        <v>10</v>
      </c>
      <c r="D1704">
        <v>41</v>
      </c>
      <c r="E1704">
        <v>124</v>
      </c>
      <c r="F1704">
        <v>499</v>
      </c>
      <c r="G1704">
        <v>1503</v>
      </c>
      <c r="H1704">
        <v>12.3529</v>
      </c>
    </row>
    <row r="1705" spans="1:8" x14ac:dyDescent="0.25">
      <c r="A1705">
        <v>14676968</v>
      </c>
      <c r="B1705">
        <v>194</v>
      </c>
      <c r="C1705">
        <v>136</v>
      </c>
      <c r="D1705">
        <v>11</v>
      </c>
      <c r="E1705">
        <v>59</v>
      </c>
      <c r="F1705">
        <v>203</v>
      </c>
      <c r="G1705">
        <v>599</v>
      </c>
      <c r="H1705">
        <v>85.304500000000004</v>
      </c>
    </row>
    <row r="1706" spans="1:8" x14ac:dyDescent="0.25">
      <c r="A1706">
        <v>14677517</v>
      </c>
      <c r="B1706">
        <v>0</v>
      </c>
      <c r="C1706">
        <v>0</v>
      </c>
      <c r="D1706">
        <v>0</v>
      </c>
      <c r="E1706">
        <v>0</v>
      </c>
      <c r="F1706">
        <v>1</v>
      </c>
      <c r="G1706">
        <v>2</v>
      </c>
      <c r="H1706">
        <v>0</v>
      </c>
    </row>
    <row r="1707" spans="1:8" x14ac:dyDescent="0.25">
      <c r="A1707">
        <v>14677523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1</v>
      </c>
      <c r="H1707">
        <v>0</v>
      </c>
    </row>
    <row r="1708" spans="1:8" x14ac:dyDescent="0.25">
      <c r="A1708">
        <v>14677527</v>
      </c>
      <c r="B1708">
        <v>0</v>
      </c>
      <c r="C1708">
        <v>0</v>
      </c>
      <c r="D1708">
        <v>0</v>
      </c>
      <c r="E1708">
        <v>0</v>
      </c>
      <c r="F1708">
        <v>1</v>
      </c>
      <c r="G1708">
        <v>1</v>
      </c>
      <c r="H1708">
        <v>0</v>
      </c>
    </row>
    <row r="1709" spans="1:8" x14ac:dyDescent="0.25">
      <c r="A1709">
        <v>14677530</v>
      </c>
      <c r="B1709">
        <v>0</v>
      </c>
      <c r="C1709">
        <v>0</v>
      </c>
      <c r="D1709">
        <v>0</v>
      </c>
      <c r="E1709">
        <v>1</v>
      </c>
      <c r="F1709">
        <v>2</v>
      </c>
      <c r="G1709">
        <v>2</v>
      </c>
      <c r="H1709">
        <v>0</v>
      </c>
    </row>
    <row r="1710" spans="1:8" x14ac:dyDescent="0.25">
      <c r="A1710">
        <v>14677538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1</v>
      </c>
      <c r="H1710">
        <v>0</v>
      </c>
    </row>
    <row r="1711" spans="1:8" x14ac:dyDescent="0.25">
      <c r="A1711">
        <v>14677540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4</v>
      </c>
      <c r="H1711">
        <v>0</v>
      </c>
    </row>
    <row r="1712" spans="1:8" x14ac:dyDescent="0.25">
      <c r="A1712">
        <v>14677542</v>
      </c>
      <c r="B1712">
        <v>0</v>
      </c>
      <c r="C1712">
        <v>0</v>
      </c>
      <c r="D1712">
        <v>0</v>
      </c>
      <c r="E1712">
        <v>0</v>
      </c>
      <c r="F1712">
        <v>1</v>
      </c>
      <c r="G1712">
        <v>1</v>
      </c>
      <c r="H1712">
        <v>0</v>
      </c>
    </row>
    <row r="1713" spans="1:8" x14ac:dyDescent="0.25">
      <c r="A1713">
        <v>14677543</v>
      </c>
      <c r="B1713">
        <v>0</v>
      </c>
      <c r="C1713">
        <v>0</v>
      </c>
      <c r="D1713">
        <v>0</v>
      </c>
      <c r="E1713">
        <v>1</v>
      </c>
      <c r="F1713">
        <v>2</v>
      </c>
      <c r="G1713">
        <v>2</v>
      </c>
      <c r="H1713">
        <v>0</v>
      </c>
    </row>
    <row r="1714" spans="1:8" x14ac:dyDescent="0.25">
      <c r="A1714">
        <v>14682720</v>
      </c>
      <c r="B1714">
        <v>30</v>
      </c>
      <c r="C1714">
        <v>0</v>
      </c>
      <c r="D1714">
        <v>5</v>
      </c>
      <c r="E1714">
        <v>20</v>
      </c>
      <c r="F1714">
        <v>144</v>
      </c>
      <c r="G1714">
        <v>407</v>
      </c>
      <c r="H1714">
        <v>44.99</v>
      </c>
    </row>
    <row r="1715" spans="1:8" x14ac:dyDescent="0.25">
      <c r="A1715">
        <v>14682721</v>
      </c>
      <c r="B1715">
        <v>58</v>
      </c>
      <c r="C1715">
        <v>15</v>
      </c>
      <c r="D1715">
        <v>9</v>
      </c>
      <c r="E1715">
        <v>16</v>
      </c>
      <c r="F1715">
        <v>61</v>
      </c>
      <c r="G1715">
        <v>113</v>
      </c>
      <c r="H1715">
        <v>41.438899999999997</v>
      </c>
    </row>
    <row r="1716" spans="1:8" x14ac:dyDescent="0.25">
      <c r="A1716">
        <v>14682722</v>
      </c>
      <c r="B1716">
        <v>159</v>
      </c>
      <c r="C1716">
        <v>10</v>
      </c>
      <c r="D1716">
        <v>17</v>
      </c>
      <c r="E1716">
        <v>27</v>
      </c>
      <c r="F1716">
        <v>112</v>
      </c>
      <c r="G1716">
        <v>211</v>
      </c>
      <c r="H1716">
        <v>31.642399999999999</v>
      </c>
    </row>
    <row r="1717" spans="1:8" x14ac:dyDescent="0.25">
      <c r="A1717">
        <v>14684983</v>
      </c>
      <c r="B1717">
        <v>579</v>
      </c>
      <c r="C1717">
        <v>72</v>
      </c>
      <c r="D1717">
        <v>10</v>
      </c>
      <c r="E1717">
        <v>26</v>
      </c>
      <c r="F1717">
        <v>229</v>
      </c>
      <c r="G1717">
        <v>581</v>
      </c>
      <c r="H1717">
        <v>197.93100000000001</v>
      </c>
    </row>
    <row r="1718" spans="1:8" x14ac:dyDescent="0.25">
      <c r="A1718">
        <v>14685036</v>
      </c>
      <c r="B1718">
        <v>1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</row>
    <row r="1719" spans="1:8" x14ac:dyDescent="0.25">
      <c r="A1719">
        <v>14685191</v>
      </c>
      <c r="B1719">
        <v>1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</row>
    <row r="1720" spans="1:8" x14ac:dyDescent="0.25">
      <c r="A1720">
        <v>14685353</v>
      </c>
      <c r="B1720">
        <v>95</v>
      </c>
      <c r="C1720">
        <v>8</v>
      </c>
      <c r="D1720">
        <v>0</v>
      </c>
      <c r="E1720">
        <v>10</v>
      </c>
      <c r="F1720">
        <v>42</v>
      </c>
      <c r="G1720">
        <v>145</v>
      </c>
      <c r="H1720">
        <v>0</v>
      </c>
    </row>
    <row r="1721" spans="1:8" x14ac:dyDescent="0.25">
      <c r="A1721">
        <v>14685354</v>
      </c>
      <c r="B1721">
        <v>316</v>
      </c>
      <c r="C1721">
        <v>2</v>
      </c>
      <c r="D1721">
        <v>7</v>
      </c>
      <c r="E1721">
        <v>23</v>
      </c>
      <c r="F1721">
        <v>77</v>
      </c>
      <c r="G1721">
        <v>327</v>
      </c>
      <c r="H1721">
        <v>209</v>
      </c>
    </row>
    <row r="1722" spans="1:8" x14ac:dyDescent="0.25">
      <c r="A1722">
        <v>14685355</v>
      </c>
      <c r="B1722">
        <v>16</v>
      </c>
      <c r="C1722">
        <v>0</v>
      </c>
      <c r="D1722">
        <v>0</v>
      </c>
      <c r="E1722">
        <v>0</v>
      </c>
      <c r="F1722">
        <v>5</v>
      </c>
      <c r="G1722">
        <v>23</v>
      </c>
      <c r="H1722">
        <v>0</v>
      </c>
    </row>
    <row r="1723" spans="1:8" x14ac:dyDescent="0.25">
      <c r="A1723">
        <v>14685356</v>
      </c>
      <c r="B1723">
        <v>97</v>
      </c>
      <c r="C1723">
        <v>3</v>
      </c>
      <c r="D1723">
        <v>0</v>
      </c>
      <c r="E1723">
        <v>5</v>
      </c>
      <c r="F1723">
        <v>64</v>
      </c>
      <c r="G1723">
        <v>196</v>
      </c>
      <c r="H1723">
        <v>0</v>
      </c>
    </row>
    <row r="1724" spans="1:8" x14ac:dyDescent="0.25">
      <c r="A1724">
        <v>14686865</v>
      </c>
      <c r="B1724">
        <v>1</v>
      </c>
      <c r="C1724">
        <v>0</v>
      </c>
      <c r="D1724">
        <v>0</v>
      </c>
      <c r="E1724">
        <v>1</v>
      </c>
      <c r="F1724">
        <v>1</v>
      </c>
      <c r="G1724">
        <v>2</v>
      </c>
      <c r="H1724">
        <v>0</v>
      </c>
    </row>
    <row r="1725" spans="1:8" x14ac:dyDescent="0.25">
      <c r="A1725">
        <v>14686955</v>
      </c>
      <c r="B1725">
        <v>-2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</row>
    <row r="1726" spans="1:8" x14ac:dyDescent="0.25">
      <c r="A1726">
        <v>14686956</v>
      </c>
      <c r="B1726">
        <v>26</v>
      </c>
      <c r="C1726">
        <v>0</v>
      </c>
      <c r="D1726">
        <v>0</v>
      </c>
      <c r="E1726">
        <v>2</v>
      </c>
      <c r="F1726">
        <v>12</v>
      </c>
      <c r="G1726">
        <v>35</v>
      </c>
      <c r="H1726">
        <v>0</v>
      </c>
    </row>
    <row r="1727" spans="1:8" x14ac:dyDescent="0.25">
      <c r="A1727">
        <v>14687879</v>
      </c>
      <c r="B1727">
        <v>5</v>
      </c>
      <c r="C1727">
        <v>0</v>
      </c>
      <c r="D1727">
        <v>0</v>
      </c>
      <c r="E1727">
        <v>0</v>
      </c>
      <c r="F1727">
        <v>1</v>
      </c>
      <c r="G1727">
        <v>1</v>
      </c>
      <c r="H1727">
        <v>0</v>
      </c>
    </row>
    <row r="1728" spans="1:8" x14ac:dyDescent="0.25">
      <c r="A1728">
        <v>14687881</v>
      </c>
      <c r="B1728">
        <v>-4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</row>
    <row r="1729" spans="1:8" x14ac:dyDescent="0.25">
      <c r="A1729">
        <v>14689311</v>
      </c>
      <c r="B1729">
        <v>0</v>
      </c>
      <c r="C1729">
        <v>0</v>
      </c>
      <c r="D1729">
        <v>0</v>
      </c>
      <c r="E1729">
        <v>0</v>
      </c>
      <c r="F1729">
        <v>3</v>
      </c>
      <c r="G1729">
        <v>10</v>
      </c>
      <c r="H1729">
        <v>0</v>
      </c>
    </row>
    <row r="1730" spans="1:8" x14ac:dyDescent="0.25">
      <c r="A1730">
        <v>14689314</v>
      </c>
      <c r="B1730">
        <v>3</v>
      </c>
      <c r="C1730">
        <v>0</v>
      </c>
      <c r="D1730">
        <v>0</v>
      </c>
      <c r="E1730">
        <v>0</v>
      </c>
      <c r="F1730">
        <v>1</v>
      </c>
      <c r="G1730">
        <v>10</v>
      </c>
      <c r="H1730">
        <v>0</v>
      </c>
    </row>
    <row r="1731" spans="1:8" x14ac:dyDescent="0.25">
      <c r="A1731">
        <v>14689315</v>
      </c>
      <c r="B1731">
        <v>-1</v>
      </c>
      <c r="C1731">
        <v>0</v>
      </c>
      <c r="D1731">
        <v>0</v>
      </c>
      <c r="E1731">
        <v>0</v>
      </c>
      <c r="F1731">
        <v>3</v>
      </c>
      <c r="G1731">
        <v>15</v>
      </c>
      <c r="H1731">
        <v>0</v>
      </c>
    </row>
    <row r="1732" spans="1:8" x14ac:dyDescent="0.25">
      <c r="A1732">
        <v>14689316</v>
      </c>
      <c r="B1732">
        <v>0</v>
      </c>
      <c r="C1732">
        <v>0</v>
      </c>
      <c r="D1732">
        <v>0</v>
      </c>
      <c r="E1732">
        <v>0</v>
      </c>
      <c r="F1732">
        <v>2</v>
      </c>
      <c r="G1732">
        <v>9</v>
      </c>
      <c r="H1732">
        <v>0</v>
      </c>
    </row>
    <row r="1733" spans="1:8" x14ac:dyDescent="0.25">
      <c r="A1733">
        <v>14689318</v>
      </c>
      <c r="B1733">
        <v>285</v>
      </c>
      <c r="C1733">
        <v>0</v>
      </c>
      <c r="D1733">
        <v>1</v>
      </c>
      <c r="E1733">
        <v>13</v>
      </c>
      <c r="F1733">
        <v>46</v>
      </c>
      <c r="G1733">
        <v>157</v>
      </c>
      <c r="H1733">
        <v>116.94</v>
      </c>
    </row>
    <row r="1734" spans="1:8" x14ac:dyDescent="0.25">
      <c r="A1734">
        <v>14691001</v>
      </c>
      <c r="B1734">
        <v>19</v>
      </c>
      <c r="C1734">
        <v>0</v>
      </c>
      <c r="D1734">
        <v>1</v>
      </c>
      <c r="E1734">
        <v>2</v>
      </c>
      <c r="F1734">
        <v>12</v>
      </c>
      <c r="G1734">
        <v>38</v>
      </c>
      <c r="H1734">
        <v>95.99</v>
      </c>
    </row>
    <row r="1735" spans="1:8" x14ac:dyDescent="0.25">
      <c r="A1735">
        <v>14691002</v>
      </c>
      <c r="B1735">
        <v>2</v>
      </c>
      <c r="C1735">
        <v>0</v>
      </c>
      <c r="D1735">
        <v>1</v>
      </c>
      <c r="E1735">
        <v>2</v>
      </c>
      <c r="F1735">
        <v>6</v>
      </c>
      <c r="G1735">
        <v>29</v>
      </c>
      <c r="H1735">
        <v>119.99</v>
      </c>
    </row>
    <row r="1736" spans="1:8" x14ac:dyDescent="0.25">
      <c r="A1736">
        <v>14695181</v>
      </c>
      <c r="B1736">
        <v>10</v>
      </c>
      <c r="C1736">
        <v>0</v>
      </c>
      <c r="D1736">
        <v>0</v>
      </c>
      <c r="E1736">
        <v>0</v>
      </c>
      <c r="F1736">
        <v>6</v>
      </c>
      <c r="G1736">
        <v>21</v>
      </c>
      <c r="H1736">
        <v>0</v>
      </c>
    </row>
    <row r="1737" spans="1:8" x14ac:dyDescent="0.25">
      <c r="A1737">
        <v>14697258</v>
      </c>
      <c r="B1737">
        <v>2</v>
      </c>
      <c r="C1737">
        <v>0</v>
      </c>
      <c r="D1737">
        <v>3</v>
      </c>
      <c r="E1737">
        <v>3</v>
      </c>
      <c r="F1737">
        <v>5</v>
      </c>
      <c r="G1737">
        <v>8</v>
      </c>
      <c r="H1737">
        <v>499.99</v>
      </c>
    </row>
    <row r="1738" spans="1:8" x14ac:dyDescent="0.25">
      <c r="A1738">
        <v>14697259</v>
      </c>
      <c r="B1738">
        <v>115</v>
      </c>
      <c r="C1738">
        <v>43</v>
      </c>
      <c r="D1738">
        <v>32</v>
      </c>
      <c r="E1738">
        <v>81</v>
      </c>
      <c r="F1738">
        <v>236</v>
      </c>
      <c r="G1738">
        <v>531</v>
      </c>
      <c r="H1738">
        <v>348.33499999999998</v>
      </c>
    </row>
    <row r="1739" spans="1:8" x14ac:dyDescent="0.25">
      <c r="A1739">
        <v>14697386</v>
      </c>
      <c r="B1739">
        <v>3</v>
      </c>
      <c r="C1739">
        <v>0</v>
      </c>
      <c r="D1739">
        <v>0</v>
      </c>
      <c r="E1739">
        <v>0</v>
      </c>
      <c r="F1739">
        <v>4</v>
      </c>
      <c r="G1739">
        <v>13</v>
      </c>
      <c r="H1739">
        <v>0</v>
      </c>
    </row>
    <row r="1740" spans="1:8" x14ac:dyDescent="0.25">
      <c r="A1740">
        <v>14697387</v>
      </c>
      <c r="B1740">
        <v>4</v>
      </c>
      <c r="C1740">
        <v>0</v>
      </c>
      <c r="D1740">
        <v>0</v>
      </c>
      <c r="E1740">
        <v>0</v>
      </c>
      <c r="F1740">
        <v>3</v>
      </c>
      <c r="G1740">
        <v>20</v>
      </c>
      <c r="H1740">
        <v>0</v>
      </c>
    </row>
    <row r="1741" spans="1:8" x14ac:dyDescent="0.25">
      <c r="A1741">
        <v>14697388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7</v>
      </c>
      <c r="H1741">
        <v>0</v>
      </c>
    </row>
    <row r="1742" spans="1:8" x14ac:dyDescent="0.25">
      <c r="A1742">
        <v>14699232</v>
      </c>
      <c r="B1742">
        <v>20</v>
      </c>
      <c r="C1742">
        <v>0</v>
      </c>
      <c r="D1742">
        <v>2</v>
      </c>
      <c r="E1742">
        <v>3</v>
      </c>
      <c r="F1742">
        <v>23</v>
      </c>
      <c r="G1742">
        <v>71</v>
      </c>
      <c r="H1742">
        <v>19.989999999999998</v>
      </c>
    </row>
    <row r="1743" spans="1:8" x14ac:dyDescent="0.25">
      <c r="A1743">
        <v>14699233</v>
      </c>
      <c r="B1743">
        <v>12</v>
      </c>
      <c r="C1743">
        <v>0</v>
      </c>
      <c r="D1743">
        <v>0</v>
      </c>
      <c r="E1743">
        <v>2</v>
      </c>
      <c r="F1743">
        <v>14</v>
      </c>
      <c r="G1743">
        <v>57</v>
      </c>
      <c r="H1743">
        <v>0</v>
      </c>
    </row>
    <row r="1744" spans="1:8" x14ac:dyDescent="0.25">
      <c r="A1744">
        <v>14699236</v>
      </c>
      <c r="B1744">
        <v>22</v>
      </c>
      <c r="C1744">
        <v>0</v>
      </c>
      <c r="D1744">
        <v>6</v>
      </c>
      <c r="E1744">
        <v>12</v>
      </c>
      <c r="F1744">
        <v>58</v>
      </c>
      <c r="G1744">
        <v>243</v>
      </c>
      <c r="H1744">
        <v>19.291699999999999</v>
      </c>
    </row>
    <row r="1745" spans="1:8" x14ac:dyDescent="0.25">
      <c r="A1745">
        <v>14699238</v>
      </c>
      <c r="B1745">
        <v>2</v>
      </c>
      <c r="C1745">
        <v>0</v>
      </c>
      <c r="D1745">
        <v>0</v>
      </c>
      <c r="E1745">
        <v>0</v>
      </c>
      <c r="F1745">
        <v>1</v>
      </c>
      <c r="G1745">
        <v>1</v>
      </c>
      <c r="H1745">
        <v>0</v>
      </c>
    </row>
    <row r="1746" spans="1:8" x14ac:dyDescent="0.25">
      <c r="A1746">
        <v>14701401</v>
      </c>
      <c r="B1746">
        <v>-1</v>
      </c>
      <c r="C1746">
        <v>0</v>
      </c>
      <c r="D1746">
        <v>0</v>
      </c>
      <c r="E1746">
        <v>0</v>
      </c>
      <c r="F1746">
        <v>0</v>
      </c>
      <c r="G1746">
        <v>1</v>
      </c>
      <c r="H1746">
        <v>0</v>
      </c>
    </row>
    <row r="1747" spans="1:8" x14ac:dyDescent="0.25">
      <c r="A1747">
        <v>14701402</v>
      </c>
      <c r="B1747">
        <v>18</v>
      </c>
      <c r="C1747">
        <v>0</v>
      </c>
      <c r="D1747">
        <v>0</v>
      </c>
      <c r="E1747">
        <v>0</v>
      </c>
      <c r="F1747">
        <v>10</v>
      </c>
      <c r="G1747">
        <v>33</v>
      </c>
      <c r="H1747">
        <v>0</v>
      </c>
    </row>
    <row r="1748" spans="1:8" x14ac:dyDescent="0.25">
      <c r="A1748">
        <v>14701403</v>
      </c>
      <c r="B1748">
        <v>-9</v>
      </c>
      <c r="C1748">
        <v>0</v>
      </c>
      <c r="D1748">
        <v>0</v>
      </c>
      <c r="E1748">
        <v>0</v>
      </c>
      <c r="F1748">
        <v>6</v>
      </c>
      <c r="G1748">
        <v>21</v>
      </c>
      <c r="H1748">
        <v>0</v>
      </c>
    </row>
    <row r="1749" spans="1:8" x14ac:dyDescent="0.25">
      <c r="A1749">
        <v>14703218</v>
      </c>
      <c r="B1749">
        <v>-1</v>
      </c>
      <c r="C1749">
        <v>0</v>
      </c>
      <c r="D1749">
        <v>0</v>
      </c>
      <c r="E1749">
        <v>1</v>
      </c>
      <c r="F1749">
        <v>1</v>
      </c>
      <c r="G1749">
        <v>1</v>
      </c>
      <c r="H1749">
        <v>0</v>
      </c>
    </row>
    <row r="1750" spans="1:8" x14ac:dyDescent="0.25">
      <c r="A1750">
        <v>14707139</v>
      </c>
      <c r="B1750">
        <v>1</v>
      </c>
      <c r="C1750">
        <v>0</v>
      </c>
      <c r="D1750">
        <v>0</v>
      </c>
      <c r="E1750">
        <v>1</v>
      </c>
      <c r="F1750">
        <v>1</v>
      </c>
      <c r="G1750">
        <v>1</v>
      </c>
      <c r="H1750">
        <v>0</v>
      </c>
    </row>
    <row r="1751" spans="1:8" x14ac:dyDescent="0.25">
      <c r="A1751">
        <v>14707140</v>
      </c>
      <c r="B1751">
        <v>1</v>
      </c>
      <c r="C1751">
        <v>0</v>
      </c>
      <c r="D1751">
        <v>0</v>
      </c>
      <c r="E1751">
        <v>0</v>
      </c>
      <c r="F1751">
        <v>1</v>
      </c>
      <c r="G1751">
        <v>1</v>
      </c>
      <c r="H1751">
        <v>0</v>
      </c>
    </row>
    <row r="1752" spans="1:8" x14ac:dyDescent="0.25">
      <c r="A1752">
        <v>14707142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</row>
    <row r="1753" spans="1:8" x14ac:dyDescent="0.25">
      <c r="A1753">
        <v>14707143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</row>
    <row r="1754" spans="1:8" x14ac:dyDescent="0.25">
      <c r="A1754">
        <v>14707309</v>
      </c>
      <c r="B1754">
        <v>473</v>
      </c>
      <c r="C1754">
        <v>90</v>
      </c>
      <c r="D1754">
        <v>23</v>
      </c>
      <c r="E1754">
        <v>97</v>
      </c>
      <c r="F1754">
        <v>372</v>
      </c>
      <c r="G1754">
        <v>957</v>
      </c>
      <c r="H1754">
        <v>66.299599999999998</v>
      </c>
    </row>
    <row r="1755" spans="1:8" x14ac:dyDescent="0.25">
      <c r="A1755">
        <v>14707310</v>
      </c>
      <c r="B1755">
        <v>81</v>
      </c>
      <c r="C1755">
        <v>20</v>
      </c>
      <c r="D1755">
        <v>8</v>
      </c>
      <c r="E1755">
        <v>29</v>
      </c>
      <c r="F1755">
        <v>120</v>
      </c>
      <c r="G1755">
        <v>298</v>
      </c>
      <c r="H1755">
        <v>86.864999999999995</v>
      </c>
    </row>
    <row r="1756" spans="1:8" x14ac:dyDescent="0.25">
      <c r="A1756">
        <v>14707311</v>
      </c>
      <c r="B1756">
        <v>1</v>
      </c>
      <c r="C1756">
        <v>0</v>
      </c>
      <c r="D1756">
        <v>0</v>
      </c>
      <c r="E1756">
        <v>0</v>
      </c>
      <c r="F1756">
        <v>1</v>
      </c>
      <c r="G1756">
        <v>3</v>
      </c>
      <c r="H1756">
        <v>0</v>
      </c>
    </row>
    <row r="1757" spans="1:8" x14ac:dyDescent="0.25">
      <c r="A1757">
        <v>14707927</v>
      </c>
      <c r="B1757">
        <v>128</v>
      </c>
      <c r="C1757">
        <v>0</v>
      </c>
      <c r="D1757">
        <v>2</v>
      </c>
      <c r="E1757">
        <v>5</v>
      </c>
      <c r="F1757">
        <v>12</v>
      </c>
      <c r="G1757">
        <v>28</v>
      </c>
      <c r="H1757">
        <v>19.170000000000002</v>
      </c>
    </row>
    <row r="1758" spans="1:8" x14ac:dyDescent="0.25">
      <c r="A1758">
        <v>14707928</v>
      </c>
      <c r="B1758">
        <v>-1</v>
      </c>
      <c r="C1758">
        <v>0</v>
      </c>
      <c r="D1758">
        <v>0</v>
      </c>
      <c r="E1758">
        <v>0</v>
      </c>
      <c r="F1758">
        <v>0</v>
      </c>
      <c r="G1758">
        <v>33</v>
      </c>
      <c r="H1758">
        <v>0</v>
      </c>
    </row>
    <row r="1759" spans="1:8" x14ac:dyDescent="0.25">
      <c r="A1759">
        <v>14707929</v>
      </c>
      <c r="B1759">
        <v>54</v>
      </c>
      <c r="C1759">
        <v>0</v>
      </c>
      <c r="D1759">
        <v>4</v>
      </c>
      <c r="E1759">
        <v>11</v>
      </c>
      <c r="F1759">
        <v>30</v>
      </c>
      <c r="G1759">
        <v>102</v>
      </c>
      <c r="H1759">
        <v>8.4</v>
      </c>
    </row>
    <row r="1760" spans="1:8" x14ac:dyDescent="0.25">
      <c r="A1760">
        <v>14707930</v>
      </c>
      <c r="B1760">
        <v>152</v>
      </c>
      <c r="C1760">
        <v>0</v>
      </c>
      <c r="D1760">
        <v>1</v>
      </c>
      <c r="E1760">
        <v>18</v>
      </c>
      <c r="F1760">
        <v>120</v>
      </c>
      <c r="G1760">
        <v>362</v>
      </c>
      <c r="H1760">
        <v>14.78</v>
      </c>
    </row>
    <row r="1761" spans="1:8" x14ac:dyDescent="0.25">
      <c r="A1761">
        <v>14707931</v>
      </c>
      <c r="B1761">
        <v>89</v>
      </c>
      <c r="C1761">
        <v>0</v>
      </c>
      <c r="D1761">
        <v>0</v>
      </c>
      <c r="E1761">
        <v>24</v>
      </c>
      <c r="F1761">
        <v>134</v>
      </c>
      <c r="G1761">
        <v>395</v>
      </c>
      <c r="H1761">
        <v>0</v>
      </c>
    </row>
    <row r="1762" spans="1:8" x14ac:dyDescent="0.25">
      <c r="A1762">
        <v>14707932</v>
      </c>
      <c r="B1762">
        <v>1</v>
      </c>
      <c r="C1762">
        <v>0</v>
      </c>
      <c r="D1762">
        <v>0</v>
      </c>
      <c r="E1762">
        <v>0</v>
      </c>
      <c r="F1762">
        <v>4</v>
      </c>
      <c r="G1762">
        <v>37</v>
      </c>
      <c r="H1762">
        <v>0</v>
      </c>
    </row>
    <row r="1763" spans="1:8" x14ac:dyDescent="0.25">
      <c r="A1763">
        <v>14707933</v>
      </c>
      <c r="B1763">
        <v>0</v>
      </c>
      <c r="C1763">
        <v>0</v>
      </c>
      <c r="D1763">
        <v>0</v>
      </c>
      <c r="E1763">
        <v>0</v>
      </c>
      <c r="F1763">
        <v>1</v>
      </c>
      <c r="G1763">
        <v>36</v>
      </c>
      <c r="H1763">
        <v>0</v>
      </c>
    </row>
    <row r="1764" spans="1:8" x14ac:dyDescent="0.25">
      <c r="A1764">
        <v>14707934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46</v>
      </c>
      <c r="H1764">
        <v>0</v>
      </c>
    </row>
    <row r="1765" spans="1:8" x14ac:dyDescent="0.25">
      <c r="A1765">
        <v>14710023</v>
      </c>
      <c r="B1765">
        <v>1</v>
      </c>
      <c r="C1765">
        <v>0</v>
      </c>
      <c r="D1765">
        <v>0</v>
      </c>
      <c r="E1765">
        <v>0</v>
      </c>
      <c r="F1765">
        <v>6</v>
      </c>
      <c r="G1765">
        <v>56</v>
      </c>
      <c r="H1765">
        <v>0</v>
      </c>
    </row>
    <row r="1766" spans="1:8" x14ac:dyDescent="0.25">
      <c r="A1766">
        <v>14710024</v>
      </c>
      <c r="B1766">
        <v>209</v>
      </c>
      <c r="C1766">
        <v>70</v>
      </c>
      <c r="D1766">
        <v>37</v>
      </c>
      <c r="E1766">
        <v>92</v>
      </c>
      <c r="F1766">
        <v>304</v>
      </c>
      <c r="G1766">
        <v>825</v>
      </c>
      <c r="H1766">
        <v>12.0268</v>
      </c>
    </row>
    <row r="1767" spans="1:8" x14ac:dyDescent="0.25">
      <c r="A1767">
        <v>14710055</v>
      </c>
      <c r="B1767">
        <v>43</v>
      </c>
      <c r="C1767">
        <v>5</v>
      </c>
      <c r="D1767">
        <v>2</v>
      </c>
      <c r="E1767">
        <v>8</v>
      </c>
      <c r="F1767">
        <v>34</v>
      </c>
      <c r="G1767">
        <v>73</v>
      </c>
      <c r="H1767">
        <v>197.99</v>
      </c>
    </row>
    <row r="1768" spans="1:8" x14ac:dyDescent="0.25">
      <c r="A1768">
        <v>14710056</v>
      </c>
      <c r="B1768">
        <v>366</v>
      </c>
      <c r="C1768">
        <v>20</v>
      </c>
      <c r="D1768">
        <v>6</v>
      </c>
      <c r="E1768">
        <v>32</v>
      </c>
      <c r="F1768">
        <v>114</v>
      </c>
      <c r="G1768">
        <v>252</v>
      </c>
      <c r="H1768">
        <v>59.99</v>
      </c>
    </row>
    <row r="1769" spans="1:8" x14ac:dyDescent="0.25">
      <c r="A1769">
        <v>14710084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</row>
    <row r="1770" spans="1:8" x14ac:dyDescent="0.25">
      <c r="A1770">
        <v>14710873</v>
      </c>
      <c r="B1770">
        <v>438</v>
      </c>
      <c r="C1770">
        <v>30</v>
      </c>
      <c r="D1770">
        <v>23</v>
      </c>
      <c r="E1770">
        <v>96</v>
      </c>
      <c r="F1770">
        <v>322</v>
      </c>
      <c r="G1770">
        <v>679</v>
      </c>
      <c r="H1770">
        <v>19.969100000000001</v>
      </c>
    </row>
    <row r="1771" spans="1:8" x14ac:dyDescent="0.25">
      <c r="A1771">
        <v>14710874</v>
      </c>
      <c r="B1771">
        <v>453</v>
      </c>
      <c r="C1771">
        <v>15</v>
      </c>
      <c r="D1771">
        <v>15</v>
      </c>
      <c r="E1771">
        <v>50</v>
      </c>
      <c r="F1771">
        <v>158</v>
      </c>
      <c r="G1771">
        <v>428</v>
      </c>
      <c r="H1771">
        <v>29.859300000000001</v>
      </c>
    </row>
    <row r="1772" spans="1:8" x14ac:dyDescent="0.25">
      <c r="A1772">
        <v>14710876</v>
      </c>
      <c r="B1772">
        <v>536</v>
      </c>
      <c r="C1772">
        <v>0</v>
      </c>
      <c r="D1772">
        <v>18</v>
      </c>
      <c r="E1772">
        <v>76</v>
      </c>
      <c r="F1772">
        <v>280</v>
      </c>
      <c r="G1772">
        <v>574</v>
      </c>
      <c r="H1772">
        <v>19.213899999999999</v>
      </c>
    </row>
    <row r="1773" spans="1:8" x14ac:dyDescent="0.25">
      <c r="A1773">
        <v>14710877</v>
      </c>
      <c r="B1773">
        <v>31</v>
      </c>
      <c r="C1773">
        <v>0</v>
      </c>
      <c r="D1773">
        <v>2</v>
      </c>
      <c r="E1773">
        <v>11</v>
      </c>
      <c r="F1773">
        <v>38</v>
      </c>
      <c r="G1773">
        <v>84</v>
      </c>
      <c r="H1773">
        <v>17.47</v>
      </c>
    </row>
    <row r="1774" spans="1:8" x14ac:dyDescent="0.25">
      <c r="A1774">
        <v>14710878</v>
      </c>
      <c r="B1774">
        <v>16</v>
      </c>
      <c r="C1774">
        <v>0</v>
      </c>
      <c r="D1774">
        <v>1</v>
      </c>
      <c r="E1774">
        <v>4</v>
      </c>
      <c r="F1774">
        <v>26</v>
      </c>
      <c r="G1774">
        <v>61</v>
      </c>
      <c r="H1774">
        <v>19.97</v>
      </c>
    </row>
    <row r="1775" spans="1:8" x14ac:dyDescent="0.25">
      <c r="A1775">
        <v>14711072</v>
      </c>
      <c r="B1775">
        <v>1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</row>
    <row r="1776" spans="1:8" x14ac:dyDescent="0.25">
      <c r="A1776">
        <v>14711081</v>
      </c>
      <c r="B1776">
        <v>3</v>
      </c>
      <c r="C1776">
        <v>0</v>
      </c>
      <c r="D1776">
        <v>0</v>
      </c>
      <c r="E1776">
        <v>1</v>
      </c>
      <c r="F1776">
        <v>1</v>
      </c>
      <c r="G1776">
        <v>2</v>
      </c>
      <c r="H1776">
        <v>0</v>
      </c>
    </row>
    <row r="1777" spans="1:8" x14ac:dyDescent="0.25">
      <c r="A1777">
        <v>14711082</v>
      </c>
      <c r="B1777">
        <v>0</v>
      </c>
      <c r="C1777">
        <v>0</v>
      </c>
      <c r="D1777">
        <v>2</v>
      </c>
      <c r="E1777">
        <v>2</v>
      </c>
      <c r="F1777">
        <v>3</v>
      </c>
      <c r="G1777">
        <v>3</v>
      </c>
      <c r="H1777">
        <v>175</v>
      </c>
    </row>
    <row r="1778" spans="1:8" x14ac:dyDescent="0.25">
      <c r="A1778">
        <v>14711090</v>
      </c>
      <c r="B1778">
        <v>1</v>
      </c>
      <c r="C1778">
        <v>0</v>
      </c>
      <c r="D1778">
        <v>7</v>
      </c>
      <c r="E1778">
        <v>7</v>
      </c>
      <c r="F1778">
        <v>10</v>
      </c>
      <c r="G1778">
        <v>10</v>
      </c>
      <c r="H1778">
        <v>287.8571</v>
      </c>
    </row>
    <row r="1779" spans="1:8" x14ac:dyDescent="0.25">
      <c r="A1779">
        <v>14711091</v>
      </c>
      <c r="B1779">
        <v>3</v>
      </c>
      <c r="C1779">
        <v>0</v>
      </c>
      <c r="D1779">
        <v>1</v>
      </c>
      <c r="E1779">
        <v>2</v>
      </c>
      <c r="F1779">
        <v>3</v>
      </c>
      <c r="G1779">
        <v>6</v>
      </c>
      <c r="H1779">
        <v>300</v>
      </c>
    </row>
    <row r="1780" spans="1:8" x14ac:dyDescent="0.25">
      <c r="A1780">
        <v>14711094</v>
      </c>
      <c r="B1780">
        <v>0</v>
      </c>
      <c r="C1780">
        <v>0</v>
      </c>
      <c r="D1780">
        <v>0</v>
      </c>
      <c r="E1780">
        <v>0</v>
      </c>
      <c r="F1780">
        <v>1</v>
      </c>
      <c r="G1780">
        <v>1</v>
      </c>
      <c r="H1780">
        <v>0</v>
      </c>
    </row>
    <row r="1781" spans="1:8" x14ac:dyDescent="0.25">
      <c r="A1781">
        <v>14711095</v>
      </c>
      <c r="B1781">
        <v>2</v>
      </c>
      <c r="C1781">
        <v>0</v>
      </c>
      <c r="D1781">
        <v>0</v>
      </c>
      <c r="E1781">
        <v>0</v>
      </c>
      <c r="F1781">
        <v>1</v>
      </c>
      <c r="G1781">
        <v>2</v>
      </c>
      <c r="H1781">
        <v>0</v>
      </c>
    </row>
    <row r="1782" spans="1:8" x14ac:dyDescent="0.25">
      <c r="A1782">
        <v>14711096</v>
      </c>
      <c r="B1782">
        <v>1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</row>
    <row r="1783" spans="1:8" x14ac:dyDescent="0.25">
      <c r="A1783">
        <v>14711099</v>
      </c>
      <c r="B1783">
        <v>1</v>
      </c>
      <c r="C1783">
        <v>0</v>
      </c>
      <c r="D1783">
        <v>2</v>
      </c>
      <c r="E1783">
        <v>2</v>
      </c>
      <c r="F1783">
        <v>2</v>
      </c>
      <c r="G1783">
        <v>2</v>
      </c>
      <c r="H1783">
        <v>250</v>
      </c>
    </row>
    <row r="1784" spans="1:8" x14ac:dyDescent="0.25">
      <c r="A1784">
        <v>14711101</v>
      </c>
      <c r="B1784">
        <v>2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</row>
    <row r="1785" spans="1:8" x14ac:dyDescent="0.25">
      <c r="A1785">
        <v>14711102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1</v>
      </c>
      <c r="H1785">
        <v>0</v>
      </c>
    </row>
    <row r="1786" spans="1:8" x14ac:dyDescent="0.25">
      <c r="A1786">
        <v>14711111</v>
      </c>
      <c r="B1786">
        <v>1</v>
      </c>
      <c r="C1786">
        <v>0</v>
      </c>
      <c r="D1786">
        <v>1</v>
      </c>
      <c r="E1786">
        <v>1</v>
      </c>
      <c r="F1786">
        <v>1</v>
      </c>
      <c r="G1786">
        <v>1</v>
      </c>
      <c r="H1786">
        <v>300</v>
      </c>
    </row>
    <row r="1787" spans="1:8" x14ac:dyDescent="0.25">
      <c r="A1787">
        <v>14711112</v>
      </c>
      <c r="B1787">
        <v>-1</v>
      </c>
      <c r="C1787">
        <v>0</v>
      </c>
      <c r="D1787">
        <v>2</v>
      </c>
      <c r="E1787">
        <v>3</v>
      </c>
      <c r="F1787">
        <v>5</v>
      </c>
      <c r="G1787">
        <v>5</v>
      </c>
      <c r="H1787">
        <v>200</v>
      </c>
    </row>
    <row r="1788" spans="1:8" x14ac:dyDescent="0.25">
      <c r="A1788">
        <v>14711114</v>
      </c>
      <c r="B1788">
        <v>1</v>
      </c>
      <c r="C1788">
        <v>0</v>
      </c>
      <c r="D1788">
        <v>0</v>
      </c>
      <c r="E1788">
        <v>0</v>
      </c>
      <c r="F1788">
        <v>0</v>
      </c>
      <c r="G1788">
        <v>1</v>
      </c>
      <c r="H1788">
        <v>0</v>
      </c>
    </row>
    <row r="1789" spans="1:8" x14ac:dyDescent="0.25">
      <c r="A1789">
        <v>14711116</v>
      </c>
      <c r="B1789">
        <v>1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</row>
    <row r="1790" spans="1:8" x14ac:dyDescent="0.25">
      <c r="A1790">
        <v>14711117</v>
      </c>
      <c r="B1790">
        <v>1</v>
      </c>
      <c r="C1790">
        <v>0</v>
      </c>
      <c r="D1790">
        <v>1</v>
      </c>
      <c r="E1790">
        <v>1</v>
      </c>
      <c r="F1790">
        <v>1</v>
      </c>
      <c r="G1790">
        <v>1</v>
      </c>
      <c r="H1790">
        <v>100</v>
      </c>
    </row>
    <row r="1791" spans="1:8" x14ac:dyDescent="0.25">
      <c r="A1791">
        <v>14711118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1</v>
      </c>
      <c r="H1791">
        <v>0</v>
      </c>
    </row>
    <row r="1792" spans="1:8" x14ac:dyDescent="0.25">
      <c r="A1792">
        <v>14711122</v>
      </c>
      <c r="B1792">
        <v>1</v>
      </c>
      <c r="C1792">
        <v>0</v>
      </c>
      <c r="D1792">
        <v>0</v>
      </c>
      <c r="E1792">
        <v>0</v>
      </c>
      <c r="F1792">
        <v>1</v>
      </c>
      <c r="G1792">
        <v>1</v>
      </c>
      <c r="H1792">
        <v>0</v>
      </c>
    </row>
    <row r="1793" spans="1:8" x14ac:dyDescent="0.25">
      <c r="A1793">
        <v>14711123</v>
      </c>
      <c r="B1793">
        <v>2</v>
      </c>
      <c r="C1793">
        <v>0</v>
      </c>
      <c r="D1793">
        <v>1</v>
      </c>
      <c r="E1793">
        <v>2</v>
      </c>
      <c r="F1793">
        <v>2</v>
      </c>
      <c r="G1793">
        <v>2</v>
      </c>
      <c r="H1793">
        <v>385</v>
      </c>
    </row>
    <row r="1794" spans="1:8" x14ac:dyDescent="0.25">
      <c r="A1794">
        <v>14712087</v>
      </c>
      <c r="B1794">
        <v>11</v>
      </c>
      <c r="C1794">
        <v>2</v>
      </c>
      <c r="D1794">
        <v>0</v>
      </c>
      <c r="E1794">
        <v>2</v>
      </c>
      <c r="F1794">
        <v>11</v>
      </c>
      <c r="G1794">
        <v>20</v>
      </c>
      <c r="H1794">
        <v>0</v>
      </c>
    </row>
    <row r="1795" spans="1:8" x14ac:dyDescent="0.25">
      <c r="A1795">
        <v>14712088</v>
      </c>
      <c r="B1795">
        <v>4</v>
      </c>
      <c r="C1795">
        <v>18</v>
      </c>
      <c r="D1795">
        <v>0</v>
      </c>
      <c r="E1795">
        <v>1</v>
      </c>
      <c r="F1795">
        <v>15</v>
      </c>
      <c r="G1795">
        <v>43</v>
      </c>
      <c r="H1795">
        <v>0</v>
      </c>
    </row>
    <row r="1796" spans="1:8" x14ac:dyDescent="0.25">
      <c r="A1796">
        <v>14712089</v>
      </c>
      <c r="B1796">
        <v>10</v>
      </c>
      <c r="C1796">
        <v>2</v>
      </c>
      <c r="D1796">
        <v>1</v>
      </c>
      <c r="E1796">
        <v>4</v>
      </c>
      <c r="F1796">
        <v>18</v>
      </c>
      <c r="G1796">
        <v>33</v>
      </c>
      <c r="H1796">
        <v>3459.99</v>
      </c>
    </row>
    <row r="1797" spans="1:8" x14ac:dyDescent="0.25">
      <c r="A1797">
        <v>14712513</v>
      </c>
      <c r="B1797">
        <v>1</v>
      </c>
      <c r="C1797">
        <v>0</v>
      </c>
      <c r="D1797">
        <v>0</v>
      </c>
      <c r="E1797">
        <v>0</v>
      </c>
      <c r="F1797">
        <v>2</v>
      </c>
      <c r="G1797">
        <v>26</v>
      </c>
      <c r="H1797">
        <v>0</v>
      </c>
    </row>
    <row r="1798" spans="1:8" x14ac:dyDescent="0.25">
      <c r="A1798">
        <v>14712514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15</v>
      </c>
      <c r="H1798">
        <v>0</v>
      </c>
    </row>
    <row r="1799" spans="1:8" x14ac:dyDescent="0.25">
      <c r="A1799">
        <v>14712772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1</v>
      </c>
      <c r="H1799">
        <v>0</v>
      </c>
    </row>
    <row r="1800" spans="1:8" x14ac:dyDescent="0.25">
      <c r="A1800">
        <v>14714053</v>
      </c>
      <c r="B1800">
        <v>1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</row>
    <row r="1801" spans="1:8" x14ac:dyDescent="0.25">
      <c r="A1801">
        <v>14714055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</row>
    <row r="1802" spans="1:8" x14ac:dyDescent="0.25">
      <c r="A1802">
        <v>14717780</v>
      </c>
      <c r="B1802">
        <v>39</v>
      </c>
      <c r="C1802">
        <v>0</v>
      </c>
      <c r="D1802">
        <v>5</v>
      </c>
      <c r="E1802">
        <v>13</v>
      </c>
      <c r="F1802">
        <v>44</v>
      </c>
      <c r="G1802">
        <v>91</v>
      </c>
      <c r="H1802">
        <v>9.4060000000000006</v>
      </c>
    </row>
    <row r="1803" spans="1:8" x14ac:dyDescent="0.25">
      <c r="A1803">
        <v>14717867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</row>
    <row r="1804" spans="1:8" x14ac:dyDescent="0.25">
      <c r="A1804">
        <v>14718330</v>
      </c>
      <c r="B1804">
        <v>18</v>
      </c>
      <c r="C1804">
        <v>0</v>
      </c>
      <c r="D1804">
        <v>1</v>
      </c>
      <c r="E1804">
        <v>2</v>
      </c>
      <c r="F1804">
        <v>9</v>
      </c>
      <c r="G1804">
        <v>18</v>
      </c>
      <c r="H1804">
        <v>0</v>
      </c>
    </row>
    <row r="1805" spans="1:8" x14ac:dyDescent="0.25">
      <c r="A1805">
        <v>14718331</v>
      </c>
      <c r="B1805">
        <v>23</v>
      </c>
      <c r="C1805">
        <v>0</v>
      </c>
      <c r="D1805">
        <v>1</v>
      </c>
      <c r="E1805">
        <v>2</v>
      </c>
      <c r="F1805">
        <v>18</v>
      </c>
      <c r="G1805">
        <v>62</v>
      </c>
      <c r="H1805">
        <v>0</v>
      </c>
    </row>
    <row r="1806" spans="1:8" x14ac:dyDescent="0.25">
      <c r="A1806">
        <v>14718332</v>
      </c>
      <c r="B1806">
        <v>76</v>
      </c>
      <c r="C1806">
        <v>0</v>
      </c>
      <c r="D1806">
        <v>0</v>
      </c>
      <c r="E1806">
        <v>2</v>
      </c>
      <c r="F1806">
        <v>31</v>
      </c>
      <c r="G1806">
        <v>83</v>
      </c>
      <c r="H1806">
        <v>0</v>
      </c>
    </row>
    <row r="1807" spans="1:8" x14ac:dyDescent="0.25">
      <c r="A1807">
        <v>14718333</v>
      </c>
      <c r="B1807">
        <v>15</v>
      </c>
      <c r="C1807">
        <v>0</v>
      </c>
      <c r="D1807">
        <v>0</v>
      </c>
      <c r="E1807">
        <v>1</v>
      </c>
      <c r="F1807">
        <v>6</v>
      </c>
      <c r="G1807">
        <v>36</v>
      </c>
      <c r="H1807">
        <v>0</v>
      </c>
    </row>
    <row r="1808" spans="1:8" x14ac:dyDescent="0.25">
      <c r="A1808">
        <v>14718335</v>
      </c>
      <c r="B1808">
        <v>140</v>
      </c>
      <c r="C1808">
        <v>0</v>
      </c>
      <c r="D1808">
        <v>1</v>
      </c>
      <c r="E1808">
        <v>5</v>
      </c>
      <c r="F1808">
        <v>40</v>
      </c>
      <c r="G1808">
        <v>147</v>
      </c>
      <c r="H1808">
        <v>2.97</v>
      </c>
    </row>
    <row r="1809" spans="1:8" x14ac:dyDescent="0.25">
      <c r="A1809">
        <v>14718336</v>
      </c>
      <c r="B1809">
        <v>61</v>
      </c>
      <c r="C1809">
        <v>0</v>
      </c>
      <c r="D1809">
        <v>1</v>
      </c>
      <c r="E1809">
        <v>1</v>
      </c>
      <c r="F1809">
        <v>56</v>
      </c>
      <c r="G1809">
        <v>298</v>
      </c>
      <c r="H1809">
        <v>19.32</v>
      </c>
    </row>
    <row r="1810" spans="1:8" x14ac:dyDescent="0.25">
      <c r="A1810">
        <v>14718337</v>
      </c>
      <c r="B1810">
        <v>288</v>
      </c>
      <c r="C1810">
        <v>136</v>
      </c>
      <c r="D1810">
        <v>52</v>
      </c>
      <c r="E1810">
        <v>139</v>
      </c>
      <c r="F1810">
        <v>557</v>
      </c>
      <c r="G1810">
        <v>1313</v>
      </c>
      <c r="H1810">
        <v>28.865200000000002</v>
      </c>
    </row>
    <row r="1811" spans="1:8" x14ac:dyDescent="0.25">
      <c r="A1811">
        <v>14718339</v>
      </c>
      <c r="B1811">
        <v>102</v>
      </c>
      <c r="C1811">
        <v>0</v>
      </c>
      <c r="D1811">
        <v>1</v>
      </c>
      <c r="E1811">
        <v>6</v>
      </c>
      <c r="F1811">
        <v>14</v>
      </c>
      <c r="G1811">
        <v>42</v>
      </c>
      <c r="H1811">
        <v>29.99</v>
      </c>
    </row>
    <row r="1812" spans="1:8" x14ac:dyDescent="0.25">
      <c r="A1812">
        <v>14718341</v>
      </c>
      <c r="B1812">
        <v>43</v>
      </c>
      <c r="C1812">
        <v>0</v>
      </c>
      <c r="D1812">
        <v>0</v>
      </c>
      <c r="E1812">
        <v>4</v>
      </c>
      <c r="F1812">
        <v>22</v>
      </c>
      <c r="G1812">
        <v>65</v>
      </c>
      <c r="H1812">
        <v>0</v>
      </c>
    </row>
    <row r="1813" spans="1:8" x14ac:dyDescent="0.25">
      <c r="A1813">
        <v>14718342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1</v>
      </c>
      <c r="H1813">
        <v>0</v>
      </c>
    </row>
    <row r="1814" spans="1:8" x14ac:dyDescent="0.25">
      <c r="A1814">
        <v>14718344</v>
      </c>
      <c r="B1814">
        <v>-1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</row>
    <row r="1815" spans="1:8" x14ac:dyDescent="0.25">
      <c r="A1815">
        <v>14718345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1</v>
      </c>
      <c r="H1815">
        <v>0</v>
      </c>
    </row>
    <row r="1816" spans="1:8" x14ac:dyDescent="0.25">
      <c r="A1816">
        <v>14718348</v>
      </c>
      <c r="B1816">
        <v>187</v>
      </c>
      <c r="C1816">
        <v>0</v>
      </c>
      <c r="D1816">
        <v>5</v>
      </c>
      <c r="E1816">
        <v>12</v>
      </c>
      <c r="F1816">
        <v>44</v>
      </c>
      <c r="G1816">
        <v>189</v>
      </c>
      <c r="H1816">
        <v>19.088000000000001</v>
      </c>
    </row>
    <row r="1817" spans="1:8" x14ac:dyDescent="0.25">
      <c r="A1817">
        <v>14718461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1</v>
      </c>
      <c r="H1817">
        <v>0</v>
      </c>
    </row>
    <row r="1818" spans="1:8" x14ac:dyDescent="0.25">
      <c r="A1818">
        <v>14718462</v>
      </c>
      <c r="B1818">
        <v>0</v>
      </c>
      <c r="C1818">
        <v>0</v>
      </c>
      <c r="D1818">
        <v>0</v>
      </c>
      <c r="E1818">
        <v>0</v>
      </c>
      <c r="F1818">
        <v>1</v>
      </c>
      <c r="G1818">
        <v>1</v>
      </c>
      <c r="H1818">
        <v>0</v>
      </c>
    </row>
    <row r="1819" spans="1:8" x14ac:dyDescent="0.25">
      <c r="A1819">
        <v>14718464</v>
      </c>
      <c r="B1819">
        <v>0</v>
      </c>
      <c r="C1819">
        <v>0</v>
      </c>
      <c r="D1819">
        <v>0</v>
      </c>
      <c r="E1819">
        <v>0</v>
      </c>
      <c r="F1819">
        <v>1</v>
      </c>
      <c r="G1819">
        <v>5</v>
      </c>
      <c r="H1819">
        <v>0</v>
      </c>
    </row>
    <row r="1820" spans="1:8" x14ac:dyDescent="0.25">
      <c r="A1820">
        <v>14722589</v>
      </c>
      <c r="B1820">
        <v>3</v>
      </c>
      <c r="C1820">
        <v>0</v>
      </c>
      <c r="D1820">
        <v>0</v>
      </c>
      <c r="E1820">
        <v>0</v>
      </c>
      <c r="F1820">
        <v>1</v>
      </c>
      <c r="G1820">
        <v>1</v>
      </c>
      <c r="H1820">
        <v>0</v>
      </c>
    </row>
    <row r="1821" spans="1:8" x14ac:dyDescent="0.25">
      <c r="A1821">
        <v>14722590</v>
      </c>
      <c r="B1821">
        <v>7</v>
      </c>
      <c r="C1821">
        <v>0</v>
      </c>
      <c r="D1821">
        <v>0</v>
      </c>
      <c r="E1821">
        <v>0</v>
      </c>
      <c r="F1821">
        <v>0</v>
      </c>
      <c r="G1821">
        <v>1</v>
      </c>
      <c r="H1821">
        <v>0</v>
      </c>
    </row>
    <row r="1822" spans="1:8" x14ac:dyDescent="0.25">
      <c r="A1822">
        <v>14725244</v>
      </c>
      <c r="B1822">
        <v>357</v>
      </c>
      <c r="C1822">
        <v>0</v>
      </c>
      <c r="D1822">
        <v>44</v>
      </c>
      <c r="E1822">
        <v>138</v>
      </c>
      <c r="F1822">
        <v>475</v>
      </c>
      <c r="G1822">
        <v>1179</v>
      </c>
      <c r="H1822">
        <v>43.781599999999997</v>
      </c>
    </row>
    <row r="1823" spans="1:8" x14ac:dyDescent="0.25">
      <c r="A1823">
        <v>14725245</v>
      </c>
      <c r="B1823">
        <v>494</v>
      </c>
      <c r="C1823">
        <v>72</v>
      </c>
      <c r="D1823">
        <v>21</v>
      </c>
      <c r="E1823">
        <v>94</v>
      </c>
      <c r="F1823">
        <v>346</v>
      </c>
      <c r="G1823">
        <v>919</v>
      </c>
      <c r="H1823">
        <v>33.669499999999999</v>
      </c>
    </row>
    <row r="1824" spans="1:8" x14ac:dyDescent="0.25">
      <c r="A1824">
        <v>14725246</v>
      </c>
      <c r="B1824">
        <v>495</v>
      </c>
      <c r="C1824">
        <v>38</v>
      </c>
      <c r="D1824">
        <v>21</v>
      </c>
      <c r="E1824">
        <v>102</v>
      </c>
      <c r="F1824">
        <v>335</v>
      </c>
      <c r="G1824">
        <v>906</v>
      </c>
      <c r="H1824">
        <v>74.965699999999998</v>
      </c>
    </row>
    <row r="1825" spans="1:8" x14ac:dyDescent="0.25">
      <c r="A1825">
        <v>14725853</v>
      </c>
      <c r="B1825">
        <v>1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</row>
    <row r="1826" spans="1:8" x14ac:dyDescent="0.25">
      <c r="A1826">
        <v>14725854</v>
      </c>
      <c r="B1826">
        <v>1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</row>
    <row r="1827" spans="1:8" x14ac:dyDescent="0.25">
      <c r="A1827">
        <v>14726054</v>
      </c>
      <c r="B1827">
        <v>3</v>
      </c>
      <c r="C1827">
        <v>0</v>
      </c>
      <c r="D1827">
        <v>2</v>
      </c>
      <c r="E1827">
        <v>2</v>
      </c>
      <c r="F1827">
        <v>2</v>
      </c>
      <c r="G1827">
        <v>2</v>
      </c>
      <c r="H1827">
        <v>500</v>
      </c>
    </row>
    <row r="1828" spans="1:8" x14ac:dyDescent="0.25">
      <c r="A1828">
        <v>14726055</v>
      </c>
      <c r="B1828">
        <v>1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</row>
    <row r="1829" spans="1:8" x14ac:dyDescent="0.25">
      <c r="A1829">
        <v>14726056</v>
      </c>
      <c r="B1829">
        <v>0</v>
      </c>
      <c r="C1829">
        <v>0</v>
      </c>
      <c r="D1829">
        <v>0</v>
      </c>
      <c r="E1829">
        <v>1</v>
      </c>
      <c r="F1829">
        <v>1</v>
      </c>
      <c r="G1829">
        <v>2</v>
      </c>
      <c r="H1829">
        <v>0</v>
      </c>
    </row>
    <row r="1830" spans="1:8" x14ac:dyDescent="0.25">
      <c r="A1830">
        <v>14726057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</row>
    <row r="1831" spans="1:8" x14ac:dyDescent="0.25">
      <c r="A1831">
        <v>14726058</v>
      </c>
      <c r="B1831">
        <v>0</v>
      </c>
      <c r="C1831">
        <v>0</v>
      </c>
      <c r="D1831">
        <v>6</v>
      </c>
      <c r="E1831">
        <v>7</v>
      </c>
      <c r="F1831">
        <v>8</v>
      </c>
      <c r="G1831">
        <v>8</v>
      </c>
      <c r="H1831">
        <v>495.83330000000001</v>
      </c>
    </row>
    <row r="1832" spans="1:8" x14ac:dyDescent="0.25">
      <c r="A1832">
        <v>14726059</v>
      </c>
      <c r="B1832">
        <v>1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</row>
    <row r="1833" spans="1:8" x14ac:dyDescent="0.25">
      <c r="A1833">
        <v>14726060</v>
      </c>
      <c r="B1833">
        <v>0</v>
      </c>
      <c r="C1833">
        <v>0</v>
      </c>
      <c r="D1833">
        <v>0</v>
      </c>
      <c r="E1833">
        <v>0</v>
      </c>
      <c r="F1833">
        <v>1</v>
      </c>
      <c r="G1833">
        <v>1</v>
      </c>
      <c r="H1833">
        <v>0</v>
      </c>
    </row>
    <row r="1834" spans="1:8" x14ac:dyDescent="0.25">
      <c r="A1834">
        <v>14726061</v>
      </c>
      <c r="B1834">
        <v>1</v>
      </c>
      <c r="C1834">
        <v>0</v>
      </c>
      <c r="D1834">
        <v>4</v>
      </c>
      <c r="E1834">
        <v>4</v>
      </c>
      <c r="F1834">
        <v>5</v>
      </c>
      <c r="G1834">
        <v>5</v>
      </c>
      <c r="H1834">
        <v>500</v>
      </c>
    </row>
    <row r="1835" spans="1:8" x14ac:dyDescent="0.25">
      <c r="A1835">
        <v>14726062</v>
      </c>
      <c r="B1835">
        <v>0</v>
      </c>
      <c r="C1835">
        <v>0</v>
      </c>
      <c r="D1835">
        <v>3</v>
      </c>
      <c r="E1835">
        <v>4</v>
      </c>
      <c r="F1835">
        <v>6</v>
      </c>
      <c r="G1835">
        <v>6</v>
      </c>
      <c r="H1835">
        <v>350.00330000000002</v>
      </c>
    </row>
    <row r="1836" spans="1:8" x14ac:dyDescent="0.25">
      <c r="A1836">
        <v>14726063</v>
      </c>
      <c r="B1836">
        <v>1</v>
      </c>
      <c r="C1836">
        <v>0</v>
      </c>
      <c r="D1836">
        <v>0</v>
      </c>
      <c r="E1836">
        <v>0</v>
      </c>
      <c r="F1836">
        <v>0</v>
      </c>
      <c r="G1836">
        <v>1</v>
      </c>
      <c r="H1836">
        <v>0</v>
      </c>
    </row>
    <row r="1837" spans="1:8" x14ac:dyDescent="0.25">
      <c r="A1837">
        <v>14726064</v>
      </c>
      <c r="B1837">
        <v>3</v>
      </c>
      <c r="C1837">
        <v>0</v>
      </c>
      <c r="D1837">
        <v>6</v>
      </c>
      <c r="E1837">
        <v>7</v>
      </c>
      <c r="F1837">
        <v>8</v>
      </c>
      <c r="G1837">
        <v>9</v>
      </c>
      <c r="H1837">
        <v>200</v>
      </c>
    </row>
    <row r="1838" spans="1:8" x14ac:dyDescent="0.25">
      <c r="A1838">
        <v>14726072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</row>
    <row r="1839" spans="1:8" x14ac:dyDescent="0.25">
      <c r="A1839">
        <v>14726225</v>
      </c>
      <c r="B1839">
        <v>6</v>
      </c>
      <c r="C1839">
        <v>0</v>
      </c>
      <c r="D1839">
        <v>0</v>
      </c>
      <c r="E1839">
        <v>1</v>
      </c>
      <c r="F1839">
        <v>4</v>
      </c>
      <c r="G1839">
        <v>14</v>
      </c>
      <c r="H1839">
        <v>0</v>
      </c>
    </row>
    <row r="1840" spans="1:8" x14ac:dyDescent="0.25">
      <c r="A1840">
        <v>14726343</v>
      </c>
      <c r="B1840">
        <v>8</v>
      </c>
      <c r="C1840">
        <v>0</v>
      </c>
      <c r="D1840">
        <v>2</v>
      </c>
      <c r="E1840">
        <v>3</v>
      </c>
      <c r="F1840">
        <v>6</v>
      </c>
      <c r="G1840">
        <v>7</v>
      </c>
      <c r="H1840">
        <v>23.8</v>
      </c>
    </row>
    <row r="1841" spans="1:8" x14ac:dyDescent="0.25">
      <c r="A1841">
        <v>14726344</v>
      </c>
      <c r="B1841">
        <v>7</v>
      </c>
      <c r="C1841">
        <v>0</v>
      </c>
      <c r="D1841">
        <v>0</v>
      </c>
      <c r="E1841">
        <v>0</v>
      </c>
      <c r="F1841">
        <v>2</v>
      </c>
      <c r="G1841">
        <v>45</v>
      </c>
      <c r="H1841">
        <v>0</v>
      </c>
    </row>
    <row r="1842" spans="1:8" x14ac:dyDescent="0.25">
      <c r="A1842">
        <v>14726345</v>
      </c>
      <c r="B1842">
        <v>333</v>
      </c>
      <c r="C1842">
        <v>0</v>
      </c>
      <c r="D1842">
        <v>9</v>
      </c>
      <c r="E1842">
        <v>54</v>
      </c>
      <c r="F1842">
        <v>255</v>
      </c>
      <c r="G1842">
        <v>571</v>
      </c>
      <c r="H1842">
        <v>260.37670000000003</v>
      </c>
    </row>
    <row r="1843" spans="1:8" x14ac:dyDescent="0.25">
      <c r="A1843">
        <v>14726346</v>
      </c>
      <c r="B1843">
        <v>410</v>
      </c>
      <c r="C1843">
        <v>0</v>
      </c>
      <c r="D1843">
        <v>15</v>
      </c>
      <c r="E1843">
        <v>50</v>
      </c>
      <c r="F1843">
        <v>140</v>
      </c>
      <c r="G1843">
        <v>424</v>
      </c>
      <c r="H1843">
        <v>235.99</v>
      </c>
    </row>
    <row r="1844" spans="1:8" x14ac:dyDescent="0.25">
      <c r="A1844">
        <v>14726347</v>
      </c>
      <c r="B1844">
        <v>165</v>
      </c>
      <c r="C1844">
        <v>0</v>
      </c>
      <c r="D1844">
        <v>8</v>
      </c>
      <c r="E1844">
        <v>36</v>
      </c>
      <c r="F1844">
        <v>125</v>
      </c>
      <c r="G1844">
        <v>314</v>
      </c>
      <c r="H1844">
        <v>292.6463</v>
      </c>
    </row>
    <row r="1845" spans="1:8" x14ac:dyDescent="0.25">
      <c r="A1845">
        <v>14726348</v>
      </c>
      <c r="B1845">
        <v>0</v>
      </c>
      <c r="C1845">
        <v>0</v>
      </c>
      <c r="D1845">
        <v>0</v>
      </c>
      <c r="E1845">
        <v>0</v>
      </c>
      <c r="F1845">
        <v>1</v>
      </c>
      <c r="G1845">
        <v>1</v>
      </c>
      <c r="H1845">
        <v>0</v>
      </c>
    </row>
    <row r="1846" spans="1:8" x14ac:dyDescent="0.25">
      <c r="A1846">
        <v>14726349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</row>
    <row r="1847" spans="1:8" x14ac:dyDescent="0.25">
      <c r="A1847">
        <v>14726352</v>
      </c>
      <c r="B1847">
        <v>0</v>
      </c>
      <c r="C1847">
        <v>0</v>
      </c>
      <c r="D1847">
        <v>1</v>
      </c>
      <c r="E1847">
        <v>3</v>
      </c>
      <c r="F1847">
        <v>4</v>
      </c>
      <c r="G1847">
        <v>9</v>
      </c>
      <c r="H1847">
        <v>112.5</v>
      </c>
    </row>
    <row r="1848" spans="1:8" x14ac:dyDescent="0.25">
      <c r="A1848">
        <v>14726783</v>
      </c>
      <c r="B1848">
        <v>77</v>
      </c>
      <c r="C1848">
        <v>70</v>
      </c>
      <c r="D1848">
        <v>7</v>
      </c>
      <c r="E1848">
        <v>58</v>
      </c>
      <c r="F1848">
        <v>144</v>
      </c>
      <c r="G1848">
        <v>263</v>
      </c>
      <c r="H1848">
        <v>10.6671</v>
      </c>
    </row>
    <row r="1849" spans="1:8" x14ac:dyDescent="0.25">
      <c r="A1849">
        <v>14726784</v>
      </c>
      <c r="B1849">
        <v>95</v>
      </c>
      <c r="C1849">
        <v>60</v>
      </c>
      <c r="D1849">
        <v>10</v>
      </c>
      <c r="E1849">
        <v>34</v>
      </c>
      <c r="F1849">
        <v>120</v>
      </c>
      <c r="G1849">
        <v>202</v>
      </c>
      <c r="H1849">
        <v>17.89</v>
      </c>
    </row>
    <row r="1850" spans="1:8" x14ac:dyDescent="0.25">
      <c r="A1850">
        <v>14726785</v>
      </c>
      <c r="B1850">
        <v>39</v>
      </c>
      <c r="C1850">
        <v>40</v>
      </c>
      <c r="D1850">
        <v>0</v>
      </c>
      <c r="E1850">
        <v>9</v>
      </c>
      <c r="F1850">
        <v>59</v>
      </c>
      <c r="G1850">
        <v>147</v>
      </c>
      <c r="H1850">
        <v>0</v>
      </c>
    </row>
    <row r="1851" spans="1:8" x14ac:dyDescent="0.25">
      <c r="A1851">
        <v>14726786</v>
      </c>
      <c r="B1851">
        <v>96</v>
      </c>
      <c r="C1851">
        <v>0</v>
      </c>
      <c r="D1851">
        <v>1</v>
      </c>
      <c r="E1851">
        <v>13</v>
      </c>
      <c r="F1851">
        <v>80</v>
      </c>
      <c r="G1851">
        <v>179</v>
      </c>
      <c r="H1851">
        <v>2.99</v>
      </c>
    </row>
    <row r="1852" spans="1:8" x14ac:dyDescent="0.25">
      <c r="A1852">
        <v>14726787</v>
      </c>
      <c r="B1852">
        <v>93</v>
      </c>
      <c r="C1852">
        <v>20</v>
      </c>
      <c r="D1852">
        <v>7</v>
      </c>
      <c r="E1852">
        <v>31</v>
      </c>
      <c r="F1852">
        <v>73</v>
      </c>
      <c r="G1852">
        <v>136</v>
      </c>
      <c r="H1852">
        <v>5.99</v>
      </c>
    </row>
    <row r="1853" spans="1:8" x14ac:dyDescent="0.25">
      <c r="A1853">
        <v>14726788</v>
      </c>
      <c r="B1853">
        <v>104</v>
      </c>
      <c r="C1853">
        <v>0</v>
      </c>
      <c r="D1853">
        <v>15</v>
      </c>
      <c r="E1853">
        <v>43</v>
      </c>
      <c r="F1853">
        <v>82</v>
      </c>
      <c r="G1853">
        <v>155</v>
      </c>
      <c r="H1853">
        <v>6.77</v>
      </c>
    </row>
    <row r="1854" spans="1:8" x14ac:dyDescent="0.25">
      <c r="A1854">
        <v>14726789</v>
      </c>
      <c r="B1854">
        <v>122</v>
      </c>
      <c r="C1854">
        <v>0</v>
      </c>
      <c r="D1854">
        <v>4</v>
      </c>
      <c r="E1854">
        <v>9</v>
      </c>
      <c r="F1854">
        <v>31</v>
      </c>
      <c r="G1854">
        <v>77</v>
      </c>
      <c r="H1854">
        <v>8.99</v>
      </c>
    </row>
    <row r="1855" spans="1:8" x14ac:dyDescent="0.25">
      <c r="A1855">
        <v>14726790</v>
      </c>
      <c r="B1855">
        <v>116</v>
      </c>
      <c r="C1855">
        <v>20</v>
      </c>
      <c r="D1855">
        <v>4</v>
      </c>
      <c r="E1855">
        <v>12</v>
      </c>
      <c r="F1855">
        <v>34</v>
      </c>
      <c r="G1855">
        <v>115</v>
      </c>
      <c r="H1855">
        <v>8.3874999999999993</v>
      </c>
    </row>
    <row r="1856" spans="1:8" x14ac:dyDescent="0.25">
      <c r="A1856">
        <v>14726791</v>
      </c>
      <c r="B1856">
        <v>83</v>
      </c>
      <c r="C1856">
        <v>20</v>
      </c>
      <c r="D1856">
        <v>4</v>
      </c>
      <c r="E1856">
        <v>22</v>
      </c>
      <c r="F1856">
        <v>75</v>
      </c>
      <c r="G1856">
        <v>157</v>
      </c>
      <c r="H1856">
        <v>7.8574999999999999</v>
      </c>
    </row>
    <row r="1857" spans="1:8" x14ac:dyDescent="0.25">
      <c r="A1857">
        <v>14726792</v>
      </c>
      <c r="B1857">
        <v>-3</v>
      </c>
      <c r="C1857">
        <v>0</v>
      </c>
      <c r="D1857">
        <v>0</v>
      </c>
      <c r="E1857">
        <v>0</v>
      </c>
      <c r="F1857">
        <v>14</v>
      </c>
      <c r="G1857">
        <v>22</v>
      </c>
      <c r="H1857">
        <v>0</v>
      </c>
    </row>
    <row r="1858" spans="1:8" x14ac:dyDescent="0.25">
      <c r="A1858">
        <v>14727398</v>
      </c>
      <c r="B1858">
        <v>0</v>
      </c>
      <c r="C1858">
        <v>0</v>
      </c>
      <c r="D1858">
        <v>0</v>
      </c>
      <c r="E1858">
        <v>0</v>
      </c>
      <c r="F1858">
        <v>3</v>
      </c>
      <c r="G1858">
        <v>16</v>
      </c>
      <c r="H1858">
        <v>0</v>
      </c>
    </row>
    <row r="1859" spans="1:8" x14ac:dyDescent="0.25">
      <c r="A1859">
        <v>14727399</v>
      </c>
      <c r="B1859">
        <v>36</v>
      </c>
      <c r="C1859">
        <v>11</v>
      </c>
      <c r="D1859">
        <v>1</v>
      </c>
      <c r="E1859">
        <v>3</v>
      </c>
      <c r="F1859">
        <v>16</v>
      </c>
      <c r="G1859">
        <v>23</v>
      </c>
      <c r="H1859">
        <v>12.99</v>
      </c>
    </row>
    <row r="1860" spans="1:8" x14ac:dyDescent="0.25">
      <c r="A1860">
        <v>14727400</v>
      </c>
      <c r="B1860">
        <v>89</v>
      </c>
      <c r="C1860">
        <v>22</v>
      </c>
      <c r="D1860">
        <v>2</v>
      </c>
      <c r="E1860">
        <v>14</v>
      </c>
      <c r="F1860">
        <v>45</v>
      </c>
      <c r="G1860">
        <v>75</v>
      </c>
      <c r="H1860">
        <v>12.005000000000001</v>
      </c>
    </row>
    <row r="1861" spans="1:8" x14ac:dyDescent="0.25">
      <c r="A1861">
        <v>14727401</v>
      </c>
      <c r="B1861">
        <v>75</v>
      </c>
      <c r="C1861">
        <v>16</v>
      </c>
      <c r="D1861">
        <v>5</v>
      </c>
      <c r="E1861">
        <v>19</v>
      </c>
      <c r="F1861">
        <v>54</v>
      </c>
      <c r="G1861">
        <v>102</v>
      </c>
      <c r="H1861">
        <v>21.616</v>
      </c>
    </row>
    <row r="1862" spans="1:8" x14ac:dyDescent="0.25">
      <c r="A1862">
        <v>14727403</v>
      </c>
      <c r="B1862">
        <v>1</v>
      </c>
      <c r="C1862">
        <v>0</v>
      </c>
      <c r="D1862">
        <v>0</v>
      </c>
      <c r="E1862">
        <v>0</v>
      </c>
      <c r="F1862">
        <v>2</v>
      </c>
      <c r="G1862">
        <v>9</v>
      </c>
      <c r="H1862">
        <v>0</v>
      </c>
    </row>
    <row r="1863" spans="1:8" x14ac:dyDescent="0.25">
      <c r="A1863">
        <v>14727404</v>
      </c>
      <c r="B1863">
        <v>6</v>
      </c>
      <c r="C1863">
        <v>1</v>
      </c>
      <c r="D1863">
        <v>0</v>
      </c>
      <c r="E1863">
        <v>6</v>
      </c>
      <c r="F1863">
        <v>16</v>
      </c>
      <c r="G1863">
        <v>36</v>
      </c>
      <c r="H1863">
        <v>0</v>
      </c>
    </row>
    <row r="1864" spans="1:8" x14ac:dyDescent="0.25">
      <c r="A1864">
        <v>14727405</v>
      </c>
      <c r="B1864">
        <v>-8</v>
      </c>
      <c r="C1864">
        <v>0</v>
      </c>
      <c r="D1864">
        <v>0</v>
      </c>
      <c r="E1864">
        <v>0</v>
      </c>
      <c r="F1864">
        <v>7</v>
      </c>
      <c r="G1864">
        <v>15</v>
      </c>
      <c r="H1864">
        <v>0</v>
      </c>
    </row>
    <row r="1865" spans="1:8" x14ac:dyDescent="0.25">
      <c r="A1865">
        <v>14727407</v>
      </c>
      <c r="B1865">
        <v>25</v>
      </c>
      <c r="C1865">
        <v>65</v>
      </c>
      <c r="D1865">
        <v>2</v>
      </c>
      <c r="E1865">
        <v>20</v>
      </c>
      <c r="F1865">
        <v>68</v>
      </c>
      <c r="G1865">
        <v>96</v>
      </c>
      <c r="H1865">
        <v>12.99</v>
      </c>
    </row>
    <row r="1866" spans="1:8" x14ac:dyDescent="0.25">
      <c r="A1866">
        <v>14727408</v>
      </c>
      <c r="B1866">
        <v>9</v>
      </c>
      <c r="C1866">
        <v>4</v>
      </c>
      <c r="D1866">
        <v>0</v>
      </c>
      <c r="E1866">
        <v>6</v>
      </c>
      <c r="F1866">
        <v>16</v>
      </c>
      <c r="G1866">
        <v>24</v>
      </c>
      <c r="H1866">
        <v>0</v>
      </c>
    </row>
    <row r="1867" spans="1:8" x14ac:dyDescent="0.25">
      <c r="A1867">
        <v>14727409</v>
      </c>
      <c r="B1867">
        <v>24</v>
      </c>
      <c r="C1867">
        <v>40</v>
      </c>
      <c r="D1867">
        <v>1</v>
      </c>
      <c r="E1867">
        <v>13</v>
      </c>
      <c r="F1867">
        <v>40</v>
      </c>
      <c r="G1867">
        <v>52</v>
      </c>
      <c r="H1867">
        <v>16.989999999999998</v>
      </c>
    </row>
    <row r="1868" spans="1:8" x14ac:dyDescent="0.25">
      <c r="A1868">
        <v>14727411</v>
      </c>
      <c r="B1868">
        <v>0</v>
      </c>
      <c r="C1868">
        <v>0</v>
      </c>
      <c r="D1868">
        <v>0</v>
      </c>
      <c r="E1868">
        <v>0</v>
      </c>
      <c r="F1868">
        <v>1</v>
      </c>
      <c r="G1868">
        <v>6</v>
      </c>
      <c r="H1868">
        <v>0</v>
      </c>
    </row>
    <row r="1869" spans="1:8" x14ac:dyDescent="0.25">
      <c r="A1869">
        <v>14727413</v>
      </c>
      <c r="B1869">
        <v>11</v>
      </c>
      <c r="C1869">
        <v>12</v>
      </c>
      <c r="D1869">
        <v>0</v>
      </c>
      <c r="E1869">
        <v>5</v>
      </c>
      <c r="F1869">
        <v>19</v>
      </c>
      <c r="G1869">
        <v>43</v>
      </c>
      <c r="H1869">
        <v>0</v>
      </c>
    </row>
    <row r="1870" spans="1:8" x14ac:dyDescent="0.25">
      <c r="A1870">
        <v>14727415</v>
      </c>
      <c r="B1870">
        <v>37</v>
      </c>
      <c r="C1870">
        <v>42</v>
      </c>
      <c r="D1870">
        <v>2</v>
      </c>
      <c r="E1870">
        <v>12</v>
      </c>
      <c r="F1870">
        <v>45</v>
      </c>
      <c r="G1870">
        <v>57</v>
      </c>
      <c r="H1870">
        <v>39.99</v>
      </c>
    </row>
    <row r="1871" spans="1:8" x14ac:dyDescent="0.25">
      <c r="A1871">
        <v>14727416</v>
      </c>
      <c r="B1871">
        <v>96</v>
      </c>
      <c r="C1871">
        <v>30</v>
      </c>
      <c r="D1871">
        <v>5</v>
      </c>
      <c r="E1871">
        <v>23</v>
      </c>
      <c r="F1871">
        <v>63</v>
      </c>
      <c r="G1871">
        <v>135</v>
      </c>
      <c r="H1871">
        <v>27.99</v>
      </c>
    </row>
    <row r="1872" spans="1:8" x14ac:dyDescent="0.25">
      <c r="A1872">
        <v>14727418</v>
      </c>
      <c r="B1872">
        <v>159</v>
      </c>
      <c r="C1872">
        <v>98</v>
      </c>
      <c r="D1872">
        <v>9</v>
      </c>
      <c r="E1872">
        <v>44</v>
      </c>
      <c r="F1872">
        <v>146</v>
      </c>
      <c r="G1872">
        <v>234</v>
      </c>
      <c r="H1872">
        <v>21.918900000000001</v>
      </c>
    </row>
    <row r="1873" spans="1:8" x14ac:dyDescent="0.25">
      <c r="A1873">
        <v>14727421</v>
      </c>
      <c r="B1873">
        <v>28</v>
      </c>
      <c r="C1873">
        <v>19</v>
      </c>
      <c r="D1873">
        <v>2</v>
      </c>
      <c r="E1873">
        <v>7</v>
      </c>
      <c r="F1873">
        <v>39</v>
      </c>
      <c r="G1873">
        <v>70</v>
      </c>
      <c r="H1873">
        <v>54.99</v>
      </c>
    </row>
    <row r="1874" spans="1:8" x14ac:dyDescent="0.25">
      <c r="A1874">
        <v>14727522</v>
      </c>
      <c r="B1874">
        <v>13</v>
      </c>
      <c r="C1874">
        <v>2</v>
      </c>
      <c r="D1874">
        <v>0</v>
      </c>
      <c r="E1874">
        <v>0</v>
      </c>
      <c r="F1874">
        <v>6</v>
      </c>
      <c r="G1874">
        <v>9</v>
      </c>
      <c r="H1874">
        <v>0</v>
      </c>
    </row>
    <row r="1875" spans="1:8" x14ac:dyDescent="0.25">
      <c r="A1875">
        <v>14727524</v>
      </c>
      <c r="B1875">
        <v>-4</v>
      </c>
      <c r="C1875">
        <v>0</v>
      </c>
      <c r="D1875">
        <v>0</v>
      </c>
      <c r="E1875">
        <v>0</v>
      </c>
      <c r="F1875">
        <v>10</v>
      </c>
      <c r="G1875">
        <v>25</v>
      </c>
      <c r="H1875">
        <v>0</v>
      </c>
    </row>
    <row r="1876" spans="1:8" x14ac:dyDescent="0.25">
      <c r="A1876">
        <v>14727525</v>
      </c>
      <c r="B1876">
        <v>-6</v>
      </c>
      <c r="C1876">
        <v>0</v>
      </c>
      <c r="D1876">
        <v>0</v>
      </c>
      <c r="E1876">
        <v>0</v>
      </c>
      <c r="F1876">
        <v>0</v>
      </c>
      <c r="G1876">
        <v>18</v>
      </c>
      <c r="H1876">
        <v>0</v>
      </c>
    </row>
    <row r="1877" spans="1:8" x14ac:dyDescent="0.25">
      <c r="A1877">
        <v>14727526</v>
      </c>
      <c r="B1877">
        <v>8</v>
      </c>
      <c r="C1877">
        <v>2</v>
      </c>
      <c r="D1877">
        <v>3</v>
      </c>
      <c r="E1877">
        <v>9</v>
      </c>
      <c r="F1877">
        <v>17</v>
      </c>
      <c r="G1877">
        <v>30</v>
      </c>
      <c r="H1877">
        <v>7.99</v>
      </c>
    </row>
    <row r="1878" spans="1:8" x14ac:dyDescent="0.25">
      <c r="A1878">
        <v>14727527</v>
      </c>
      <c r="B1878">
        <v>28</v>
      </c>
      <c r="C1878">
        <v>0</v>
      </c>
      <c r="D1878">
        <v>1</v>
      </c>
      <c r="E1878">
        <v>1</v>
      </c>
      <c r="F1878">
        <v>7</v>
      </c>
      <c r="G1878">
        <v>16</v>
      </c>
      <c r="H1878">
        <v>7.99</v>
      </c>
    </row>
    <row r="1879" spans="1:8" x14ac:dyDescent="0.25">
      <c r="A1879">
        <v>14727530</v>
      </c>
      <c r="B1879">
        <v>3</v>
      </c>
      <c r="C1879">
        <v>0</v>
      </c>
      <c r="D1879">
        <v>0</v>
      </c>
      <c r="E1879">
        <v>0</v>
      </c>
      <c r="F1879">
        <v>2</v>
      </c>
      <c r="G1879">
        <v>4</v>
      </c>
      <c r="H1879">
        <v>0</v>
      </c>
    </row>
    <row r="1880" spans="1:8" x14ac:dyDescent="0.25">
      <c r="A1880">
        <v>14727531</v>
      </c>
      <c r="B1880">
        <v>-5</v>
      </c>
      <c r="C1880">
        <v>0</v>
      </c>
      <c r="D1880">
        <v>0</v>
      </c>
      <c r="E1880">
        <v>0</v>
      </c>
      <c r="F1880">
        <v>3</v>
      </c>
      <c r="G1880">
        <v>10</v>
      </c>
      <c r="H1880">
        <v>0</v>
      </c>
    </row>
    <row r="1881" spans="1:8" x14ac:dyDescent="0.25">
      <c r="A1881">
        <v>14727595</v>
      </c>
      <c r="B1881">
        <v>0</v>
      </c>
      <c r="C1881">
        <v>14</v>
      </c>
      <c r="D1881">
        <v>0</v>
      </c>
      <c r="E1881">
        <v>0</v>
      </c>
      <c r="F1881">
        <v>0</v>
      </c>
      <c r="G1881">
        <v>30</v>
      </c>
      <c r="H1881">
        <v>0</v>
      </c>
    </row>
    <row r="1882" spans="1:8" x14ac:dyDescent="0.25">
      <c r="A1882">
        <v>14727599</v>
      </c>
      <c r="B1882">
        <v>6</v>
      </c>
      <c r="C1882">
        <v>0</v>
      </c>
      <c r="D1882">
        <v>0</v>
      </c>
      <c r="E1882">
        <v>0</v>
      </c>
      <c r="F1882">
        <v>113</v>
      </c>
      <c r="G1882">
        <v>125</v>
      </c>
      <c r="H1882">
        <v>0</v>
      </c>
    </row>
    <row r="1883" spans="1:8" x14ac:dyDescent="0.25">
      <c r="A1883">
        <v>14727603</v>
      </c>
      <c r="B1883">
        <v>24</v>
      </c>
      <c r="C1883">
        <v>0</v>
      </c>
      <c r="D1883">
        <v>0</v>
      </c>
      <c r="E1883">
        <v>0</v>
      </c>
      <c r="F1883">
        <v>4</v>
      </c>
      <c r="G1883">
        <v>4</v>
      </c>
      <c r="H1883">
        <v>0</v>
      </c>
    </row>
    <row r="1884" spans="1:8" x14ac:dyDescent="0.25">
      <c r="A1884">
        <v>14728770</v>
      </c>
      <c r="B1884">
        <v>438</v>
      </c>
      <c r="C1884">
        <v>184</v>
      </c>
      <c r="D1884">
        <v>37</v>
      </c>
      <c r="E1884">
        <v>151</v>
      </c>
      <c r="F1884">
        <v>522</v>
      </c>
      <c r="G1884">
        <v>1160</v>
      </c>
      <c r="H1884">
        <v>47.506500000000003</v>
      </c>
    </row>
    <row r="1885" spans="1:8" x14ac:dyDescent="0.25">
      <c r="A1885">
        <v>14728771</v>
      </c>
      <c r="B1885">
        <v>313</v>
      </c>
      <c r="C1885">
        <v>20</v>
      </c>
      <c r="D1885">
        <v>3</v>
      </c>
      <c r="E1885">
        <v>38</v>
      </c>
      <c r="F1885">
        <v>159</v>
      </c>
      <c r="G1885">
        <v>621</v>
      </c>
      <c r="H1885">
        <v>113.3233</v>
      </c>
    </row>
    <row r="1886" spans="1:8" x14ac:dyDescent="0.25">
      <c r="A1886">
        <v>14729204</v>
      </c>
      <c r="B1886">
        <v>2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</row>
    <row r="1887" spans="1:8" x14ac:dyDescent="0.25">
      <c r="A1887">
        <v>14729820</v>
      </c>
      <c r="B1887">
        <v>3</v>
      </c>
      <c r="C1887">
        <v>0</v>
      </c>
      <c r="D1887">
        <v>0</v>
      </c>
      <c r="E1887">
        <v>0</v>
      </c>
      <c r="F1887">
        <v>1</v>
      </c>
      <c r="G1887">
        <v>14</v>
      </c>
      <c r="H1887">
        <v>0</v>
      </c>
    </row>
    <row r="1888" spans="1:8" x14ac:dyDescent="0.25">
      <c r="A1888">
        <v>14732242</v>
      </c>
      <c r="B1888">
        <v>-1</v>
      </c>
      <c r="C1888">
        <v>0</v>
      </c>
      <c r="D1888">
        <v>0</v>
      </c>
      <c r="E1888">
        <v>0</v>
      </c>
      <c r="F1888">
        <v>2</v>
      </c>
      <c r="G1888">
        <v>3</v>
      </c>
      <c r="H1888">
        <v>0</v>
      </c>
    </row>
    <row r="1889" spans="1:8" x14ac:dyDescent="0.25">
      <c r="A1889">
        <v>14732243</v>
      </c>
      <c r="B1889">
        <v>1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</row>
    <row r="1890" spans="1:8" x14ac:dyDescent="0.25">
      <c r="A1890">
        <v>14732244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9</v>
      </c>
      <c r="H1890">
        <v>0</v>
      </c>
    </row>
    <row r="1891" spans="1:8" x14ac:dyDescent="0.25">
      <c r="A1891">
        <v>14732245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</row>
    <row r="1892" spans="1:8" x14ac:dyDescent="0.25">
      <c r="A1892">
        <v>14732538</v>
      </c>
      <c r="B1892">
        <v>31</v>
      </c>
      <c r="C1892">
        <v>0</v>
      </c>
      <c r="D1892">
        <v>0</v>
      </c>
      <c r="E1892">
        <v>3</v>
      </c>
      <c r="F1892">
        <v>16</v>
      </c>
      <c r="G1892">
        <v>59</v>
      </c>
      <c r="H1892">
        <v>0</v>
      </c>
    </row>
    <row r="1893" spans="1:8" x14ac:dyDescent="0.25">
      <c r="A1893">
        <v>14732540</v>
      </c>
      <c r="B1893">
        <v>0</v>
      </c>
      <c r="C1893">
        <v>0</v>
      </c>
      <c r="D1893">
        <v>0</v>
      </c>
      <c r="E1893">
        <v>0</v>
      </c>
      <c r="F1893">
        <v>9</v>
      </c>
      <c r="G1893">
        <v>18</v>
      </c>
      <c r="H1893">
        <v>0</v>
      </c>
    </row>
    <row r="1894" spans="1:8" x14ac:dyDescent="0.25">
      <c r="A1894">
        <v>14732642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1</v>
      </c>
      <c r="H1894">
        <v>0</v>
      </c>
    </row>
    <row r="1895" spans="1:8" x14ac:dyDescent="0.25">
      <c r="A1895">
        <v>14733834</v>
      </c>
      <c r="B1895">
        <v>2</v>
      </c>
      <c r="C1895">
        <v>0</v>
      </c>
      <c r="D1895">
        <v>0</v>
      </c>
      <c r="E1895">
        <v>0</v>
      </c>
      <c r="F1895">
        <v>5</v>
      </c>
      <c r="G1895">
        <v>16</v>
      </c>
      <c r="H1895">
        <v>0</v>
      </c>
    </row>
    <row r="1896" spans="1:8" x14ac:dyDescent="0.25">
      <c r="A1896">
        <v>14735491</v>
      </c>
      <c r="B1896">
        <v>105</v>
      </c>
      <c r="C1896">
        <v>60</v>
      </c>
      <c r="D1896">
        <v>23</v>
      </c>
      <c r="E1896">
        <v>91</v>
      </c>
      <c r="F1896">
        <v>239</v>
      </c>
      <c r="G1896">
        <v>586</v>
      </c>
      <c r="H1896">
        <v>20.377400000000002</v>
      </c>
    </row>
    <row r="1897" spans="1:8" x14ac:dyDescent="0.25">
      <c r="A1897">
        <v>14735492</v>
      </c>
      <c r="B1897">
        <v>874</v>
      </c>
      <c r="C1897">
        <v>201</v>
      </c>
      <c r="D1897">
        <v>78</v>
      </c>
      <c r="E1897">
        <v>330</v>
      </c>
      <c r="F1897">
        <v>1131</v>
      </c>
      <c r="G1897">
        <v>2163</v>
      </c>
      <c r="H1897">
        <v>21.1645</v>
      </c>
    </row>
    <row r="1898" spans="1:8" x14ac:dyDescent="0.25">
      <c r="A1898">
        <v>14735493</v>
      </c>
      <c r="B1898">
        <v>1</v>
      </c>
      <c r="C1898">
        <v>0</v>
      </c>
      <c r="D1898">
        <v>2</v>
      </c>
      <c r="E1898">
        <v>3</v>
      </c>
      <c r="F1898">
        <v>6</v>
      </c>
      <c r="G1898">
        <v>35</v>
      </c>
      <c r="H1898">
        <v>19.989999999999998</v>
      </c>
    </row>
    <row r="1899" spans="1:8" x14ac:dyDescent="0.25">
      <c r="A1899">
        <v>14735494</v>
      </c>
      <c r="B1899">
        <v>0</v>
      </c>
      <c r="C1899">
        <v>0</v>
      </c>
      <c r="D1899">
        <v>0</v>
      </c>
      <c r="E1899">
        <v>2</v>
      </c>
      <c r="F1899">
        <v>4</v>
      </c>
      <c r="G1899">
        <v>11</v>
      </c>
      <c r="H1899">
        <v>0</v>
      </c>
    </row>
    <row r="1900" spans="1:8" x14ac:dyDescent="0.25">
      <c r="A1900">
        <v>14736688</v>
      </c>
      <c r="B1900">
        <v>1</v>
      </c>
      <c r="C1900">
        <v>0</v>
      </c>
      <c r="D1900">
        <v>0</v>
      </c>
      <c r="E1900">
        <v>0</v>
      </c>
      <c r="F1900">
        <v>0</v>
      </c>
      <c r="G1900">
        <v>1</v>
      </c>
      <c r="H1900">
        <v>0</v>
      </c>
    </row>
    <row r="1901" spans="1:8" x14ac:dyDescent="0.25">
      <c r="A1901">
        <v>14738194</v>
      </c>
      <c r="B1901">
        <v>7</v>
      </c>
      <c r="C1901">
        <v>0</v>
      </c>
      <c r="D1901">
        <v>0</v>
      </c>
      <c r="E1901">
        <v>1</v>
      </c>
      <c r="F1901">
        <v>2</v>
      </c>
      <c r="G1901">
        <v>5</v>
      </c>
      <c r="H1901">
        <v>0</v>
      </c>
    </row>
    <row r="1902" spans="1:8" x14ac:dyDescent="0.25">
      <c r="A1902">
        <v>14738195</v>
      </c>
      <c r="B1902">
        <v>59</v>
      </c>
      <c r="C1902">
        <v>0</v>
      </c>
      <c r="D1902">
        <v>0</v>
      </c>
      <c r="E1902">
        <v>1</v>
      </c>
      <c r="F1902">
        <v>12</v>
      </c>
      <c r="G1902">
        <v>28</v>
      </c>
      <c r="H1902">
        <v>0</v>
      </c>
    </row>
    <row r="1903" spans="1:8" x14ac:dyDescent="0.25">
      <c r="A1903">
        <v>14738196</v>
      </c>
      <c r="B1903">
        <v>8</v>
      </c>
      <c r="C1903">
        <v>0</v>
      </c>
      <c r="D1903">
        <v>0</v>
      </c>
      <c r="E1903">
        <v>1</v>
      </c>
      <c r="F1903">
        <v>4</v>
      </c>
      <c r="G1903">
        <v>11</v>
      </c>
      <c r="H1903">
        <v>0</v>
      </c>
    </row>
    <row r="1904" spans="1:8" x14ac:dyDescent="0.25">
      <c r="A1904">
        <v>14738197</v>
      </c>
      <c r="B1904">
        <v>17</v>
      </c>
      <c r="C1904">
        <v>0</v>
      </c>
      <c r="D1904">
        <v>1</v>
      </c>
      <c r="E1904">
        <v>1</v>
      </c>
      <c r="F1904">
        <v>51</v>
      </c>
      <c r="G1904">
        <v>92</v>
      </c>
      <c r="H1904">
        <v>67</v>
      </c>
    </row>
    <row r="1905" spans="1:8" x14ac:dyDescent="0.25">
      <c r="A1905">
        <v>14738198</v>
      </c>
      <c r="B1905">
        <v>12</v>
      </c>
      <c r="C1905">
        <v>0</v>
      </c>
      <c r="D1905">
        <v>0</v>
      </c>
      <c r="E1905">
        <v>0</v>
      </c>
      <c r="F1905">
        <v>9</v>
      </c>
      <c r="G1905">
        <v>23</v>
      </c>
      <c r="H1905">
        <v>0</v>
      </c>
    </row>
    <row r="1906" spans="1:8" x14ac:dyDescent="0.25">
      <c r="A1906">
        <v>14738385</v>
      </c>
      <c r="B1906">
        <v>6</v>
      </c>
      <c r="C1906">
        <v>0</v>
      </c>
      <c r="D1906">
        <v>3</v>
      </c>
      <c r="E1906">
        <v>7</v>
      </c>
      <c r="F1906">
        <v>14</v>
      </c>
      <c r="G1906">
        <v>22</v>
      </c>
      <c r="H1906">
        <v>273.97000000000003</v>
      </c>
    </row>
    <row r="1907" spans="1:8" x14ac:dyDescent="0.25">
      <c r="A1907">
        <v>14738488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</row>
    <row r="1908" spans="1:8" x14ac:dyDescent="0.25">
      <c r="A1908">
        <v>14738489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</row>
    <row r="1909" spans="1:8" x14ac:dyDescent="0.25">
      <c r="A1909">
        <v>14738778</v>
      </c>
      <c r="B1909">
        <v>838</v>
      </c>
      <c r="C1909">
        <v>140</v>
      </c>
      <c r="D1909">
        <v>50</v>
      </c>
      <c r="E1909">
        <v>183</v>
      </c>
      <c r="F1909">
        <v>769</v>
      </c>
      <c r="G1909">
        <v>1618</v>
      </c>
      <c r="H1909">
        <v>28.700600000000001</v>
      </c>
    </row>
    <row r="1910" spans="1:8" x14ac:dyDescent="0.25">
      <c r="A1910">
        <v>14738779</v>
      </c>
      <c r="B1910">
        <v>626</v>
      </c>
      <c r="C1910">
        <v>0</v>
      </c>
      <c r="D1910">
        <v>20</v>
      </c>
      <c r="E1910">
        <v>102</v>
      </c>
      <c r="F1910">
        <v>330</v>
      </c>
      <c r="G1910">
        <v>698</v>
      </c>
      <c r="H1910">
        <v>39.116500000000002</v>
      </c>
    </row>
    <row r="1911" spans="1:8" x14ac:dyDescent="0.25">
      <c r="A1911">
        <v>14738780</v>
      </c>
      <c r="B1911">
        <v>571</v>
      </c>
      <c r="C1911">
        <v>40</v>
      </c>
      <c r="D1911">
        <v>7</v>
      </c>
      <c r="E1911">
        <v>28</v>
      </c>
      <c r="F1911">
        <v>75</v>
      </c>
      <c r="G1911">
        <v>199</v>
      </c>
      <c r="H1911">
        <v>34.99</v>
      </c>
    </row>
    <row r="1912" spans="1:8" x14ac:dyDescent="0.25">
      <c r="A1912">
        <v>14738783</v>
      </c>
      <c r="B1912">
        <v>350</v>
      </c>
      <c r="C1912">
        <v>60</v>
      </c>
      <c r="D1912">
        <v>12</v>
      </c>
      <c r="E1912">
        <v>50</v>
      </c>
      <c r="F1912">
        <v>163</v>
      </c>
      <c r="G1912">
        <v>333</v>
      </c>
      <c r="H1912">
        <v>34.727499999999999</v>
      </c>
    </row>
    <row r="1913" spans="1:8" x14ac:dyDescent="0.25">
      <c r="A1913">
        <v>14738784</v>
      </c>
      <c r="B1913">
        <v>409</v>
      </c>
      <c r="C1913">
        <v>0</v>
      </c>
      <c r="D1913">
        <v>10</v>
      </c>
      <c r="E1913">
        <v>48</v>
      </c>
      <c r="F1913">
        <v>168</v>
      </c>
      <c r="G1913">
        <v>331</v>
      </c>
      <c r="H1913">
        <v>33.49</v>
      </c>
    </row>
    <row r="1914" spans="1:8" x14ac:dyDescent="0.25">
      <c r="A1914">
        <v>14738785</v>
      </c>
      <c r="B1914">
        <v>1759</v>
      </c>
      <c r="C1914">
        <v>416</v>
      </c>
      <c r="D1914">
        <v>187</v>
      </c>
      <c r="E1914">
        <v>683</v>
      </c>
      <c r="F1914">
        <v>2064</v>
      </c>
      <c r="G1914">
        <v>3990</v>
      </c>
      <c r="H1914">
        <v>27.3582</v>
      </c>
    </row>
    <row r="1915" spans="1:8" x14ac:dyDescent="0.25">
      <c r="A1915">
        <v>14738786</v>
      </c>
      <c r="B1915">
        <v>1688</v>
      </c>
      <c r="C1915">
        <v>48</v>
      </c>
      <c r="D1915">
        <v>85</v>
      </c>
      <c r="E1915">
        <v>346</v>
      </c>
      <c r="F1915">
        <v>1177</v>
      </c>
      <c r="G1915">
        <v>2430</v>
      </c>
      <c r="H1915">
        <v>34.249099999999999</v>
      </c>
    </row>
    <row r="1916" spans="1:8" x14ac:dyDescent="0.25">
      <c r="A1916">
        <v>14738787</v>
      </c>
      <c r="B1916">
        <v>309</v>
      </c>
      <c r="C1916">
        <v>10</v>
      </c>
      <c r="D1916">
        <v>18</v>
      </c>
      <c r="E1916">
        <v>45</v>
      </c>
      <c r="F1916">
        <v>151</v>
      </c>
      <c r="G1916">
        <v>317</v>
      </c>
      <c r="H1916">
        <v>78.8506</v>
      </c>
    </row>
    <row r="1917" spans="1:8" x14ac:dyDescent="0.25">
      <c r="A1917">
        <v>14738788</v>
      </c>
      <c r="B1917">
        <v>1356</v>
      </c>
      <c r="C1917">
        <v>392</v>
      </c>
      <c r="D1917">
        <v>154</v>
      </c>
      <c r="E1917">
        <v>535</v>
      </c>
      <c r="F1917">
        <v>1764</v>
      </c>
      <c r="G1917">
        <v>3393</v>
      </c>
      <c r="H1917">
        <v>7.6322999999999999</v>
      </c>
    </row>
    <row r="1918" spans="1:8" x14ac:dyDescent="0.25">
      <c r="A1918">
        <v>14741397</v>
      </c>
      <c r="B1918">
        <v>45</v>
      </c>
      <c r="C1918">
        <v>0</v>
      </c>
      <c r="D1918">
        <v>2</v>
      </c>
      <c r="E1918">
        <v>6</v>
      </c>
      <c r="F1918">
        <v>15</v>
      </c>
      <c r="G1918">
        <v>20</v>
      </c>
      <c r="H1918">
        <v>10.99</v>
      </c>
    </row>
    <row r="1919" spans="1:8" x14ac:dyDescent="0.25">
      <c r="A1919">
        <v>14741399</v>
      </c>
      <c r="B1919">
        <v>43</v>
      </c>
      <c r="C1919">
        <v>0</v>
      </c>
      <c r="D1919">
        <v>12</v>
      </c>
      <c r="E1919">
        <v>45</v>
      </c>
      <c r="F1919">
        <v>250</v>
      </c>
      <c r="G1919">
        <v>665</v>
      </c>
      <c r="H1919">
        <v>14.485799999999999</v>
      </c>
    </row>
    <row r="1920" spans="1:8" x14ac:dyDescent="0.25">
      <c r="A1920">
        <v>14741400</v>
      </c>
      <c r="B1920">
        <v>39</v>
      </c>
      <c r="C1920">
        <v>0</v>
      </c>
      <c r="D1920">
        <v>0</v>
      </c>
      <c r="E1920">
        <v>3</v>
      </c>
      <c r="F1920">
        <v>12</v>
      </c>
      <c r="G1920">
        <v>27</v>
      </c>
      <c r="H1920">
        <v>0</v>
      </c>
    </row>
    <row r="1921" spans="1:8" x14ac:dyDescent="0.25">
      <c r="A1921">
        <v>14741401</v>
      </c>
      <c r="B1921">
        <v>81</v>
      </c>
      <c r="C1921">
        <v>4</v>
      </c>
      <c r="D1921">
        <v>4</v>
      </c>
      <c r="E1921">
        <v>13</v>
      </c>
      <c r="F1921">
        <v>52</v>
      </c>
      <c r="G1921">
        <v>156</v>
      </c>
      <c r="H1921">
        <v>26.21</v>
      </c>
    </row>
    <row r="1922" spans="1:8" x14ac:dyDescent="0.25">
      <c r="A1922">
        <v>14741402</v>
      </c>
      <c r="B1922">
        <v>40</v>
      </c>
      <c r="C1922">
        <v>0</v>
      </c>
      <c r="D1922">
        <v>1</v>
      </c>
      <c r="E1922">
        <v>3</v>
      </c>
      <c r="F1922">
        <v>10</v>
      </c>
      <c r="G1922">
        <v>27</v>
      </c>
      <c r="H1922">
        <v>14.99</v>
      </c>
    </row>
    <row r="1923" spans="1:8" x14ac:dyDescent="0.25">
      <c r="A1923">
        <v>14741403</v>
      </c>
      <c r="B1923">
        <v>1155</v>
      </c>
      <c r="C1923">
        <v>96</v>
      </c>
      <c r="D1923">
        <v>107</v>
      </c>
      <c r="E1923">
        <v>441</v>
      </c>
      <c r="F1923">
        <v>1652</v>
      </c>
      <c r="G1923">
        <v>3599</v>
      </c>
      <c r="H1923">
        <v>6.7910000000000004</v>
      </c>
    </row>
    <row r="1924" spans="1:8" x14ac:dyDescent="0.25">
      <c r="A1924">
        <v>14741404</v>
      </c>
      <c r="B1924">
        <v>35</v>
      </c>
      <c r="C1924">
        <v>0</v>
      </c>
      <c r="D1924">
        <v>0</v>
      </c>
      <c r="E1924">
        <v>0</v>
      </c>
      <c r="F1924">
        <v>4</v>
      </c>
      <c r="G1924">
        <v>9</v>
      </c>
      <c r="H1924">
        <v>0</v>
      </c>
    </row>
    <row r="1925" spans="1:8" x14ac:dyDescent="0.25">
      <c r="A1925">
        <v>14741406</v>
      </c>
      <c r="B1925">
        <v>173</v>
      </c>
      <c r="C1925">
        <v>0</v>
      </c>
      <c r="D1925">
        <v>0</v>
      </c>
      <c r="E1925">
        <v>5</v>
      </c>
      <c r="F1925">
        <v>24</v>
      </c>
      <c r="G1925">
        <v>35</v>
      </c>
      <c r="H1925">
        <v>0</v>
      </c>
    </row>
    <row r="1926" spans="1:8" x14ac:dyDescent="0.25">
      <c r="A1926">
        <v>14741407</v>
      </c>
      <c r="B1926">
        <v>71</v>
      </c>
      <c r="C1926">
        <v>0</v>
      </c>
      <c r="D1926">
        <v>0</v>
      </c>
      <c r="E1926">
        <v>2</v>
      </c>
      <c r="F1926">
        <v>16</v>
      </c>
      <c r="G1926">
        <v>29</v>
      </c>
      <c r="H1926">
        <v>0</v>
      </c>
    </row>
    <row r="1927" spans="1:8" x14ac:dyDescent="0.25">
      <c r="A1927">
        <v>14741408</v>
      </c>
      <c r="B1927">
        <v>338</v>
      </c>
      <c r="C1927">
        <v>60</v>
      </c>
      <c r="D1927">
        <v>12</v>
      </c>
      <c r="E1927">
        <v>64</v>
      </c>
      <c r="F1927">
        <v>281</v>
      </c>
      <c r="G1927">
        <v>737</v>
      </c>
      <c r="H1927">
        <v>29.000800000000002</v>
      </c>
    </row>
    <row r="1928" spans="1:8" x14ac:dyDescent="0.25">
      <c r="A1928">
        <v>14741472</v>
      </c>
      <c r="B1928">
        <v>1</v>
      </c>
      <c r="C1928">
        <v>0</v>
      </c>
      <c r="D1928">
        <v>4</v>
      </c>
      <c r="E1928">
        <v>13</v>
      </c>
      <c r="F1928">
        <v>35</v>
      </c>
      <c r="G1928">
        <v>93</v>
      </c>
      <c r="H1928">
        <v>143.88999999999999</v>
      </c>
    </row>
    <row r="1929" spans="1:8" x14ac:dyDescent="0.25">
      <c r="A1929">
        <v>14741473</v>
      </c>
      <c r="B1929">
        <v>6</v>
      </c>
      <c r="C1929">
        <v>0</v>
      </c>
      <c r="D1929">
        <v>3</v>
      </c>
      <c r="E1929">
        <v>4</v>
      </c>
      <c r="F1929">
        <v>9</v>
      </c>
      <c r="G1929">
        <v>15</v>
      </c>
      <c r="H1929">
        <v>113.3433</v>
      </c>
    </row>
    <row r="1930" spans="1:8" x14ac:dyDescent="0.25">
      <c r="A1930">
        <v>14743245</v>
      </c>
      <c r="B1930">
        <v>89</v>
      </c>
      <c r="C1930">
        <v>0</v>
      </c>
      <c r="D1930">
        <v>0</v>
      </c>
      <c r="E1930">
        <v>9</v>
      </c>
      <c r="F1930">
        <v>59</v>
      </c>
      <c r="G1930">
        <v>84</v>
      </c>
      <c r="H1930">
        <v>0</v>
      </c>
    </row>
    <row r="1931" spans="1:8" x14ac:dyDescent="0.25">
      <c r="A1931">
        <v>14743246</v>
      </c>
      <c r="B1931">
        <v>71</v>
      </c>
      <c r="C1931">
        <v>0</v>
      </c>
      <c r="D1931">
        <v>4</v>
      </c>
      <c r="E1931">
        <v>12</v>
      </c>
      <c r="F1931">
        <v>39</v>
      </c>
      <c r="G1931">
        <v>79</v>
      </c>
      <c r="H1931">
        <v>13.99</v>
      </c>
    </row>
    <row r="1932" spans="1:8" x14ac:dyDescent="0.25">
      <c r="A1932">
        <v>14743481</v>
      </c>
      <c r="B1932">
        <v>692</v>
      </c>
      <c r="C1932">
        <v>0</v>
      </c>
      <c r="D1932">
        <v>31</v>
      </c>
      <c r="E1932">
        <v>115</v>
      </c>
      <c r="F1932">
        <v>396</v>
      </c>
      <c r="G1932">
        <v>918</v>
      </c>
      <c r="H1932">
        <v>23.959700000000002</v>
      </c>
    </row>
    <row r="1933" spans="1:8" x14ac:dyDescent="0.25">
      <c r="A1933">
        <v>14743696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1</v>
      </c>
      <c r="H1933">
        <v>0</v>
      </c>
    </row>
    <row r="1934" spans="1:8" x14ac:dyDescent="0.25">
      <c r="A1934">
        <v>14743697</v>
      </c>
      <c r="B1934">
        <v>2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</row>
    <row r="1935" spans="1:8" x14ac:dyDescent="0.25">
      <c r="A1935">
        <v>14743699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</row>
    <row r="1936" spans="1:8" x14ac:dyDescent="0.25">
      <c r="A1936">
        <v>14743700</v>
      </c>
      <c r="B1936">
        <v>1</v>
      </c>
      <c r="C1936">
        <v>0</v>
      </c>
      <c r="D1936">
        <v>0</v>
      </c>
      <c r="E1936">
        <v>0</v>
      </c>
      <c r="F1936">
        <v>-1</v>
      </c>
      <c r="G1936">
        <v>0</v>
      </c>
      <c r="H1936">
        <v>0</v>
      </c>
    </row>
    <row r="1937" spans="1:8" x14ac:dyDescent="0.25">
      <c r="A1937">
        <v>14745093</v>
      </c>
      <c r="B1937">
        <v>2</v>
      </c>
      <c r="C1937">
        <v>0</v>
      </c>
      <c r="D1937">
        <v>3</v>
      </c>
      <c r="E1937">
        <v>3</v>
      </c>
      <c r="F1937">
        <v>4</v>
      </c>
      <c r="G1937">
        <v>5</v>
      </c>
      <c r="H1937">
        <v>496.66669999999999</v>
      </c>
    </row>
    <row r="1938" spans="1:8" x14ac:dyDescent="0.25">
      <c r="A1938">
        <v>14745497</v>
      </c>
      <c r="B1938">
        <v>0</v>
      </c>
      <c r="C1938">
        <v>0</v>
      </c>
      <c r="D1938">
        <v>0</v>
      </c>
      <c r="E1938">
        <v>2</v>
      </c>
      <c r="F1938">
        <v>2</v>
      </c>
      <c r="G1938">
        <v>3</v>
      </c>
      <c r="H1938">
        <v>0</v>
      </c>
    </row>
    <row r="1939" spans="1:8" x14ac:dyDescent="0.25">
      <c r="A1939">
        <v>14745498</v>
      </c>
      <c r="B1939">
        <v>6</v>
      </c>
      <c r="C1939">
        <v>0</v>
      </c>
      <c r="D1939">
        <v>0</v>
      </c>
      <c r="E1939">
        <v>0</v>
      </c>
      <c r="F1939">
        <v>0</v>
      </c>
      <c r="G1939">
        <v>2</v>
      </c>
      <c r="H1939">
        <v>0</v>
      </c>
    </row>
    <row r="1940" spans="1:8" x14ac:dyDescent="0.25">
      <c r="A1940">
        <v>14745500</v>
      </c>
      <c r="B1940">
        <v>8</v>
      </c>
      <c r="C1940">
        <v>0</v>
      </c>
      <c r="D1940">
        <v>0</v>
      </c>
      <c r="E1940">
        <v>1</v>
      </c>
      <c r="F1940">
        <v>1</v>
      </c>
      <c r="G1940">
        <v>2</v>
      </c>
      <c r="H1940">
        <v>0</v>
      </c>
    </row>
    <row r="1941" spans="1:8" x14ac:dyDescent="0.25">
      <c r="A1941">
        <v>14745501</v>
      </c>
      <c r="B1941">
        <v>6</v>
      </c>
      <c r="C1941">
        <v>0</v>
      </c>
      <c r="D1941">
        <v>0</v>
      </c>
      <c r="E1941">
        <v>-1</v>
      </c>
      <c r="F1941">
        <v>3</v>
      </c>
      <c r="G1941">
        <v>7</v>
      </c>
      <c r="H1941">
        <v>0</v>
      </c>
    </row>
    <row r="1942" spans="1:8" x14ac:dyDescent="0.25">
      <c r="A1942">
        <v>14745503</v>
      </c>
      <c r="B1942">
        <v>5</v>
      </c>
      <c r="C1942">
        <v>0</v>
      </c>
      <c r="D1942">
        <v>0</v>
      </c>
      <c r="E1942">
        <v>0</v>
      </c>
      <c r="F1942">
        <v>0</v>
      </c>
      <c r="G1942">
        <v>2</v>
      </c>
      <c r="H1942">
        <v>0</v>
      </c>
    </row>
    <row r="1943" spans="1:8" x14ac:dyDescent="0.25">
      <c r="A1943">
        <v>14745505</v>
      </c>
      <c r="B1943">
        <v>837</v>
      </c>
      <c r="C1943">
        <v>0</v>
      </c>
      <c r="D1943">
        <v>49</v>
      </c>
      <c r="E1943">
        <v>194</v>
      </c>
      <c r="F1943">
        <v>748</v>
      </c>
      <c r="G1943">
        <v>1600</v>
      </c>
      <c r="H1943">
        <v>69.260000000000005</v>
      </c>
    </row>
    <row r="1944" spans="1:8" x14ac:dyDescent="0.25">
      <c r="A1944">
        <v>14745529</v>
      </c>
      <c r="B1944">
        <v>12</v>
      </c>
      <c r="C1944">
        <v>36</v>
      </c>
      <c r="D1944">
        <v>4</v>
      </c>
      <c r="E1944">
        <v>12</v>
      </c>
      <c r="F1944">
        <v>30</v>
      </c>
      <c r="G1944">
        <v>66</v>
      </c>
      <c r="H1944">
        <v>149.99</v>
      </c>
    </row>
    <row r="1945" spans="1:8" x14ac:dyDescent="0.25">
      <c r="A1945">
        <v>14745530</v>
      </c>
      <c r="B1945">
        <v>40</v>
      </c>
      <c r="C1945">
        <v>0</v>
      </c>
      <c r="D1945">
        <v>7</v>
      </c>
      <c r="E1945">
        <v>16</v>
      </c>
      <c r="F1945">
        <v>40</v>
      </c>
      <c r="G1945">
        <v>97</v>
      </c>
      <c r="H1945">
        <v>79.178600000000003</v>
      </c>
    </row>
    <row r="1946" spans="1:8" x14ac:dyDescent="0.25">
      <c r="A1946">
        <v>14745935</v>
      </c>
      <c r="B1946">
        <v>17</v>
      </c>
      <c r="C1946">
        <v>0</v>
      </c>
      <c r="D1946">
        <v>3</v>
      </c>
      <c r="E1946">
        <v>4</v>
      </c>
      <c r="F1946">
        <v>24</v>
      </c>
      <c r="G1946">
        <v>65</v>
      </c>
      <c r="H1946">
        <v>232.99</v>
      </c>
    </row>
    <row r="1947" spans="1:8" x14ac:dyDescent="0.25">
      <c r="A1947">
        <v>14745936</v>
      </c>
      <c r="B1947">
        <v>50</v>
      </c>
      <c r="C1947">
        <v>0</v>
      </c>
      <c r="D1947">
        <v>2</v>
      </c>
      <c r="E1947">
        <v>9</v>
      </c>
      <c r="F1947">
        <v>31</v>
      </c>
      <c r="G1947">
        <v>68</v>
      </c>
      <c r="H1947">
        <v>197.49</v>
      </c>
    </row>
    <row r="1948" spans="1:8" x14ac:dyDescent="0.25">
      <c r="A1948">
        <v>14745937</v>
      </c>
      <c r="B1948">
        <v>-1</v>
      </c>
      <c r="C1948">
        <v>0</v>
      </c>
      <c r="D1948">
        <v>0</v>
      </c>
      <c r="E1948">
        <v>2</v>
      </c>
      <c r="F1948">
        <v>6</v>
      </c>
      <c r="G1948">
        <v>38</v>
      </c>
      <c r="H1948">
        <v>0</v>
      </c>
    </row>
    <row r="1949" spans="1:8" x14ac:dyDescent="0.25">
      <c r="A1949">
        <v>14745938</v>
      </c>
      <c r="B1949">
        <v>6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</row>
    <row r="1950" spans="1:8" x14ac:dyDescent="0.25">
      <c r="A1950">
        <v>14746905</v>
      </c>
      <c r="B1950">
        <v>-4</v>
      </c>
      <c r="C1950">
        <v>0</v>
      </c>
      <c r="D1950">
        <v>0</v>
      </c>
      <c r="E1950">
        <v>0</v>
      </c>
      <c r="F1950">
        <v>2</v>
      </c>
      <c r="G1950">
        <v>23</v>
      </c>
      <c r="H1950">
        <v>0</v>
      </c>
    </row>
    <row r="1951" spans="1:8" x14ac:dyDescent="0.25">
      <c r="A1951">
        <v>14746906</v>
      </c>
      <c r="B1951">
        <v>0</v>
      </c>
      <c r="C1951">
        <v>0</v>
      </c>
      <c r="D1951">
        <v>0</v>
      </c>
      <c r="E1951">
        <v>0</v>
      </c>
      <c r="F1951">
        <v>14</v>
      </c>
      <c r="G1951">
        <v>177</v>
      </c>
      <c r="H1951">
        <v>0</v>
      </c>
    </row>
    <row r="1952" spans="1:8" x14ac:dyDescent="0.25">
      <c r="A1952">
        <v>14746908</v>
      </c>
      <c r="B1952">
        <v>7</v>
      </c>
      <c r="C1952">
        <v>0</v>
      </c>
      <c r="D1952">
        <v>0</v>
      </c>
      <c r="E1952">
        <v>0</v>
      </c>
      <c r="F1952">
        <v>0</v>
      </c>
      <c r="G1952">
        <v>4</v>
      </c>
      <c r="H1952">
        <v>0</v>
      </c>
    </row>
    <row r="1953" spans="1:8" x14ac:dyDescent="0.25">
      <c r="A1953">
        <v>14746909</v>
      </c>
      <c r="B1953">
        <v>12</v>
      </c>
      <c r="C1953">
        <v>0</v>
      </c>
      <c r="D1953">
        <v>0</v>
      </c>
      <c r="E1953">
        <v>0</v>
      </c>
      <c r="F1953">
        <v>0</v>
      </c>
      <c r="G1953">
        <v>10</v>
      </c>
      <c r="H1953">
        <v>0</v>
      </c>
    </row>
    <row r="1954" spans="1:8" x14ac:dyDescent="0.25">
      <c r="A1954">
        <v>14748707</v>
      </c>
      <c r="B1954">
        <v>-1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</row>
    <row r="1955" spans="1:8" x14ac:dyDescent="0.25">
      <c r="A1955">
        <v>14748711</v>
      </c>
      <c r="B1955">
        <v>1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</row>
    <row r="1956" spans="1:8" x14ac:dyDescent="0.25">
      <c r="A1956">
        <v>14753929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</row>
    <row r="1957" spans="1:8" x14ac:dyDescent="0.25">
      <c r="A1957">
        <v>14753930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</row>
    <row r="1958" spans="1:8" x14ac:dyDescent="0.25">
      <c r="A1958">
        <v>14754838</v>
      </c>
      <c r="B1958">
        <v>4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</row>
    <row r="1959" spans="1:8" x14ac:dyDescent="0.25">
      <c r="A1959">
        <v>14756037</v>
      </c>
      <c r="B1959">
        <v>42</v>
      </c>
      <c r="C1959">
        <v>0</v>
      </c>
      <c r="D1959">
        <v>10</v>
      </c>
      <c r="E1959">
        <v>19</v>
      </c>
      <c r="F1959">
        <v>30</v>
      </c>
      <c r="G1959">
        <v>55</v>
      </c>
      <c r="H1959">
        <v>9.8859999999999992</v>
      </c>
    </row>
    <row r="1960" spans="1:8" x14ac:dyDescent="0.25">
      <c r="A1960">
        <v>14757264</v>
      </c>
      <c r="B1960">
        <v>113</v>
      </c>
      <c r="C1960">
        <v>0</v>
      </c>
      <c r="D1960">
        <v>15</v>
      </c>
      <c r="E1960">
        <v>57</v>
      </c>
      <c r="F1960">
        <v>303</v>
      </c>
      <c r="G1960">
        <v>769</v>
      </c>
      <c r="H1960">
        <v>88.492000000000004</v>
      </c>
    </row>
    <row r="1961" spans="1:8" x14ac:dyDescent="0.25">
      <c r="A1961">
        <v>14757265</v>
      </c>
      <c r="B1961">
        <v>18</v>
      </c>
      <c r="C1961">
        <v>0</v>
      </c>
      <c r="D1961">
        <v>0</v>
      </c>
      <c r="E1961">
        <v>0</v>
      </c>
      <c r="F1961">
        <v>3</v>
      </c>
      <c r="G1961">
        <v>5</v>
      </c>
      <c r="H1961">
        <v>0</v>
      </c>
    </row>
    <row r="1962" spans="1:8" x14ac:dyDescent="0.25">
      <c r="A1962">
        <v>14757266</v>
      </c>
      <c r="B1962">
        <v>6</v>
      </c>
      <c r="C1962">
        <v>0</v>
      </c>
      <c r="D1962">
        <v>0</v>
      </c>
      <c r="E1962">
        <v>0</v>
      </c>
      <c r="F1962">
        <v>3</v>
      </c>
      <c r="G1962">
        <v>21</v>
      </c>
      <c r="H1962">
        <v>0</v>
      </c>
    </row>
    <row r="1963" spans="1:8" x14ac:dyDescent="0.25">
      <c r="A1963">
        <v>14757267</v>
      </c>
      <c r="B1963">
        <v>0</v>
      </c>
      <c r="C1963">
        <v>0</v>
      </c>
      <c r="D1963">
        <v>0</v>
      </c>
      <c r="E1963">
        <v>1</v>
      </c>
      <c r="F1963">
        <v>5</v>
      </c>
      <c r="G1963">
        <v>9</v>
      </c>
      <c r="H1963">
        <v>0</v>
      </c>
    </row>
    <row r="1964" spans="1:8" x14ac:dyDescent="0.25">
      <c r="A1964">
        <v>14758411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</row>
    <row r="1965" spans="1:8" x14ac:dyDescent="0.25">
      <c r="A1965">
        <v>14758414</v>
      </c>
      <c r="B1965">
        <v>9</v>
      </c>
      <c r="C1965">
        <v>0</v>
      </c>
      <c r="D1965">
        <v>0</v>
      </c>
      <c r="E1965">
        <v>0</v>
      </c>
      <c r="F1965">
        <v>6</v>
      </c>
      <c r="G1965">
        <v>8</v>
      </c>
      <c r="H1965">
        <v>0</v>
      </c>
    </row>
    <row r="1966" spans="1:8" x14ac:dyDescent="0.25">
      <c r="A1966">
        <v>14758415</v>
      </c>
      <c r="B1966">
        <v>7</v>
      </c>
      <c r="C1966">
        <v>0</v>
      </c>
      <c r="D1966">
        <v>5</v>
      </c>
      <c r="E1966">
        <v>5</v>
      </c>
      <c r="F1966">
        <v>6</v>
      </c>
      <c r="G1966">
        <v>8</v>
      </c>
      <c r="H1966">
        <v>474</v>
      </c>
    </row>
    <row r="1967" spans="1:8" x14ac:dyDescent="0.25">
      <c r="A1967">
        <v>14758416</v>
      </c>
      <c r="B1967">
        <v>1</v>
      </c>
      <c r="C1967">
        <v>0</v>
      </c>
      <c r="D1967">
        <v>3</v>
      </c>
      <c r="E1967">
        <v>4</v>
      </c>
      <c r="F1967">
        <v>5</v>
      </c>
      <c r="G1967">
        <v>9</v>
      </c>
      <c r="H1967">
        <v>290</v>
      </c>
    </row>
    <row r="1968" spans="1:8" x14ac:dyDescent="0.25">
      <c r="A1968">
        <v>14758418</v>
      </c>
      <c r="B1968">
        <v>3</v>
      </c>
      <c r="C1968">
        <v>0</v>
      </c>
      <c r="D1968">
        <v>1</v>
      </c>
      <c r="E1968">
        <v>1</v>
      </c>
      <c r="F1968">
        <v>1</v>
      </c>
      <c r="G1968">
        <v>9</v>
      </c>
      <c r="H1968">
        <v>400</v>
      </c>
    </row>
    <row r="1969" spans="1:8" x14ac:dyDescent="0.25">
      <c r="A1969">
        <v>14758419</v>
      </c>
      <c r="B1969">
        <v>10</v>
      </c>
      <c r="C1969">
        <v>0</v>
      </c>
      <c r="D1969">
        <v>0</v>
      </c>
      <c r="E1969">
        <v>1</v>
      </c>
      <c r="F1969">
        <v>3</v>
      </c>
      <c r="G1969">
        <v>12</v>
      </c>
      <c r="H1969">
        <v>0</v>
      </c>
    </row>
    <row r="1970" spans="1:8" x14ac:dyDescent="0.25">
      <c r="A1970">
        <v>14758426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</row>
    <row r="1971" spans="1:8" x14ac:dyDescent="0.25">
      <c r="A1971">
        <v>14759671</v>
      </c>
      <c r="B1971">
        <v>-4</v>
      </c>
      <c r="C1971">
        <v>0</v>
      </c>
      <c r="D1971">
        <v>0</v>
      </c>
      <c r="E1971">
        <v>0</v>
      </c>
      <c r="F1971">
        <v>0</v>
      </c>
      <c r="G1971">
        <v>10</v>
      </c>
      <c r="H1971">
        <v>0</v>
      </c>
    </row>
    <row r="1972" spans="1:8" x14ac:dyDescent="0.25">
      <c r="A1972">
        <v>14759673</v>
      </c>
      <c r="B1972">
        <v>0</v>
      </c>
      <c r="C1972">
        <v>0</v>
      </c>
      <c r="D1972">
        <v>2</v>
      </c>
      <c r="E1972">
        <v>4</v>
      </c>
      <c r="F1972">
        <v>14</v>
      </c>
      <c r="G1972">
        <v>26</v>
      </c>
      <c r="H1972">
        <v>9.9700000000000006</v>
      </c>
    </row>
    <row r="1973" spans="1:8" x14ac:dyDescent="0.25">
      <c r="A1973">
        <v>14759674</v>
      </c>
      <c r="B1973">
        <v>4</v>
      </c>
      <c r="C1973">
        <v>0</v>
      </c>
      <c r="D1973">
        <v>0</v>
      </c>
      <c r="E1973">
        <v>3</v>
      </c>
      <c r="F1973">
        <v>5</v>
      </c>
      <c r="G1973">
        <v>22</v>
      </c>
      <c r="H1973">
        <v>0</v>
      </c>
    </row>
    <row r="1974" spans="1:8" x14ac:dyDescent="0.25">
      <c r="A1974">
        <v>14759676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10</v>
      </c>
      <c r="H1974">
        <v>0</v>
      </c>
    </row>
    <row r="1975" spans="1:8" x14ac:dyDescent="0.25">
      <c r="A1975">
        <v>14759678</v>
      </c>
      <c r="B1975">
        <v>-5</v>
      </c>
      <c r="C1975">
        <v>0</v>
      </c>
      <c r="D1975">
        <v>0</v>
      </c>
      <c r="E1975">
        <v>2</v>
      </c>
      <c r="F1975">
        <v>10</v>
      </c>
      <c r="G1975">
        <v>109</v>
      </c>
      <c r="H1975">
        <v>0</v>
      </c>
    </row>
    <row r="1976" spans="1:8" x14ac:dyDescent="0.25">
      <c r="A1976">
        <v>14759679</v>
      </c>
      <c r="B1976">
        <v>78</v>
      </c>
      <c r="C1976">
        <v>0</v>
      </c>
      <c r="D1976">
        <v>4</v>
      </c>
      <c r="E1976">
        <v>10</v>
      </c>
      <c r="F1976">
        <v>73</v>
      </c>
      <c r="G1976">
        <v>386</v>
      </c>
      <c r="H1976">
        <v>8.7200000000000006</v>
      </c>
    </row>
    <row r="1977" spans="1:8" x14ac:dyDescent="0.25">
      <c r="A1977">
        <v>14759682</v>
      </c>
      <c r="B1977">
        <v>0</v>
      </c>
      <c r="C1977">
        <v>0</v>
      </c>
      <c r="D1977">
        <v>0</v>
      </c>
      <c r="E1977">
        <v>2</v>
      </c>
      <c r="F1977">
        <v>11</v>
      </c>
      <c r="G1977">
        <v>41</v>
      </c>
      <c r="H1977">
        <v>0</v>
      </c>
    </row>
    <row r="1978" spans="1:8" x14ac:dyDescent="0.25">
      <c r="A1978">
        <v>14759683</v>
      </c>
      <c r="B1978">
        <v>2</v>
      </c>
      <c r="C1978">
        <v>0</v>
      </c>
      <c r="D1978">
        <v>0</v>
      </c>
      <c r="E1978">
        <v>2</v>
      </c>
      <c r="F1978">
        <v>11</v>
      </c>
      <c r="G1978">
        <v>27</v>
      </c>
      <c r="H1978">
        <v>0</v>
      </c>
    </row>
    <row r="1979" spans="1:8" x14ac:dyDescent="0.25">
      <c r="A1979">
        <v>14759684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6</v>
      </c>
      <c r="H1979">
        <v>0</v>
      </c>
    </row>
    <row r="1980" spans="1:8" x14ac:dyDescent="0.25">
      <c r="A1980">
        <v>14759686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</row>
    <row r="1981" spans="1:8" x14ac:dyDescent="0.25">
      <c r="A1981">
        <v>14760269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15</v>
      </c>
      <c r="H1981">
        <v>0</v>
      </c>
    </row>
    <row r="1982" spans="1:8" x14ac:dyDescent="0.25">
      <c r="A1982">
        <v>14761134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</row>
    <row r="1983" spans="1:8" x14ac:dyDescent="0.25">
      <c r="A1983">
        <v>14762188</v>
      </c>
      <c r="B1983">
        <v>1</v>
      </c>
      <c r="C1983">
        <v>0</v>
      </c>
      <c r="D1983">
        <v>0</v>
      </c>
      <c r="E1983">
        <v>3</v>
      </c>
      <c r="F1983">
        <v>6</v>
      </c>
      <c r="G1983">
        <v>15</v>
      </c>
      <c r="H1983">
        <v>0</v>
      </c>
    </row>
    <row r="1984" spans="1:8" x14ac:dyDescent="0.25">
      <c r="A1984">
        <v>14762189</v>
      </c>
      <c r="B1984">
        <v>0</v>
      </c>
      <c r="C1984">
        <v>0</v>
      </c>
      <c r="D1984">
        <v>0</v>
      </c>
      <c r="E1984">
        <v>0</v>
      </c>
      <c r="F1984">
        <v>3</v>
      </c>
      <c r="G1984">
        <v>3</v>
      </c>
      <c r="H1984">
        <v>0</v>
      </c>
    </row>
    <row r="1985" spans="1:8" x14ac:dyDescent="0.25">
      <c r="A1985">
        <v>14762191</v>
      </c>
      <c r="B1985">
        <v>22</v>
      </c>
      <c r="C1985">
        <v>0</v>
      </c>
      <c r="D1985">
        <v>2</v>
      </c>
      <c r="E1985">
        <v>2</v>
      </c>
      <c r="F1985">
        <v>13</v>
      </c>
      <c r="G1985">
        <v>34</v>
      </c>
      <c r="H1985">
        <v>2.97</v>
      </c>
    </row>
    <row r="1986" spans="1:8" x14ac:dyDescent="0.25">
      <c r="A1986">
        <v>14762192</v>
      </c>
      <c r="B1986">
        <v>6</v>
      </c>
      <c r="C1986">
        <v>0</v>
      </c>
      <c r="D1986">
        <v>0</v>
      </c>
      <c r="E1986">
        <v>0</v>
      </c>
      <c r="F1986">
        <v>6</v>
      </c>
      <c r="G1986">
        <v>19</v>
      </c>
      <c r="H1986">
        <v>0</v>
      </c>
    </row>
    <row r="1987" spans="1:8" x14ac:dyDescent="0.25">
      <c r="A1987">
        <v>14762193</v>
      </c>
      <c r="B1987">
        <v>7</v>
      </c>
      <c r="C1987">
        <v>0</v>
      </c>
      <c r="D1987">
        <v>0</v>
      </c>
      <c r="E1987">
        <v>0</v>
      </c>
      <c r="F1987">
        <v>8</v>
      </c>
      <c r="G1987">
        <v>20</v>
      </c>
      <c r="H1987">
        <v>0</v>
      </c>
    </row>
    <row r="1988" spans="1:8" x14ac:dyDescent="0.25">
      <c r="A1988">
        <v>14762194</v>
      </c>
      <c r="B1988">
        <v>40</v>
      </c>
      <c r="C1988">
        <v>0</v>
      </c>
      <c r="D1988">
        <v>0</v>
      </c>
      <c r="E1988">
        <v>0</v>
      </c>
      <c r="F1988">
        <v>3</v>
      </c>
      <c r="G1988">
        <v>5</v>
      </c>
      <c r="H1988">
        <v>0</v>
      </c>
    </row>
    <row r="1989" spans="1:8" x14ac:dyDescent="0.25">
      <c r="A1989">
        <v>14762195</v>
      </c>
      <c r="B1989">
        <v>16</v>
      </c>
      <c r="C1989">
        <v>0</v>
      </c>
      <c r="D1989">
        <v>0</v>
      </c>
      <c r="E1989">
        <v>0</v>
      </c>
      <c r="F1989">
        <v>12</v>
      </c>
      <c r="G1989">
        <v>28</v>
      </c>
      <c r="H1989">
        <v>0</v>
      </c>
    </row>
    <row r="1990" spans="1:8" x14ac:dyDescent="0.25">
      <c r="A1990">
        <v>14763148</v>
      </c>
      <c r="B1990">
        <v>0</v>
      </c>
      <c r="C1990">
        <v>0</v>
      </c>
      <c r="D1990">
        <v>0</v>
      </c>
      <c r="E1990">
        <v>0</v>
      </c>
      <c r="F1990">
        <v>1</v>
      </c>
      <c r="G1990">
        <v>1</v>
      </c>
      <c r="H1990">
        <v>0</v>
      </c>
    </row>
    <row r="1991" spans="1:8" x14ac:dyDescent="0.25">
      <c r="A1991">
        <v>14764535</v>
      </c>
      <c r="B1991">
        <v>8</v>
      </c>
      <c r="C1991">
        <v>0</v>
      </c>
      <c r="D1991">
        <v>0</v>
      </c>
      <c r="E1991">
        <v>0</v>
      </c>
      <c r="F1991">
        <v>0</v>
      </c>
      <c r="G1991">
        <v>15</v>
      </c>
      <c r="H1991">
        <v>0</v>
      </c>
    </row>
    <row r="1992" spans="1:8" x14ac:dyDescent="0.25">
      <c r="A1992">
        <v>14764536</v>
      </c>
      <c r="B1992">
        <v>96</v>
      </c>
      <c r="C1992">
        <v>0</v>
      </c>
      <c r="D1992">
        <v>2</v>
      </c>
      <c r="E1992">
        <v>7</v>
      </c>
      <c r="F1992">
        <v>19</v>
      </c>
      <c r="G1992">
        <v>66</v>
      </c>
      <c r="H1992">
        <v>19.97</v>
      </c>
    </row>
    <row r="1993" spans="1:8" x14ac:dyDescent="0.25">
      <c r="A1993">
        <v>14764719</v>
      </c>
      <c r="B1993">
        <v>22</v>
      </c>
      <c r="C1993">
        <v>0</v>
      </c>
      <c r="D1993">
        <v>0</v>
      </c>
      <c r="E1993">
        <v>0</v>
      </c>
      <c r="F1993">
        <v>5</v>
      </c>
      <c r="G1993">
        <v>16</v>
      </c>
      <c r="H1993">
        <v>0</v>
      </c>
    </row>
    <row r="1994" spans="1:8" x14ac:dyDescent="0.25">
      <c r="A1994">
        <v>14764720</v>
      </c>
      <c r="B1994">
        <v>284</v>
      </c>
      <c r="C1994">
        <v>25</v>
      </c>
      <c r="D1994">
        <v>15</v>
      </c>
      <c r="E1994">
        <v>68</v>
      </c>
      <c r="F1994">
        <v>201</v>
      </c>
      <c r="G1994">
        <v>694</v>
      </c>
      <c r="H1994">
        <v>43.99</v>
      </c>
    </row>
    <row r="1995" spans="1:8" x14ac:dyDescent="0.25">
      <c r="A1995">
        <v>14764721</v>
      </c>
      <c r="B1995">
        <v>5</v>
      </c>
      <c r="C1995">
        <v>0</v>
      </c>
      <c r="D1995">
        <v>0</v>
      </c>
      <c r="E1995">
        <v>0</v>
      </c>
      <c r="F1995">
        <v>1</v>
      </c>
      <c r="G1995">
        <v>11</v>
      </c>
      <c r="H1995">
        <v>0</v>
      </c>
    </row>
    <row r="1996" spans="1:8" x14ac:dyDescent="0.25">
      <c r="A1996">
        <v>14764722</v>
      </c>
      <c r="B1996">
        <v>38</v>
      </c>
      <c r="C1996">
        <v>0</v>
      </c>
      <c r="D1996">
        <v>0</v>
      </c>
      <c r="E1996">
        <v>0</v>
      </c>
      <c r="F1996">
        <v>1</v>
      </c>
      <c r="G1996">
        <v>6</v>
      </c>
      <c r="H1996">
        <v>0</v>
      </c>
    </row>
    <row r="1997" spans="1:8" x14ac:dyDescent="0.25">
      <c r="A1997">
        <v>14764723</v>
      </c>
      <c r="B1997">
        <v>2</v>
      </c>
      <c r="C1997">
        <v>0</v>
      </c>
      <c r="D1997">
        <v>0</v>
      </c>
      <c r="E1997">
        <v>1</v>
      </c>
      <c r="F1997">
        <v>1</v>
      </c>
      <c r="G1997">
        <v>4</v>
      </c>
      <c r="H1997">
        <v>0</v>
      </c>
    </row>
    <row r="1998" spans="1:8" x14ac:dyDescent="0.25">
      <c r="A1998">
        <v>14765032</v>
      </c>
      <c r="B1998">
        <v>20</v>
      </c>
      <c r="C1998">
        <v>0</v>
      </c>
      <c r="D1998">
        <v>1</v>
      </c>
      <c r="E1998">
        <v>3</v>
      </c>
      <c r="F1998">
        <v>9</v>
      </c>
      <c r="G1998">
        <v>55</v>
      </c>
      <c r="H1998">
        <v>297.99</v>
      </c>
    </row>
    <row r="1999" spans="1:8" x14ac:dyDescent="0.25">
      <c r="A1999">
        <v>14765818</v>
      </c>
      <c r="B1999">
        <v>96</v>
      </c>
      <c r="C1999">
        <v>39</v>
      </c>
      <c r="D1999">
        <v>13</v>
      </c>
      <c r="E1999">
        <v>69</v>
      </c>
      <c r="F1999">
        <v>207</v>
      </c>
      <c r="G1999">
        <v>386</v>
      </c>
      <c r="H1999">
        <v>34.755400000000002</v>
      </c>
    </row>
    <row r="2000" spans="1:8" x14ac:dyDescent="0.25">
      <c r="A2000">
        <v>14765819</v>
      </c>
      <c r="B2000">
        <v>64</v>
      </c>
      <c r="C2000">
        <v>0</v>
      </c>
      <c r="D2000">
        <v>0</v>
      </c>
      <c r="E2000">
        <v>3</v>
      </c>
      <c r="F2000">
        <v>12</v>
      </c>
      <c r="G2000">
        <v>34</v>
      </c>
      <c r="H2000">
        <v>0</v>
      </c>
    </row>
    <row r="2001" spans="1:8" x14ac:dyDescent="0.25">
      <c r="A2001">
        <v>14765820</v>
      </c>
      <c r="B2001">
        <v>0</v>
      </c>
      <c r="C2001">
        <v>0</v>
      </c>
      <c r="D2001">
        <v>0</v>
      </c>
      <c r="E2001">
        <v>0</v>
      </c>
      <c r="F2001">
        <v>1</v>
      </c>
      <c r="G2001">
        <v>3</v>
      </c>
      <c r="H2001">
        <v>0</v>
      </c>
    </row>
    <row r="2002" spans="1:8" x14ac:dyDescent="0.25">
      <c r="A2002">
        <v>14765821</v>
      </c>
      <c r="B2002">
        <v>63</v>
      </c>
      <c r="C2002">
        <v>7</v>
      </c>
      <c r="D2002">
        <v>2</v>
      </c>
      <c r="E2002">
        <v>11</v>
      </c>
      <c r="F2002">
        <v>57</v>
      </c>
      <c r="G2002">
        <v>164</v>
      </c>
      <c r="H2002">
        <v>72.23</v>
      </c>
    </row>
    <row r="2003" spans="1:8" x14ac:dyDescent="0.25">
      <c r="A2003">
        <v>14765822</v>
      </c>
      <c r="B2003">
        <v>7</v>
      </c>
      <c r="C2003">
        <v>0</v>
      </c>
      <c r="D2003">
        <v>0</v>
      </c>
      <c r="E2003">
        <v>0</v>
      </c>
      <c r="F2003">
        <v>2</v>
      </c>
      <c r="G2003">
        <v>12</v>
      </c>
      <c r="H2003">
        <v>0</v>
      </c>
    </row>
    <row r="2004" spans="1:8" x14ac:dyDescent="0.25">
      <c r="A2004">
        <v>14765824</v>
      </c>
      <c r="B2004">
        <v>8</v>
      </c>
      <c r="C2004">
        <v>0</v>
      </c>
      <c r="D2004">
        <v>0</v>
      </c>
      <c r="E2004">
        <v>0</v>
      </c>
      <c r="F2004">
        <v>0</v>
      </c>
      <c r="G2004">
        <v>2</v>
      </c>
      <c r="H2004">
        <v>0</v>
      </c>
    </row>
    <row r="2005" spans="1:8" x14ac:dyDescent="0.25">
      <c r="A2005">
        <v>14765825</v>
      </c>
      <c r="B2005">
        <v>0</v>
      </c>
      <c r="C2005">
        <v>0</v>
      </c>
      <c r="D2005">
        <v>0</v>
      </c>
      <c r="E2005">
        <v>0</v>
      </c>
      <c r="F2005">
        <v>1</v>
      </c>
      <c r="G2005">
        <v>5</v>
      </c>
      <c r="H2005">
        <v>0</v>
      </c>
    </row>
    <row r="2006" spans="1:8" x14ac:dyDescent="0.25">
      <c r="A2006">
        <v>14766113</v>
      </c>
      <c r="B2006">
        <v>306</v>
      </c>
      <c r="C2006">
        <v>30</v>
      </c>
      <c r="D2006">
        <v>17</v>
      </c>
      <c r="E2006">
        <v>89</v>
      </c>
      <c r="F2006">
        <v>298</v>
      </c>
      <c r="G2006">
        <v>669</v>
      </c>
      <c r="H2006">
        <v>138.48759999999999</v>
      </c>
    </row>
    <row r="2007" spans="1:8" x14ac:dyDescent="0.25">
      <c r="A2007">
        <v>14766114</v>
      </c>
      <c r="B2007">
        <v>141</v>
      </c>
      <c r="C2007">
        <v>14</v>
      </c>
      <c r="D2007">
        <v>11</v>
      </c>
      <c r="E2007">
        <v>40</v>
      </c>
      <c r="F2007">
        <v>127</v>
      </c>
      <c r="G2007">
        <v>248</v>
      </c>
      <c r="H2007">
        <v>149.07</v>
      </c>
    </row>
    <row r="2008" spans="1:8" x14ac:dyDescent="0.25">
      <c r="A2008">
        <v>14766115</v>
      </c>
      <c r="B2008">
        <v>173</v>
      </c>
      <c r="C2008">
        <v>23</v>
      </c>
      <c r="D2008">
        <v>16</v>
      </c>
      <c r="E2008">
        <v>35</v>
      </c>
      <c r="F2008">
        <v>126</v>
      </c>
      <c r="G2008">
        <v>268</v>
      </c>
      <c r="H2008">
        <v>140.49189999999999</v>
      </c>
    </row>
    <row r="2009" spans="1:8" x14ac:dyDescent="0.25">
      <c r="A2009">
        <v>14766497</v>
      </c>
      <c r="B2009">
        <v>397</v>
      </c>
      <c r="C2009">
        <v>48</v>
      </c>
      <c r="D2009">
        <v>34</v>
      </c>
      <c r="E2009">
        <v>110</v>
      </c>
      <c r="F2009">
        <v>324</v>
      </c>
      <c r="G2009">
        <v>822</v>
      </c>
      <c r="H2009">
        <v>139.8526</v>
      </c>
    </row>
    <row r="2010" spans="1:8" x14ac:dyDescent="0.25">
      <c r="A2010">
        <v>14766498</v>
      </c>
      <c r="B2010">
        <v>628</v>
      </c>
      <c r="C2010">
        <v>224</v>
      </c>
      <c r="D2010">
        <v>93</v>
      </c>
      <c r="E2010">
        <v>376</v>
      </c>
      <c r="F2010">
        <v>1178</v>
      </c>
      <c r="G2010">
        <v>2479</v>
      </c>
      <c r="H2010">
        <v>24.023299999999999</v>
      </c>
    </row>
    <row r="2011" spans="1:8" x14ac:dyDescent="0.25">
      <c r="A2011">
        <v>14766499</v>
      </c>
      <c r="B2011">
        <v>52</v>
      </c>
      <c r="C2011">
        <v>0</v>
      </c>
      <c r="D2011">
        <v>33</v>
      </c>
      <c r="E2011">
        <v>86</v>
      </c>
      <c r="F2011">
        <v>213</v>
      </c>
      <c r="G2011">
        <v>425</v>
      </c>
      <c r="H2011">
        <v>13.7667</v>
      </c>
    </row>
    <row r="2012" spans="1:8" x14ac:dyDescent="0.25">
      <c r="A2012">
        <v>14766500</v>
      </c>
      <c r="B2012">
        <v>1</v>
      </c>
      <c r="C2012">
        <v>0</v>
      </c>
      <c r="D2012">
        <v>-2</v>
      </c>
      <c r="E2012">
        <v>-1</v>
      </c>
      <c r="F2012">
        <v>4</v>
      </c>
      <c r="G2012">
        <v>5</v>
      </c>
      <c r="H2012">
        <v>44.97</v>
      </c>
    </row>
    <row r="2013" spans="1:8" x14ac:dyDescent="0.25">
      <c r="A2013">
        <v>14766501</v>
      </c>
      <c r="B2013">
        <v>62</v>
      </c>
      <c r="C2013">
        <v>0</v>
      </c>
      <c r="D2013">
        <v>2</v>
      </c>
      <c r="E2013">
        <v>10</v>
      </c>
      <c r="F2013">
        <v>48</v>
      </c>
      <c r="G2013">
        <v>100</v>
      </c>
      <c r="H2013">
        <v>44.97</v>
      </c>
    </row>
    <row r="2014" spans="1:8" x14ac:dyDescent="0.25">
      <c r="A2014">
        <v>14766613</v>
      </c>
      <c r="B2014">
        <v>-2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</row>
    <row r="2015" spans="1:8" x14ac:dyDescent="0.25">
      <c r="A2015">
        <v>14766616</v>
      </c>
      <c r="B2015">
        <v>1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</row>
    <row r="2016" spans="1:8" x14ac:dyDescent="0.25">
      <c r="A2016">
        <v>14766617</v>
      </c>
      <c r="B2016">
        <v>13</v>
      </c>
      <c r="C2016">
        <v>0</v>
      </c>
      <c r="D2016">
        <v>0</v>
      </c>
      <c r="E2016">
        <v>0</v>
      </c>
      <c r="F2016">
        <v>1</v>
      </c>
      <c r="G2016">
        <v>6</v>
      </c>
      <c r="H2016">
        <v>0</v>
      </c>
    </row>
    <row r="2017" spans="1:8" x14ac:dyDescent="0.25">
      <c r="A2017">
        <v>14766618</v>
      </c>
      <c r="B2017">
        <v>-1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</row>
    <row r="2018" spans="1:8" x14ac:dyDescent="0.25">
      <c r="A2018">
        <v>14766630</v>
      </c>
      <c r="B2018">
        <v>27</v>
      </c>
      <c r="C2018">
        <v>0</v>
      </c>
      <c r="D2018">
        <v>0</v>
      </c>
      <c r="E2018">
        <v>0</v>
      </c>
      <c r="F2018">
        <v>3</v>
      </c>
      <c r="G2018">
        <v>5</v>
      </c>
      <c r="H2018">
        <v>0</v>
      </c>
    </row>
    <row r="2019" spans="1:8" x14ac:dyDescent="0.25">
      <c r="A2019">
        <v>14766631</v>
      </c>
      <c r="B2019">
        <v>30</v>
      </c>
      <c r="C2019">
        <v>0</v>
      </c>
      <c r="D2019">
        <v>0</v>
      </c>
      <c r="E2019">
        <v>1</v>
      </c>
      <c r="F2019">
        <v>1</v>
      </c>
      <c r="G2019">
        <v>1</v>
      </c>
      <c r="H2019">
        <v>0</v>
      </c>
    </row>
    <row r="2020" spans="1:8" x14ac:dyDescent="0.25">
      <c r="A2020">
        <v>14766632</v>
      </c>
      <c r="B2020">
        <v>1</v>
      </c>
      <c r="C2020">
        <v>0</v>
      </c>
      <c r="D2020">
        <v>0</v>
      </c>
      <c r="E2020">
        <v>0</v>
      </c>
      <c r="F2020">
        <v>0</v>
      </c>
      <c r="G2020">
        <v>1</v>
      </c>
      <c r="H2020">
        <v>0</v>
      </c>
    </row>
    <row r="2021" spans="1:8" x14ac:dyDescent="0.25">
      <c r="A2021">
        <v>14766633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3</v>
      </c>
      <c r="H2021">
        <v>0</v>
      </c>
    </row>
    <row r="2022" spans="1:8" x14ac:dyDescent="0.25">
      <c r="A2022">
        <v>14766636</v>
      </c>
      <c r="B2022">
        <v>9</v>
      </c>
      <c r="C2022">
        <v>0</v>
      </c>
      <c r="D2022">
        <v>1</v>
      </c>
      <c r="E2022">
        <v>3</v>
      </c>
      <c r="F2022">
        <v>13</v>
      </c>
      <c r="G2022">
        <v>62</v>
      </c>
      <c r="H2022">
        <v>9.9700000000000006</v>
      </c>
    </row>
    <row r="2023" spans="1:8" x14ac:dyDescent="0.25">
      <c r="A2023">
        <v>14766644</v>
      </c>
      <c r="B2023">
        <v>1</v>
      </c>
      <c r="C2023">
        <v>0</v>
      </c>
      <c r="D2023">
        <v>0</v>
      </c>
      <c r="E2023">
        <v>0</v>
      </c>
      <c r="F2023">
        <v>0</v>
      </c>
      <c r="G2023">
        <v>1</v>
      </c>
      <c r="H2023">
        <v>0</v>
      </c>
    </row>
    <row r="2024" spans="1:8" x14ac:dyDescent="0.25">
      <c r="A2024">
        <v>14766646</v>
      </c>
      <c r="B2024">
        <v>10</v>
      </c>
      <c r="C2024">
        <v>0</v>
      </c>
      <c r="D2024">
        <v>0</v>
      </c>
      <c r="E2024">
        <v>0</v>
      </c>
      <c r="F2024">
        <v>2</v>
      </c>
      <c r="G2024">
        <v>7</v>
      </c>
      <c r="H2024">
        <v>0</v>
      </c>
    </row>
    <row r="2025" spans="1:8" x14ac:dyDescent="0.25">
      <c r="A2025">
        <v>14766649</v>
      </c>
      <c r="B2025">
        <v>4</v>
      </c>
      <c r="C2025">
        <v>0</v>
      </c>
      <c r="D2025">
        <v>0</v>
      </c>
      <c r="E2025">
        <v>0</v>
      </c>
      <c r="F2025">
        <v>0</v>
      </c>
      <c r="G2025">
        <v>3</v>
      </c>
      <c r="H2025">
        <v>0</v>
      </c>
    </row>
    <row r="2026" spans="1:8" x14ac:dyDescent="0.25">
      <c r="A2026">
        <v>14766653</v>
      </c>
      <c r="B2026">
        <v>7</v>
      </c>
      <c r="C2026">
        <v>0</v>
      </c>
      <c r="D2026">
        <v>0</v>
      </c>
      <c r="E2026">
        <v>0</v>
      </c>
      <c r="F2026">
        <v>2</v>
      </c>
      <c r="G2026">
        <v>7</v>
      </c>
      <c r="H2026">
        <v>0</v>
      </c>
    </row>
    <row r="2027" spans="1:8" x14ac:dyDescent="0.25">
      <c r="A2027">
        <v>14766654</v>
      </c>
      <c r="B2027">
        <v>14</v>
      </c>
      <c r="C2027">
        <v>0</v>
      </c>
      <c r="D2027">
        <v>1</v>
      </c>
      <c r="E2027">
        <v>1</v>
      </c>
      <c r="F2027">
        <v>5</v>
      </c>
      <c r="G2027">
        <v>11</v>
      </c>
      <c r="H2027">
        <v>24.99</v>
      </c>
    </row>
    <row r="2028" spans="1:8" x14ac:dyDescent="0.25">
      <c r="A2028">
        <v>14766659</v>
      </c>
      <c r="B2028">
        <v>9</v>
      </c>
      <c r="C2028">
        <v>0</v>
      </c>
      <c r="D2028">
        <v>0</v>
      </c>
      <c r="E2028">
        <v>0</v>
      </c>
      <c r="F2028">
        <v>3</v>
      </c>
      <c r="G2028">
        <v>14</v>
      </c>
      <c r="H2028">
        <v>0</v>
      </c>
    </row>
    <row r="2029" spans="1:8" x14ac:dyDescent="0.25">
      <c r="A2029">
        <v>14766661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1</v>
      </c>
      <c r="H2029">
        <v>0</v>
      </c>
    </row>
    <row r="2030" spans="1:8" x14ac:dyDescent="0.25">
      <c r="A2030">
        <v>14766663</v>
      </c>
      <c r="B2030">
        <v>-1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</row>
    <row r="2031" spans="1:8" x14ac:dyDescent="0.25">
      <c r="A2031">
        <v>14767290</v>
      </c>
      <c r="B2031">
        <v>1</v>
      </c>
      <c r="C2031">
        <v>0</v>
      </c>
      <c r="D2031">
        <v>0</v>
      </c>
      <c r="E2031">
        <v>1</v>
      </c>
      <c r="F2031">
        <v>6</v>
      </c>
      <c r="G2031">
        <v>52</v>
      </c>
      <c r="H2031">
        <v>0</v>
      </c>
    </row>
    <row r="2032" spans="1:8" x14ac:dyDescent="0.25">
      <c r="A2032">
        <v>14768681</v>
      </c>
      <c r="B2032">
        <v>56</v>
      </c>
      <c r="C2032">
        <v>0</v>
      </c>
      <c r="D2032">
        <v>0</v>
      </c>
      <c r="E2032">
        <v>1</v>
      </c>
      <c r="F2032">
        <v>4</v>
      </c>
      <c r="G2032">
        <v>6</v>
      </c>
      <c r="H2032">
        <v>0</v>
      </c>
    </row>
    <row r="2033" spans="1:8" x14ac:dyDescent="0.25">
      <c r="A2033">
        <v>14768682</v>
      </c>
      <c r="B2033">
        <v>34</v>
      </c>
      <c r="C2033">
        <v>0</v>
      </c>
      <c r="D2033">
        <v>0</v>
      </c>
      <c r="E2033">
        <v>0</v>
      </c>
      <c r="F2033">
        <v>2</v>
      </c>
      <c r="G2033">
        <v>6</v>
      </c>
      <c r="H2033">
        <v>0</v>
      </c>
    </row>
    <row r="2034" spans="1:8" x14ac:dyDescent="0.25">
      <c r="A2034">
        <v>14768683</v>
      </c>
      <c r="B2034">
        <v>80</v>
      </c>
      <c r="C2034">
        <v>0</v>
      </c>
      <c r="D2034">
        <v>0</v>
      </c>
      <c r="E2034">
        <v>1</v>
      </c>
      <c r="F2034">
        <v>8</v>
      </c>
      <c r="G2034">
        <v>24</v>
      </c>
      <c r="H2034">
        <v>0</v>
      </c>
    </row>
    <row r="2035" spans="1:8" x14ac:dyDescent="0.25">
      <c r="A2035">
        <v>14768847</v>
      </c>
      <c r="B2035">
        <v>23</v>
      </c>
      <c r="C2035">
        <v>0</v>
      </c>
      <c r="D2035">
        <v>0</v>
      </c>
      <c r="E2035">
        <v>1</v>
      </c>
      <c r="F2035">
        <v>7</v>
      </c>
      <c r="G2035">
        <v>26</v>
      </c>
      <c r="H2035">
        <v>0</v>
      </c>
    </row>
    <row r="2036" spans="1:8" x14ac:dyDescent="0.25">
      <c r="A2036">
        <v>14769156</v>
      </c>
      <c r="B2036">
        <v>1</v>
      </c>
      <c r="C2036">
        <v>0</v>
      </c>
      <c r="D2036">
        <v>0</v>
      </c>
      <c r="E2036">
        <v>0</v>
      </c>
      <c r="F2036">
        <v>0</v>
      </c>
      <c r="G2036">
        <v>6</v>
      </c>
      <c r="H2036">
        <v>0</v>
      </c>
    </row>
    <row r="2037" spans="1:8" x14ac:dyDescent="0.25">
      <c r="A2037">
        <v>14769157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2</v>
      </c>
      <c r="H2037">
        <v>0</v>
      </c>
    </row>
    <row r="2038" spans="1:8" x14ac:dyDescent="0.25">
      <c r="A2038">
        <v>14769158</v>
      </c>
      <c r="B2038">
        <v>2</v>
      </c>
      <c r="C2038">
        <v>0</v>
      </c>
      <c r="D2038">
        <v>0</v>
      </c>
      <c r="E2038">
        <v>0</v>
      </c>
      <c r="F2038">
        <v>1</v>
      </c>
      <c r="G2038">
        <v>4</v>
      </c>
      <c r="H2038">
        <v>0</v>
      </c>
    </row>
    <row r="2039" spans="1:8" x14ac:dyDescent="0.25">
      <c r="A2039">
        <v>14769159</v>
      </c>
      <c r="B2039">
        <v>2</v>
      </c>
      <c r="C2039">
        <v>0</v>
      </c>
      <c r="D2039">
        <v>0</v>
      </c>
      <c r="E2039">
        <v>0</v>
      </c>
      <c r="F2039">
        <v>1</v>
      </c>
      <c r="G2039">
        <v>4</v>
      </c>
      <c r="H2039">
        <v>0</v>
      </c>
    </row>
    <row r="2040" spans="1:8" x14ac:dyDescent="0.25">
      <c r="A2040">
        <v>14770255</v>
      </c>
      <c r="B2040">
        <v>72</v>
      </c>
      <c r="C2040">
        <v>0</v>
      </c>
      <c r="D2040">
        <v>9</v>
      </c>
      <c r="E2040">
        <v>31</v>
      </c>
      <c r="F2040">
        <v>137</v>
      </c>
      <c r="G2040">
        <v>446</v>
      </c>
      <c r="H2040">
        <v>174.99</v>
      </c>
    </row>
    <row r="2041" spans="1:8" x14ac:dyDescent="0.25">
      <c r="A2041">
        <v>14770256</v>
      </c>
      <c r="B2041">
        <v>127</v>
      </c>
      <c r="C2041">
        <v>0</v>
      </c>
      <c r="D2041">
        <v>7</v>
      </c>
      <c r="E2041">
        <v>33</v>
      </c>
      <c r="F2041">
        <v>111</v>
      </c>
      <c r="G2041">
        <v>252</v>
      </c>
      <c r="H2041">
        <v>179.68</v>
      </c>
    </row>
    <row r="2042" spans="1:8" x14ac:dyDescent="0.25">
      <c r="A2042">
        <v>14772027</v>
      </c>
      <c r="B2042">
        <v>2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</row>
    <row r="2043" spans="1:8" x14ac:dyDescent="0.25">
      <c r="A2043">
        <v>14772429</v>
      </c>
      <c r="B2043">
        <v>1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</row>
    <row r="2044" spans="1:8" x14ac:dyDescent="0.25">
      <c r="A2044">
        <v>14772620</v>
      </c>
      <c r="B2044">
        <v>152</v>
      </c>
      <c r="C2044">
        <v>45</v>
      </c>
      <c r="D2044">
        <v>16</v>
      </c>
      <c r="E2044">
        <v>64</v>
      </c>
      <c r="F2044">
        <v>282</v>
      </c>
      <c r="G2044">
        <v>710</v>
      </c>
      <c r="H2044">
        <v>97.767499999999998</v>
      </c>
    </row>
    <row r="2045" spans="1:8" x14ac:dyDescent="0.25">
      <c r="A2045">
        <v>14772622</v>
      </c>
      <c r="B2045">
        <v>215</v>
      </c>
      <c r="C2045">
        <v>85</v>
      </c>
      <c r="D2045">
        <v>17</v>
      </c>
      <c r="E2045">
        <v>90</v>
      </c>
      <c r="F2045">
        <v>334</v>
      </c>
      <c r="G2045">
        <v>833</v>
      </c>
      <c r="H2045">
        <v>68.3506</v>
      </c>
    </row>
    <row r="2046" spans="1:8" x14ac:dyDescent="0.25">
      <c r="A2046">
        <v>14772623</v>
      </c>
      <c r="B2046">
        <v>271</v>
      </c>
      <c r="C2046">
        <v>128</v>
      </c>
      <c r="D2046">
        <v>32</v>
      </c>
      <c r="E2046">
        <v>130</v>
      </c>
      <c r="F2046">
        <v>437</v>
      </c>
      <c r="G2046">
        <v>1044</v>
      </c>
      <c r="H2046">
        <v>29.843800000000002</v>
      </c>
    </row>
    <row r="2047" spans="1:8" x14ac:dyDescent="0.25">
      <c r="A2047">
        <v>14772624</v>
      </c>
      <c r="B2047">
        <v>123</v>
      </c>
      <c r="C2047">
        <v>42</v>
      </c>
      <c r="D2047">
        <v>12</v>
      </c>
      <c r="E2047">
        <v>36</v>
      </c>
      <c r="F2047">
        <v>113</v>
      </c>
      <c r="G2047">
        <v>253</v>
      </c>
      <c r="H2047">
        <v>56.684199999999997</v>
      </c>
    </row>
    <row r="2048" spans="1:8" x14ac:dyDescent="0.25">
      <c r="A2048">
        <v>14772625</v>
      </c>
      <c r="B2048">
        <v>143</v>
      </c>
      <c r="C2048">
        <v>44</v>
      </c>
      <c r="D2048">
        <v>18</v>
      </c>
      <c r="E2048">
        <v>46</v>
      </c>
      <c r="F2048">
        <v>165</v>
      </c>
      <c r="G2048">
        <v>341</v>
      </c>
      <c r="H2048">
        <v>94.188299999999998</v>
      </c>
    </row>
    <row r="2049" spans="1:8" x14ac:dyDescent="0.25">
      <c r="A2049">
        <v>14772627</v>
      </c>
      <c r="B2049">
        <v>476</v>
      </c>
      <c r="C2049">
        <v>90</v>
      </c>
      <c r="D2049">
        <v>25</v>
      </c>
      <c r="E2049">
        <v>108</v>
      </c>
      <c r="F2049">
        <v>368</v>
      </c>
      <c r="G2049">
        <v>794</v>
      </c>
      <c r="H2049">
        <v>34.743600000000001</v>
      </c>
    </row>
    <row r="2050" spans="1:8" x14ac:dyDescent="0.25">
      <c r="A2050">
        <v>14772628</v>
      </c>
      <c r="B2050">
        <v>17</v>
      </c>
      <c r="C2050">
        <v>0</v>
      </c>
      <c r="D2050">
        <v>0</v>
      </c>
      <c r="E2050">
        <v>2</v>
      </c>
      <c r="F2050">
        <v>4</v>
      </c>
      <c r="G2050">
        <v>12</v>
      </c>
      <c r="H2050">
        <v>0</v>
      </c>
    </row>
    <row r="2051" spans="1:8" x14ac:dyDescent="0.25">
      <c r="A2051">
        <v>14772629</v>
      </c>
      <c r="B2051">
        <v>89</v>
      </c>
      <c r="C2051">
        <v>5</v>
      </c>
      <c r="D2051">
        <v>3</v>
      </c>
      <c r="E2051">
        <v>12</v>
      </c>
      <c r="F2051">
        <v>85</v>
      </c>
      <c r="G2051">
        <v>215</v>
      </c>
      <c r="H2051">
        <v>107.99</v>
      </c>
    </row>
    <row r="2052" spans="1:8" x14ac:dyDescent="0.25">
      <c r="A2052">
        <v>14772641</v>
      </c>
      <c r="B2052">
        <v>307</v>
      </c>
      <c r="C2052">
        <v>5</v>
      </c>
      <c r="D2052">
        <v>5</v>
      </c>
      <c r="E2052">
        <v>24</v>
      </c>
      <c r="F2052">
        <v>87</v>
      </c>
      <c r="G2052">
        <v>182</v>
      </c>
      <c r="H2052">
        <v>12.99</v>
      </c>
    </row>
    <row r="2053" spans="1:8" x14ac:dyDescent="0.25">
      <c r="A2053">
        <v>14772642</v>
      </c>
      <c r="B2053">
        <v>247</v>
      </c>
      <c r="C2053">
        <v>10</v>
      </c>
      <c r="D2053">
        <v>3</v>
      </c>
      <c r="E2053">
        <v>16</v>
      </c>
      <c r="F2053">
        <v>59</v>
      </c>
      <c r="G2053">
        <v>141</v>
      </c>
      <c r="H2053">
        <v>12.99</v>
      </c>
    </row>
    <row r="2054" spans="1:8" x14ac:dyDescent="0.25">
      <c r="A2054">
        <v>14772643</v>
      </c>
      <c r="B2054">
        <v>241</v>
      </c>
      <c r="C2054">
        <v>35</v>
      </c>
      <c r="D2054">
        <v>7</v>
      </c>
      <c r="E2054">
        <v>36</v>
      </c>
      <c r="F2054">
        <v>100</v>
      </c>
      <c r="G2054">
        <v>219</v>
      </c>
      <c r="H2054">
        <v>12.617100000000001</v>
      </c>
    </row>
    <row r="2055" spans="1:8" x14ac:dyDescent="0.25">
      <c r="A2055">
        <v>14772644</v>
      </c>
      <c r="B2055">
        <v>84</v>
      </c>
      <c r="C2055">
        <v>0</v>
      </c>
      <c r="D2055">
        <v>0</v>
      </c>
      <c r="E2055">
        <v>1</v>
      </c>
      <c r="F2055">
        <v>3</v>
      </c>
      <c r="G2055">
        <v>6</v>
      </c>
      <c r="H2055">
        <v>0</v>
      </c>
    </row>
    <row r="2056" spans="1:8" x14ac:dyDescent="0.25">
      <c r="A2056">
        <v>14772645</v>
      </c>
      <c r="B2056">
        <v>1</v>
      </c>
      <c r="C2056">
        <v>0</v>
      </c>
      <c r="D2056">
        <v>0</v>
      </c>
      <c r="E2056">
        <v>0</v>
      </c>
      <c r="F2056">
        <v>2</v>
      </c>
      <c r="G2056">
        <v>3</v>
      </c>
      <c r="H2056">
        <v>0</v>
      </c>
    </row>
    <row r="2057" spans="1:8" x14ac:dyDescent="0.25">
      <c r="A2057">
        <v>14772646</v>
      </c>
      <c r="B2057">
        <v>14</v>
      </c>
      <c r="C2057">
        <v>0</v>
      </c>
      <c r="D2057">
        <v>0</v>
      </c>
      <c r="E2057">
        <v>0</v>
      </c>
      <c r="F2057">
        <v>2</v>
      </c>
      <c r="G2057">
        <v>4</v>
      </c>
      <c r="H2057">
        <v>0</v>
      </c>
    </row>
    <row r="2058" spans="1:8" x14ac:dyDescent="0.25">
      <c r="A2058">
        <v>14772647</v>
      </c>
      <c r="B2058">
        <v>36</v>
      </c>
      <c r="C2058">
        <v>0</v>
      </c>
      <c r="D2058">
        <v>0</v>
      </c>
      <c r="E2058">
        <v>0</v>
      </c>
      <c r="F2058">
        <v>4</v>
      </c>
      <c r="G2058">
        <v>5</v>
      </c>
      <c r="H2058">
        <v>0</v>
      </c>
    </row>
    <row r="2059" spans="1:8" x14ac:dyDescent="0.25">
      <c r="A2059">
        <v>14772648</v>
      </c>
      <c r="B2059">
        <v>25</v>
      </c>
      <c r="C2059">
        <v>0</v>
      </c>
      <c r="D2059">
        <v>1</v>
      </c>
      <c r="E2059">
        <v>2</v>
      </c>
      <c r="F2059">
        <v>9</v>
      </c>
      <c r="G2059">
        <v>31</v>
      </c>
      <c r="H2059">
        <v>9.9700000000000006</v>
      </c>
    </row>
    <row r="2060" spans="1:8" x14ac:dyDescent="0.25">
      <c r="A2060">
        <v>14772649</v>
      </c>
      <c r="B2060">
        <v>0</v>
      </c>
      <c r="C2060">
        <v>0</v>
      </c>
      <c r="D2060">
        <v>0</v>
      </c>
      <c r="E2060">
        <v>0</v>
      </c>
      <c r="F2060">
        <v>2</v>
      </c>
      <c r="G2060">
        <v>16</v>
      </c>
      <c r="H2060">
        <v>0</v>
      </c>
    </row>
    <row r="2061" spans="1:8" x14ac:dyDescent="0.25">
      <c r="A2061">
        <v>14772650</v>
      </c>
      <c r="B2061">
        <v>2</v>
      </c>
      <c r="C2061">
        <v>0</v>
      </c>
      <c r="D2061">
        <v>0</v>
      </c>
      <c r="E2061">
        <v>1</v>
      </c>
      <c r="F2061">
        <v>1</v>
      </c>
      <c r="G2061">
        <v>3</v>
      </c>
      <c r="H2061">
        <v>0</v>
      </c>
    </row>
    <row r="2062" spans="1:8" x14ac:dyDescent="0.25">
      <c r="A2062">
        <v>14773972</v>
      </c>
      <c r="B2062">
        <v>4</v>
      </c>
      <c r="C2062">
        <v>0</v>
      </c>
      <c r="D2062">
        <v>0</v>
      </c>
      <c r="E2062">
        <v>1</v>
      </c>
      <c r="F2062">
        <v>8</v>
      </c>
      <c r="G2062">
        <v>90</v>
      </c>
      <c r="H2062">
        <v>0</v>
      </c>
    </row>
    <row r="2063" spans="1:8" x14ac:dyDescent="0.25">
      <c r="A2063">
        <v>14773982</v>
      </c>
      <c r="B2063">
        <v>4</v>
      </c>
      <c r="C2063">
        <v>0</v>
      </c>
      <c r="D2063">
        <v>0</v>
      </c>
      <c r="E2063">
        <v>1</v>
      </c>
      <c r="F2063">
        <v>1</v>
      </c>
      <c r="G2063">
        <v>1</v>
      </c>
      <c r="H2063">
        <v>0</v>
      </c>
    </row>
    <row r="2064" spans="1:8" x14ac:dyDescent="0.25">
      <c r="A2064">
        <v>14773984</v>
      </c>
      <c r="B2064">
        <v>0</v>
      </c>
      <c r="C2064">
        <v>0</v>
      </c>
      <c r="D2064">
        <v>0</v>
      </c>
      <c r="E2064">
        <v>0</v>
      </c>
      <c r="F2064">
        <v>1</v>
      </c>
      <c r="G2064">
        <v>6</v>
      </c>
      <c r="H2064">
        <v>0</v>
      </c>
    </row>
    <row r="2065" spans="1:8" x14ac:dyDescent="0.25">
      <c r="A2065">
        <v>14773985</v>
      </c>
      <c r="B2065">
        <v>5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</row>
    <row r="2066" spans="1:8" x14ac:dyDescent="0.25">
      <c r="A2066">
        <v>14773987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2</v>
      </c>
      <c r="H2066">
        <v>0</v>
      </c>
    </row>
    <row r="2067" spans="1:8" x14ac:dyDescent="0.25">
      <c r="A2067">
        <v>14773988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1</v>
      </c>
      <c r="H2067">
        <v>0</v>
      </c>
    </row>
    <row r="2068" spans="1:8" x14ac:dyDescent="0.25">
      <c r="A2068">
        <v>14774524</v>
      </c>
      <c r="B2068">
        <v>648</v>
      </c>
      <c r="C2068">
        <v>530</v>
      </c>
      <c r="D2068">
        <v>90</v>
      </c>
      <c r="E2068">
        <v>361</v>
      </c>
      <c r="F2068">
        <v>1260</v>
      </c>
      <c r="G2068">
        <v>2451</v>
      </c>
      <c r="H2068">
        <v>10.598100000000001</v>
      </c>
    </row>
    <row r="2069" spans="1:8" x14ac:dyDescent="0.25">
      <c r="A2069">
        <v>14774525</v>
      </c>
      <c r="B2069">
        <v>888</v>
      </c>
      <c r="C2069">
        <v>110</v>
      </c>
      <c r="D2069">
        <v>65</v>
      </c>
      <c r="E2069">
        <v>274</v>
      </c>
      <c r="F2069">
        <v>905</v>
      </c>
      <c r="G2069">
        <v>1723</v>
      </c>
      <c r="H2069">
        <v>17.3065</v>
      </c>
    </row>
    <row r="2070" spans="1:8" x14ac:dyDescent="0.25">
      <c r="A2070">
        <v>14774526</v>
      </c>
      <c r="B2070">
        <v>982</v>
      </c>
      <c r="C2070">
        <v>370</v>
      </c>
      <c r="D2070">
        <v>119</v>
      </c>
      <c r="E2070">
        <v>429</v>
      </c>
      <c r="F2070">
        <v>1318</v>
      </c>
      <c r="G2070">
        <v>2475</v>
      </c>
      <c r="H2070">
        <v>8.7790999999999997</v>
      </c>
    </row>
    <row r="2071" spans="1:8" x14ac:dyDescent="0.25">
      <c r="A2071">
        <v>14774527</v>
      </c>
      <c r="B2071">
        <v>447</v>
      </c>
      <c r="C2071">
        <v>590</v>
      </c>
      <c r="D2071">
        <v>61</v>
      </c>
      <c r="E2071">
        <v>301</v>
      </c>
      <c r="F2071">
        <v>932</v>
      </c>
      <c r="G2071">
        <v>1818</v>
      </c>
      <c r="H2071">
        <v>7.6532999999999998</v>
      </c>
    </row>
    <row r="2072" spans="1:8" x14ac:dyDescent="0.25">
      <c r="A2072">
        <v>14774528</v>
      </c>
      <c r="B2072">
        <v>756</v>
      </c>
      <c r="C2072">
        <v>255</v>
      </c>
      <c r="D2072">
        <v>63</v>
      </c>
      <c r="E2072">
        <v>237</v>
      </c>
      <c r="F2072">
        <v>779</v>
      </c>
      <c r="G2072">
        <v>1503</v>
      </c>
      <c r="H2072">
        <v>14.689</v>
      </c>
    </row>
    <row r="2073" spans="1:8" x14ac:dyDescent="0.25">
      <c r="A2073">
        <v>14774529</v>
      </c>
      <c r="B2073">
        <v>338</v>
      </c>
      <c r="C2073">
        <v>200</v>
      </c>
      <c r="D2073">
        <v>35</v>
      </c>
      <c r="E2073">
        <v>173</v>
      </c>
      <c r="F2073">
        <v>542</v>
      </c>
      <c r="G2073">
        <v>965</v>
      </c>
      <c r="H2073">
        <v>10.711399999999999</v>
      </c>
    </row>
    <row r="2074" spans="1:8" x14ac:dyDescent="0.25">
      <c r="A2074">
        <v>14774530</v>
      </c>
      <c r="B2074">
        <v>441</v>
      </c>
      <c r="C2074">
        <v>376</v>
      </c>
      <c r="D2074">
        <v>23</v>
      </c>
      <c r="E2074">
        <v>57</v>
      </c>
      <c r="F2074">
        <v>487</v>
      </c>
      <c r="G2074">
        <v>1367</v>
      </c>
      <c r="H2074">
        <v>7.9226000000000001</v>
      </c>
    </row>
    <row r="2075" spans="1:8" x14ac:dyDescent="0.25">
      <c r="A2075">
        <v>14774531</v>
      </c>
      <c r="B2075">
        <v>641</v>
      </c>
      <c r="C2075">
        <v>364</v>
      </c>
      <c r="D2075">
        <v>111</v>
      </c>
      <c r="E2075">
        <v>374</v>
      </c>
      <c r="F2075">
        <v>1108</v>
      </c>
      <c r="G2075">
        <v>2133</v>
      </c>
      <c r="H2075">
        <v>12.6431</v>
      </c>
    </row>
    <row r="2076" spans="1:8" x14ac:dyDescent="0.25">
      <c r="A2076">
        <v>14774532</v>
      </c>
      <c r="B2076">
        <v>5</v>
      </c>
      <c r="C2076">
        <v>0</v>
      </c>
      <c r="D2076">
        <v>0</v>
      </c>
      <c r="E2076">
        <v>0</v>
      </c>
      <c r="F2076">
        <v>3</v>
      </c>
      <c r="G2076">
        <v>7</v>
      </c>
      <c r="H2076">
        <v>0</v>
      </c>
    </row>
    <row r="2077" spans="1:8" x14ac:dyDescent="0.25">
      <c r="A2077">
        <v>14774533</v>
      </c>
      <c r="B2077">
        <v>691</v>
      </c>
      <c r="C2077">
        <v>268</v>
      </c>
      <c r="D2077">
        <v>103</v>
      </c>
      <c r="E2077">
        <v>357</v>
      </c>
      <c r="F2077">
        <v>1015</v>
      </c>
      <c r="G2077">
        <v>1943</v>
      </c>
      <c r="H2077">
        <v>14.55</v>
      </c>
    </row>
    <row r="2078" spans="1:8" x14ac:dyDescent="0.25">
      <c r="A2078">
        <v>14774534</v>
      </c>
      <c r="B2078">
        <v>5</v>
      </c>
      <c r="C2078">
        <v>0</v>
      </c>
      <c r="D2078">
        <v>0</v>
      </c>
      <c r="E2078">
        <v>2</v>
      </c>
      <c r="F2078">
        <v>2</v>
      </c>
      <c r="G2078">
        <v>11</v>
      </c>
      <c r="H2078">
        <v>0</v>
      </c>
    </row>
    <row r="2079" spans="1:8" x14ac:dyDescent="0.25">
      <c r="A2079">
        <v>14774535</v>
      </c>
      <c r="B2079">
        <v>4</v>
      </c>
      <c r="C2079">
        <v>0</v>
      </c>
      <c r="D2079">
        <v>1</v>
      </c>
      <c r="E2079">
        <v>2</v>
      </c>
      <c r="F2079">
        <v>8</v>
      </c>
      <c r="G2079">
        <v>17</v>
      </c>
      <c r="H2079">
        <v>11.49</v>
      </c>
    </row>
    <row r="2080" spans="1:8" x14ac:dyDescent="0.25">
      <c r="A2080">
        <v>14779563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</row>
    <row r="2081" spans="1:8" x14ac:dyDescent="0.25">
      <c r="A2081">
        <v>14779564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2</v>
      </c>
      <c r="H2081">
        <v>0</v>
      </c>
    </row>
    <row r="2082" spans="1:8" x14ac:dyDescent="0.25">
      <c r="A2082">
        <v>14779565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</row>
    <row r="2083" spans="1:8" x14ac:dyDescent="0.25">
      <c r="A2083">
        <v>14782436</v>
      </c>
      <c r="B2083">
        <v>0</v>
      </c>
      <c r="C2083">
        <v>0</v>
      </c>
      <c r="D2083">
        <v>0</v>
      </c>
      <c r="E2083">
        <v>0</v>
      </c>
      <c r="F2083">
        <v>1</v>
      </c>
      <c r="G2083">
        <v>3</v>
      </c>
      <c r="H2083">
        <v>0</v>
      </c>
    </row>
    <row r="2084" spans="1:8" x14ac:dyDescent="0.25">
      <c r="A2084">
        <v>14790693</v>
      </c>
      <c r="B2084">
        <v>605</v>
      </c>
      <c r="C2084">
        <v>0</v>
      </c>
      <c r="D2084">
        <v>48</v>
      </c>
      <c r="E2084">
        <v>173</v>
      </c>
      <c r="F2084">
        <v>727</v>
      </c>
      <c r="G2084">
        <v>1679</v>
      </c>
      <c r="H2084">
        <v>179.7627</v>
      </c>
    </row>
    <row r="2085" spans="1:8" x14ac:dyDescent="0.25">
      <c r="A2085">
        <v>14790694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2</v>
      </c>
      <c r="H2085">
        <v>0</v>
      </c>
    </row>
    <row r="2086" spans="1:8" x14ac:dyDescent="0.25">
      <c r="A2086">
        <v>14798035</v>
      </c>
      <c r="B2086">
        <v>6</v>
      </c>
      <c r="C2086">
        <v>0</v>
      </c>
      <c r="D2086">
        <v>0</v>
      </c>
      <c r="E2086">
        <v>0</v>
      </c>
      <c r="F2086">
        <v>10</v>
      </c>
      <c r="G2086">
        <v>24</v>
      </c>
      <c r="H2086">
        <v>0</v>
      </c>
    </row>
    <row r="2087" spans="1:8" x14ac:dyDescent="0.25">
      <c r="A2087">
        <v>14800414</v>
      </c>
      <c r="B2087">
        <v>0</v>
      </c>
      <c r="C2087">
        <v>0</v>
      </c>
      <c r="D2087">
        <v>0</v>
      </c>
      <c r="E2087">
        <v>0</v>
      </c>
      <c r="F2087">
        <v>5</v>
      </c>
      <c r="G2087">
        <v>7</v>
      </c>
      <c r="H2087">
        <v>0</v>
      </c>
    </row>
    <row r="2088" spans="1:8" x14ac:dyDescent="0.25">
      <c r="A2088">
        <v>14800415</v>
      </c>
      <c r="B2088">
        <v>0</v>
      </c>
      <c r="C2088">
        <v>0</v>
      </c>
      <c r="D2088">
        <v>0</v>
      </c>
      <c r="E2088">
        <v>0</v>
      </c>
      <c r="F2088">
        <v>11</v>
      </c>
      <c r="G2088">
        <v>25</v>
      </c>
      <c r="H2088">
        <v>0</v>
      </c>
    </row>
    <row r="2089" spans="1:8" x14ac:dyDescent="0.25">
      <c r="A2089">
        <v>14800416</v>
      </c>
      <c r="B2089">
        <v>19</v>
      </c>
      <c r="C2089">
        <v>0</v>
      </c>
      <c r="D2089">
        <v>0</v>
      </c>
      <c r="E2089">
        <v>2</v>
      </c>
      <c r="F2089">
        <v>34</v>
      </c>
      <c r="G2089">
        <v>79</v>
      </c>
      <c r="H2089">
        <v>0</v>
      </c>
    </row>
    <row r="2090" spans="1:8" x14ac:dyDescent="0.25">
      <c r="A2090">
        <v>14800851</v>
      </c>
      <c r="B2090">
        <v>1731</v>
      </c>
      <c r="C2090">
        <v>276</v>
      </c>
      <c r="D2090">
        <v>62</v>
      </c>
      <c r="E2090">
        <v>263</v>
      </c>
      <c r="F2090">
        <v>868</v>
      </c>
      <c r="G2090">
        <v>1769</v>
      </c>
      <c r="H2090">
        <v>9.6577000000000002</v>
      </c>
    </row>
    <row r="2091" spans="1:8" x14ac:dyDescent="0.25">
      <c r="A2091">
        <v>14800852</v>
      </c>
      <c r="B2091">
        <v>514</v>
      </c>
      <c r="C2091">
        <v>444</v>
      </c>
      <c r="D2091">
        <v>67</v>
      </c>
      <c r="E2091">
        <v>293</v>
      </c>
      <c r="F2091">
        <v>979</v>
      </c>
      <c r="G2091">
        <v>1997</v>
      </c>
      <c r="H2091">
        <v>6.7530000000000001</v>
      </c>
    </row>
    <row r="2092" spans="1:8" x14ac:dyDescent="0.25">
      <c r="A2092">
        <v>14801477</v>
      </c>
      <c r="B2092">
        <v>1</v>
      </c>
      <c r="C2092">
        <v>0</v>
      </c>
      <c r="D2092">
        <v>0</v>
      </c>
      <c r="E2092">
        <v>0</v>
      </c>
      <c r="F2092">
        <v>0</v>
      </c>
      <c r="G2092">
        <v>21</v>
      </c>
      <c r="H2092">
        <v>0</v>
      </c>
    </row>
    <row r="2093" spans="1:8" x14ac:dyDescent="0.25">
      <c r="A2093">
        <v>14801479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</row>
    <row r="2094" spans="1:8" x14ac:dyDescent="0.25">
      <c r="A2094">
        <v>14801480</v>
      </c>
      <c r="B2094">
        <v>0</v>
      </c>
      <c r="C2094">
        <v>0</v>
      </c>
      <c r="D2094">
        <v>0</v>
      </c>
      <c r="E2094">
        <v>18</v>
      </c>
      <c r="F2094">
        <v>18</v>
      </c>
      <c r="G2094">
        <v>39</v>
      </c>
      <c r="H2094">
        <v>0</v>
      </c>
    </row>
    <row r="2095" spans="1:8" x14ac:dyDescent="0.25">
      <c r="A2095">
        <v>14801988</v>
      </c>
      <c r="B2095">
        <v>8</v>
      </c>
      <c r="C2095">
        <v>5</v>
      </c>
      <c r="D2095">
        <v>0</v>
      </c>
      <c r="E2095">
        <v>5</v>
      </c>
      <c r="F2095">
        <v>17</v>
      </c>
      <c r="G2095">
        <v>31</v>
      </c>
      <c r="H2095">
        <v>0</v>
      </c>
    </row>
    <row r="2096" spans="1:8" x14ac:dyDescent="0.25">
      <c r="A2096">
        <v>14801989</v>
      </c>
      <c r="B2096">
        <v>4</v>
      </c>
      <c r="C2096">
        <v>5</v>
      </c>
      <c r="D2096">
        <v>1</v>
      </c>
      <c r="E2096">
        <v>4</v>
      </c>
      <c r="F2096">
        <v>14</v>
      </c>
      <c r="G2096">
        <v>23</v>
      </c>
      <c r="H2096">
        <v>105.12</v>
      </c>
    </row>
    <row r="2097" spans="1:8" x14ac:dyDescent="0.25">
      <c r="A2097">
        <v>14801990</v>
      </c>
      <c r="B2097">
        <v>35</v>
      </c>
      <c r="C2097">
        <v>0</v>
      </c>
      <c r="D2097">
        <v>3</v>
      </c>
      <c r="E2097">
        <v>8</v>
      </c>
      <c r="F2097">
        <v>28</v>
      </c>
      <c r="G2097">
        <v>68</v>
      </c>
      <c r="H2097">
        <v>37.99</v>
      </c>
    </row>
    <row r="2098" spans="1:8" x14ac:dyDescent="0.25">
      <c r="A2098">
        <v>14801991</v>
      </c>
      <c r="B2098">
        <v>27</v>
      </c>
      <c r="C2098">
        <v>6</v>
      </c>
      <c r="D2098">
        <v>2</v>
      </c>
      <c r="E2098">
        <v>8</v>
      </c>
      <c r="F2098">
        <v>30</v>
      </c>
      <c r="G2098">
        <v>62</v>
      </c>
      <c r="H2098">
        <v>21.99</v>
      </c>
    </row>
    <row r="2099" spans="1:8" x14ac:dyDescent="0.25">
      <c r="A2099">
        <v>14801992</v>
      </c>
      <c r="B2099">
        <v>18</v>
      </c>
      <c r="C2099">
        <v>10</v>
      </c>
      <c r="D2099">
        <v>3</v>
      </c>
      <c r="E2099">
        <v>9</v>
      </c>
      <c r="F2099">
        <v>26</v>
      </c>
      <c r="G2099">
        <v>55</v>
      </c>
      <c r="H2099">
        <v>20.47</v>
      </c>
    </row>
    <row r="2100" spans="1:8" x14ac:dyDescent="0.25">
      <c r="A2100">
        <v>14801993</v>
      </c>
      <c r="B2100">
        <v>19</v>
      </c>
      <c r="C2100">
        <v>6</v>
      </c>
      <c r="D2100">
        <v>4</v>
      </c>
      <c r="E2100">
        <v>11</v>
      </c>
      <c r="F2100">
        <v>31</v>
      </c>
      <c r="G2100">
        <v>61</v>
      </c>
      <c r="H2100">
        <v>20.192499999999999</v>
      </c>
    </row>
    <row r="2101" spans="1:8" x14ac:dyDescent="0.25">
      <c r="A2101">
        <v>14802034</v>
      </c>
      <c r="B2101">
        <v>0</v>
      </c>
      <c r="C2101">
        <v>0</v>
      </c>
      <c r="D2101">
        <v>-1</v>
      </c>
      <c r="E2101">
        <v>0</v>
      </c>
      <c r="F2101">
        <v>1</v>
      </c>
      <c r="G2101">
        <v>1</v>
      </c>
      <c r="H2101">
        <v>999.97</v>
      </c>
    </row>
    <row r="2102" spans="1:8" x14ac:dyDescent="0.25">
      <c r="A2102">
        <v>14802035</v>
      </c>
      <c r="B2102">
        <v>20</v>
      </c>
      <c r="C2102">
        <v>0</v>
      </c>
      <c r="D2102">
        <v>2</v>
      </c>
      <c r="E2102">
        <v>3</v>
      </c>
      <c r="F2102">
        <v>5</v>
      </c>
      <c r="G2102">
        <v>20</v>
      </c>
      <c r="H2102">
        <v>1529.99</v>
      </c>
    </row>
    <row r="2103" spans="1:8" x14ac:dyDescent="0.25">
      <c r="A2103">
        <v>14802326</v>
      </c>
      <c r="B2103">
        <v>68</v>
      </c>
      <c r="C2103">
        <v>0</v>
      </c>
      <c r="D2103">
        <v>1</v>
      </c>
      <c r="E2103">
        <v>5</v>
      </c>
      <c r="F2103">
        <v>15</v>
      </c>
      <c r="G2103">
        <v>50</v>
      </c>
      <c r="H2103">
        <v>18.989999999999998</v>
      </c>
    </row>
    <row r="2104" spans="1:8" x14ac:dyDescent="0.25">
      <c r="A2104">
        <v>14802327</v>
      </c>
      <c r="B2104">
        <v>130</v>
      </c>
      <c r="C2104">
        <v>0</v>
      </c>
      <c r="D2104">
        <v>2</v>
      </c>
      <c r="E2104">
        <v>13</v>
      </c>
      <c r="F2104">
        <v>31</v>
      </c>
      <c r="G2104">
        <v>74</v>
      </c>
      <c r="H2104">
        <v>18.989999999999998</v>
      </c>
    </row>
    <row r="2105" spans="1:8" x14ac:dyDescent="0.25">
      <c r="A2105">
        <v>14802328</v>
      </c>
      <c r="B2105">
        <v>145</v>
      </c>
      <c r="C2105">
        <v>0</v>
      </c>
      <c r="D2105">
        <v>1</v>
      </c>
      <c r="E2105">
        <v>5</v>
      </c>
      <c r="F2105">
        <v>16</v>
      </c>
      <c r="G2105">
        <v>51</v>
      </c>
      <c r="H2105">
        <v>24.99</v>
      </c>
    </row>
    <row r="2106" spans="1:8" x14ac:dyDescent="0.25">
      <c r="A2106">
        <v>14802329</v>
      </c>
      <c r="B2106">
        <v>104</v>
      </c>
      <c r="C2106">
        <v>0</v>
      </c>
      <c r="D2106">
        <v>1</v>
      </c>
      <c r="E2106">
        <v>5</v>
      </c>
      <c r="F2106">
        <v>22</v>
      </c>
      <c r="G2106">
        <v>44</v>
      </c>
      <c r="H2106">
        <v>22.99</v>
      </c>
    </row>
    <row r="2107" spans="1:8" x14ac:dyDescent="0.25">
      <c r="A2107">
        <v>14802330</v>
      </c>
      <c r="B2107">
        <v>104</v>
      </c>
      <c r="C2107">
        <v>0</v>
      </c>
      <c r="D2107">
        <v>5</v>
      </c>
      <c r="E2107">
        <v>26</v>
      </c>
      <c r="F2107">
        <v>44</v>
      </c>
      <c r="G2107">
        <v>77</v>
      </c>
      <c r="H2107">
        <v>8.99</v>
      </c>
    </row>
    <row r="2108" spans="1:8" x14ac:dyDescent="0.25">
      <c r="A2108">
        <v>14802331</v>
      </c>
      <c r="B2108">
        <v>33</v>
      </c>
      <c r="C2108">
        <v>0</v>
      </c>
      <c r="D2108">
        <v>1</v>
      </c>
      <c r="E2108">
        <v>2</v>
      </c>
      <c r="F2108">
        <v>11</v>
      </c>
      <c r="G2108">
        <v>15</v>
      </c>
      <c r="H2108">
        <v>7.99</v>
      </c>
    </row>
    <row r="2109" spans="1:8" x14ac:dyDescent="0.25">
      <c r="A2109">
        <v>14802767</v>
      </c>
      <c r="B2109">
        <v>1441</v>
      </c>
      <c r="C2109">
        <v>144</v>
      </c>
      <c r="D2109">
        <v>58</v>
      </c>
      <c r="E2109">
        <v>226</v>
      </c>
      <c r="F2109">
        <v>862</v>
      </c>
      <c r="G2109">
        <v>2043</v>
      </c>
      <c r="H2109">
        <v>12.799099999999999</v>
      </c>
    </row>
    <row r="2110" spans="1:8" x14ac:dyDescent="0.25">
      <c r="A2110">
        <v>14804540</v>
      </c>
      <c r="B2110">
        <v>22</v>
      </c>
      <c r="C2110">
        <v>0</v>
      </c>
      <c r="D2110">
        <v>1</v>
      </c>
      <c r="E2110">
        <v>2</v>
      </c>
      <c r="F2110">
        <v>4</v>
      </c>
      <c r="G2110">
        <v>8</v>
      </c>
      <c r="H2110">
        <v>229.99</v>
      </c>
    </row>
    <row r="2111" spans="1:8" x14ac:dyDescent="0.25">
      <c r="A2111">
        <v>14804541</v>
      </c>
      <c r="B2111">
        <v>86</v>
      </c>
      <c r="C2111">
        <v>0</v>
      </c>
      <c r="D2111">
        <v>12</v>
      </c>
      <c r="E2111">
        <v>58</v>
      </c>
      <c r="F2111">
        <v>396</v>
      </c>
      <c r="G2111">
        <v>1255</v>
      </c>
      <c r="H2111">
        <v>18.594200000000001</v>
      </c>
    </row>
    <row r="2112" spans="1:8" x14ac:dyDescent="0.25">
      <c r="A2112">
        <v>14805165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1</v>
      </c>
      <c r="H2112">
        <v>0</v>
      </c>
    </row>
    <row r="2113" spans="1:8" x14ac:dyDescent="0.25">
      <c r="A2113">
        <v>14805168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</v>
      </c>
      <c r="H2113">
        <v>0</v>
      </c>
    </row>
    <row r="2114" spans="1:8" x14ac:dyDescent="0.25">
      <c r="A2114">
        <v>14805180</v>
      </c>
      <c r="B2114">
        <v>0</v>
      </c>
      <c r="C2114">
        <v>0</v>
      </c>
      <c r="D2114">
        <v>0</v>
      </c>
      <c r="E2114">
        <v>0</v>
      </c>
      <c r="F2114">
        <v>1</v>
      </c>
      <c r="G2114">
        <v>1</v>
      </c>
      <c r="H2114">
        <v>0</v>
      </c>
    </row>
    <row r="2115" spans="1:8" x14ac:dyDescent="0.25">
      <c r="A2115">
        <v>14805190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1</v>
      </c>
      <c r="H2115">
        <v>0</v>
      </c>
    </row>
    <row r="2116" spans="1:8" x14ac:dyDescent="0.25">
      <c r="A2116">
        <v>14805194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1</v>
      </c>
      <c r="H2116">
        <v>0</v>
      </c>
    </row>
    <row r="2117" spans="1:8" x14ac:dyDescent="0.25">
      <c r="A2117">
        <v>14805201</v>
      </c>
      <c r="B2117">
        <v>-1</v>
      </c>
      <c r="C2117">
        <v>0</v>
      </c>
      <c r="D2117">
        <v>0</v>
      </c>
      <c r="E2117">
        <v>0</v>
      </c>
      <c r="F2117">
        <v>1</v>
      </c>
      <c r="G2117">
        <v>2</v>
      </c>
      <c r="H2117">
        <v>0</v>
      </c>
    </row>
    <row r="2118" spans="1:8" x14ac:dyDescent="0.25">
      <c r="A2118">
        <v>14805203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</row>
    <row r="2119" spans="1:8" x14ac:dyDescent="0.25">
      <c r="A2119">
        <v>14805210</v>
      </c>
      <c r="B2119">
        <v>0</v>
      </c>
      <c r="C2119">
        <v>0</v>
      </c>
      <c r="D2119">
        <v>0</v>
      </c>
      <c r="E2119">
        <v>1</v>
      </c>
      <c r="F2119">
        <v>5</v>
      </c>
      <c r="G2119">
        <v>38</v>
      </c>
      <c r="H2119">
        <v>0</v>
      </c>
    </row>
    <row r="2120" spans="1:8" x14ac:dyDescent="0.25">
      <c r="A2120">
        <v>14805211</v>
      </c>
      <c r="B2120">
        <v>-1</v>
      </c>
      <c r="C2120">
        <v>0</v>
      </c>
      <c r="D2120">
        <v>0</v>
      </c>
      <c r="E2120">
        <v>1</v>
      </c>
      <c r="F2120">
        <v>9</v>
      </c>
      <c r="G2120">
        <v>36</v>
      </c>
      <c r="H2120">
        <v>0</v>
      </c>
    </row>
    <row r="2121" spans="1:8" x14ac:dyDescent="0.25">
      <c r="A2121">
        <v>14805212</v>
      </c>
      <c r="B2121">
        <v>-2</v>
      </c>
      <c r="C2121">
        <v>0</v>
      </c>
      <c r="D2121">
        <v>0</v>
      </c>
      <c r="E2121">
        <v>0</v>
      </c>
      <c r="F2121">
        <v>3</v>
      </c>
      <c r="G2121">
        <v>16</v>
      </c>
      <c r="H2121">
        <v>0</v>
      </c>
    </row>
    <row r="2122" spans="1:8" x14ac:dyDescent="0.25">
      <c r="A2122">
        <v>14805214</v>
      </c>
      <c r="B2122">
        <v>0</v>
      </c>
      <c r="C2122">
        <v>0</v>
      </c>
      <c r="D2122">
        <v>0</v>
      </c>
      <c r="E2122">
        <v>0</v>
      </c>
      <c r="F2122">
        <v>1</v>
      </c>
      <c r="G2122">
        <v>1</v>
      </c>
      <c r="H2122">
        <v>0</v>
      </c>
    </row>
    <row r="2123" spans="1:8" x14ac:dyDescent="0.25">
      <c r="A2123">
        <v>14805215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1</v>
      </c>
      <c r="H2123">
        <v>0</v>
      </c>
    </row>
    <row r="2124" spans="1:8" x14ac:dyDescent="0.25">
      <c r="A2124">
        <v>14805216</v>
      </c>
      <c r="B2124">
        <v>0</v>
      </c>
      <c r="C2124">
        <v>0</v>
      </c>
      <c r="D2124">
        <v>0</v>
      </c>
      <c r="E2124">
        <v>2</v>
      </c>
      <c r="F2124">
        <v>2</v>
      </c>
      <c r="G2124">
        <v>2</v>
      </c>
      <c r="H2124">
        <v>0</v>
      </c>
    </row>
    <row r="2125" spans="1:8" x14ac:dyDescent="0.25">
      <c r="A2125">
        <v>14805224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1</v>
      </c>
      <c r="H2125">
        <v>0</v>
      </c>
    </row>
    <row r="2126" spans="1:8" x14ac:dyDescent="0.25">
      <c r="A2126">
        <v>14805226</v>
      </c>
      <c r="B2126">
        <v>0</v>
      </c>
      <c r="C2126">
        <v>0</v>
      </c>
      <c r="D2126">
        <v>0</v>
      </c>
      <c r="E2126">
        <v>0</v>
      </c>
      <c r="F2126">
        <v>1</v>
      </c>
      <c r="G2126">
        <v>1</v>
      </c>
      <c r="H2126">
        <v>0</v>
      </c>
    </row>
    <row r="2127" spans="1:8" x14ac:dyDescent="0.25">
      <c r="A2127">
        <v>14805231</v>
      </c>
      <c r="B2127">
        <v>1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</row>
    <row r="2128" spans="1:8" x14ac:dyDescent="0.25">
      <c r="A2128">
        <v>14805232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5</v>
      </c>
      <c r="H2128">
        <v>0</v>
      </c>
    </row>
    <row r="2129" spans="1:8" x14ac:dyDescent="0.25">
      <c r="A2129">
        <v>14805233</v>
      </c>
      <c r="B2129">
        <v>0</v>
      </c>
      <c r="C2129">
        <v>0</v>
      </c>
      <c r="D2129">
        <v>0</v>
      </c>
      <c r="E2129">
        <v>0</v>
      </c>
      <c r="F2129">
        <v>1</v>
      </c>
      <c r="G2129">
        <v>3</v>
      </c>
      <c r="H2129">
        <v>0</v>
      </c>
    </row>
    <row r="2130" spans="1:8" x14ac:dyDescent="0.25">
      <c r="A2130">
        <v>14805238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2</v>
      </c>
      <c r="H2130">
        <v>0</v>
      </c>
    </row>
    <row r="2131" spans="1:8" x14ac:dyDescent="0.25">
      <c r="A2131">
        <v>14805239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3</v>
      </c>
      <c r="H2131">
        <v>0</v>
      </c>
    </row>
    <row r="2132" spans="1:8" x14ac:dyDescent="0.25">
      <c r="A2132">
        <v>14805241</v>
      </c>
      <c r="B2132">
        <v>0</v>
      </c>
      <c r="C2132">
        <v>0</v>
      </c>
      <c r="D2132">
        <v>0</v>
      </c>
      <c r="E2132">
        <v>0</v>
      </c>
      <c r="F2132">
        <v>1</v>
      </c>
      <c r="G2132">
        <v>14</v>
      </c>
      <c r="H2132">
        <v>0</v>
      </c>
    </row>
    <row r="2133" spans="1:8" x14ac:dyDescent="0.25">
      <c r="A2133">
        <v>14805247</v>
      </c>
      <c r="B2133">
        <v>0</v>
      </c>
      <c r="C2133">
        <v>0</v>
      </c>
      <c r="D2133">
        <v>0</v>
      </c>
      <c r="E2133">
        <v>0</v>
      </c>
      <c r="F2133">
        <v>1</v>
      </c>
      <c r="G2133">
        <v>1</v>
      </c>
      <c r="H2133">
        <v>0</v>
      </c>
    </row>
    <row r="2134" spans="1:8" x14ac:dyDescent="0.25">
      <c r="A2134">
        <v>14805254</v>
      </c>
      <c r="B2134">
        <v>0</v>
      </c>
      <c r="C2134">
        <v>0</v>
      </c>
      <c r="D2134">
        <v>0</v>
      </c>
      <c r="E2134">
        <v>1</v>
      </c>
      <c r="F2134">
        <v>1</v>
      </c>
      <c r="G2134">
        <v>1</v>
      </c>
      <c r="H2134">
        <v>0</v>
      </c>
    </row>
    <row r="2135" spans="1:8" x14ac:dyDescent="0.25">
      <c r="A2135">
        <v>14805255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2</v>
      </c>
      <c r="H2135">
        <v>0</v>
      </c>
    </row>
    <row r="2136" spans="1:8" x14ac:dyDescent="0.25">
      <c r="A2136">
        <v>14805256</v>
      </c>
      <c r="B2136">
        <v>0</v>
      </c>
      <c r="C2136">
        <v>0</v>
      </c>
      <c r="D2136">
        <v>0</v>
      </c>
      <c r="E2136">
        <v>0</v>
      </c>
      <c r="F2136">
        <v>1</v>
      </c>
      <c r="G2136">
        <v>1</v>
      </c>
      <c r="H2136">
        <v>0</v>
      </c>
    </row>
    <row r="2137" spans="1:8" x14ac:dyDescent="0.25">
      <c r="A2137">
        <v>14805275</v>
      </c>
      <c r="B2137">
        <v>0</v>
      </c>
      <c r="C2137">
        <v>0</v>
      </c>
      <c r="D2137">
        <v>0</v>
      </c>
      <c r="E2137">
        <v>1</v>
      </c>
      <c r="F2137">
        <v>1</v>
      </c>
      <c r="G2137">
        <v>1</v>
      </c>
      <c r="H2137">
        <v>0</v>
      </c>
    </row>
    <row r="2138" spans="1:8" x14ac:dyDescent="0.25">
      <c r="A2138">
        <v>14805277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2</v>
      </c>
      <c r="H2138">
        <v>0</v>
      </c>
    </row>
    <row r="2139" spans="1:8" x14ac:dyDescent="0.25">
      <c r="A2139">
        <v>14808027</v>
      </c>
      <c r="B2139">
        <v>177</v>
      </c>
      <c r="C2139">
        <v>48</v>
      </c>
      <c r="D2139">
        <v>22</v>
      </c>
      <c r="E2139">
        <v>82</v>
      </c>
      <c r="F2139">
        <v>292</v>
      </c>
      <c r="G2139">
        <v>750</v>
      </c>
      <c r="H2139">
        <v>28.135000000000002</v>
      </c>
    </row>
    <row r="2140" spans="1:8" x14ac:dyDescent="0.25">
      <c r="A2140">
        <v>14808028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12</v>
      </c>
      <c r="H2140">
        <v>0</v>
      </c>
    </row>
    <row r="2141" spans="1:8" x14ac:dyDescent="0.25">
      <c r="A2141">
        <v>14808029</v>
      </c>
      <c r="B2141">
        <v>0</v>
      </c>
      <c r="C2141">
        <v>0</v>
      </c>
      <c r="D2141">
        <v>0</v>
      </c>
      <c r="E2141">
        <v>0</v>
      </c>
      <c r="F2141">
        <v>2</v>
      </c>
      <c r="G2141">
        <v>14</v>
      </c>
      <c r="H2141">
        <v>0</v>
      </c>
    </row>
    <row r="2142" spans="1:8" x14ac:dyDescent="0.25">
      <c r="A2142">
        <v>14808030</v>
      </c>
      <c r="B2142">
        <v>173</v>
      </c>
      <c r="C2142">
        <v>60</v>
      </c>
      <c r="D2142">
        <v>9</v>
      </c>
      <c r="E2142">
        <v>64</v>
      </c>
      <c r="F2142">
        <v>209</v>
      </c>
      <c r="G2142">
        <v>515</v>
      </c>
      <c r="H2142">
        <v>37.097799999999999</v>
      </c>
    </row>
    <row r="2143" spans="1:8" x14ac:dyDescent="0.25">
      <c r="A2143">
        <v>14808031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10</v>
      </c>
      <c r="H2143">
        <v>0</v>
      </c>
    </row>
    <row r="2144" spans="1:8" x14ac:dyDescent="0.25">
      <c r="A2144">
        <v>14808032</v>
      </c>
      <c r="B2144">
        <v>0</v>
      </c>
      <c r="C2144">
        <v>0</v>
      </c>
      <c r="D2144">
        <v>0</v>
      </c>
      <c r="E2144">
        <v>0</v>
      </c>
      <c r="F2144">
        <v>5</v>
      </c>
      <c r="G2144">
        <v>44</v>
      </c>
      <c r="H2144">
        <v>0</v>
      </c>
    </row>
    <row r="2145" spans="1:8" x14ac:dyDescent="0.25">
      <c r="A2145">
        <v>14808033</v>
      </c>
      <c r="B2145">
        <v>160</v>
      </c>
      <c r="C2145">
        <v>60</v>
      </c>
      <c r="D2145">
        <v>21</v>
      </c>
      <c r="E2145">
        <v>107</v>
      </c>
      <c r="F2145">
        <v>293</v>
      </c>
      <c r="G2145">
        <v>616</v>
      </c>
      <c r="H2145">
        <v>54.504300000000001</v>
      </c>
    </row>
    <row r="2146" spans="1:8" x14ac:dyDescent="0.25">
      <c r="A2146">
        <v>14808034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7</v>
      </c>
      <c r="H2146">
        <v>0</v>
      </c>
    </row>
    <row r="2147" spans="1:8" x14ac:dyDescent="0.25">
      <c r="A2147">
        <v>14808035</v>
      </c>
      <c r="B2147">
        <v>19</v>
      </c>
      <c r="C2147">
        <v>0</v>
      </c>
      <c r="D2147">
        <v>0</v>
      </c>
      <c r="E2147">
        <v>0</v>
      </c>
      <c r="F2147">
        <v>2</v>
      </c>
      <c r="G2147">
        <v>11</v>
      </c>
      <c r="H2147">
        <v>0</v>
      </c>
    </row>
    <row r="2148" spans="1:8" x14ac:dyDescent="0.25">
      <c r="A2148">
        <v>14809057</v>
      </c>
      <c r="B2148">
        <v>1</v>
      </c>
      <c r="C2148">
        <v>0</v>
      </c>
      <c r="D2148">
        <v>0</v>
      </c>
      <c r="E2148">
        <v>0</v>
      </c>
      <c r="F2148">
        <v>0</v>
      </c>
      <c r="G2148">
        <v>2</v>
      </c>
      <c r="H2148">
        <v>0</v>
      </c>
    </row>
    <row r="2149" spans="1:8" x14ac:dyDescent="0.25">
      <c r="A2149">
        <v>14809063</v>
      </c>
      <c r="B2149">
        <v>3</v>
      </c>
      <c r="C2149">
        <v>0</v>
      </c>
      <c r="D2149">
        <v>0</v>
      </c>
      <c r="E2149">
        <v>0</v>
      </c>
      <c r="F2149">
        <v>1</v>
      </c>
      <c r="G2149">
        <v>3</v>
      </c>
      <c r="H2149">
        <v>0</v>
      </c>
    </row>
    <row r="2150" spans="1:8" x14ac:dyDescent="0.25">
      <c r="A2150">
        <v>14809064</v>
      </c>
      <c r="B2150">
        <v>1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</row>
    <row r="2151" spans="1:8" x14ac:dyDescent="0.25">
      <c r="A2151">
        <v>14809065</v>
      </c>
      <c r="B2151">
        <v>144</v>
      </c>
      <c r="C2151">
        <v>1</v>
      </c>
      <c r="D2151">
        <v>7</v>
      </c>
      <c r="E2151">
        <v>27</v>
      </c>
      <c r="F2151">
        <v>98</v>
      </c>
      <c r="G2151">
        <v>238</v>
      </c>
      <c r="H2151">
        <v>58.921399999999998</v>
      </c>
    </row>
    <row r="2152" spans="1:8" x14ac:dyDescent="0.25">
      <c r="A2152">
        <v>14811483</v>
      </c>
      <c r="B2152">
        <v>143</v>
      </c>
      <c r="C2152">
        <v>0</v>
      </c>
      <c r="D2152">
        <v>6</v>
      </c>
      <c r="E2152">
        <v>22</v>
      </c>
      <c r="F2152">
        <v>68</v>
      </c>
      <c r="G2152">
        <v>163</v>
      </c>
      <c r="H2152">
        <v>70.790000000000006</v>
      </c>
    </row>
    <row r="2153" spans="1:8" x14ac:dyDescent="0.25">
      <c r="A2153">
        <v>14811484</v>
      </c>
      <c r="B2153">
        <v>92</v>
      </c>
      <c r="C2153">
        <v>0</v>
      </c>
      <c r="D2153">
        <v>1</v>
      </c>
      <c r="E2153">
        <v>8</v>
      </c>
      <c r="F2153">
        <v>20</v>
      </c>
      <c r="G2153">
        <v>61</v>
      </c>
      <c r="H2153">
        <v>64.989999999999995</v>
      </c>
    </row>
    <row r="2154" spans="1:8" x14ac:dyDescent="0.25">
      <c r="A2154">
        <v>14811489</v>
      </c>
      <c r="B2154">
        <v>28</v>
      </c>
      <c r="C2154">
        <v>0</v>
      </c>
      <c r="D2154">
        <v>1</v>
      </c>
      <c r="E2154">
        <v>3</v>
      </c>
      <c r="F2154">
        <v>18</v>
      </c>
      <c r="G2154">
        <v>137</v>
      </c>
      <c r="H2154">
        <v>29.99</v>
      </c>
    </row>
    <row r="2155" spans="1:8" x14ac:dyDescent="0.25">
      <c r="A2155">
        <v>14814653</v>
      </c>
      <c r="B2155">
        <v>366</v>
      </c>
      <c r="C2155">
        <v>20</v>
      </c>
      <c r="D2155">
        <v>10</v>
      </c>
      <c r="E2155">
        <v>37</v>
      </c>
      <c r="F2155">
        <v>92</v>
      </c>
      <c r="G2155">
        <v>462</v>
      </c>
      <c r="H2155">
        <v>627.62699999999995</v>
      </c>
    </row>
    <row r="2156" spans="1:8" x14ac:dyDescent="0.25">
      <c r="A2156">
        <v>14824083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1</v>
      </c>
      <c r="H2156">
        <v>0</v>
      </c>
    </row>
    <row r="2157" spans="1:8" x14ac:dyDescent="0.25">
      <c r="A2157">
        <v>14827428</v>
      </c>
      <c r="B2157">
        <v>53</v>
      </c>
      <c r="C2157">
        <v>36</v>
      </c>
      <c r="D2157">
        <v>5</v>
      </c>
      <c r="E2157">
        <v>19</v>
      </c>
      <c r="F2157">
        <v>50</v>
      </c>
      <c r="G2157">
        <v>114</v>
      </c>
      <c r="H2157">
        <v>31.012</v>
      </c>
    </row>
    <row r="2158" spans="1:8" x14ac:dyDescent="0.25">
      <c r="A2158">
        <v>14827429</v>
      </c>
      <c r="B2158">
        <v>30</v>
      </c>
      <c r="C2158">
        <v>18</v>
      </c>
      <c r="D2158">
        <v>3</v>
      </c>
      <c r="E2158">
        <v>12</v>
      </c>
      <c r="F2158">
        <v>48</v>
      </c>
      <c r="G2158">
        <v>102</v>
      </c>
      <c r="H2158">
        <v>43.106699999999996</v>
      </c>
    </row>
    <row r="2159" spans="1:8" x14ac:dyDescent="0.25">
      <c r="A2159">
        <v>14828749</v>
      </c>
      <c r="B2159">
        <v>164</v>
      </c>
      <c r="C2159">
        <v>36</v>
      </c>
      <c r="D2159">
        <v>7</v>
      </c>
      <c r="E2159">
        <v>38</v>
      </c>
      <c r="F2159">
        <v>107</v>
      </c>
      <c r="G2159">
        <v>364</v>
      </c>
      <c r="H2159">
        <v>224.49709999999999</v>
      </c>
    </row>
    <row r="2160" spans="1:8" x14ac:dyDescent="0.25">
      <c r="A2160">
        <v>14828750</v>
      </c>
      <c r="B2160">
        <v>55</v>
      </c>
      <c r="C2160">
        <v>11</v>
      </c>
      <c r="D2160">
        <v>6</v>
      </c>
      <c r="E2160">
        <v>21</v>
      </c>
      <c r="F2160">
        <v>40</v>
      </c>
      <c r="G2160">
        <v>90</v>
      </c>
      <c r="H2160">
        <v>480.44670000000002</v>
      </c>
    </row>
    <row r="2161" spans="1:8" x14ac:dyDescent="0.25">
      <c r="A2161">
        <v>14834651</v>
      </c>
      <c r="B2161">
        <v>-2</v>
      </c>
      <c r="C2161">
        <v>0</v>
      </c>
      <c r="D2161">
        <v>0</v>
      </c>
      <c r="E2161">
        <v>0</v>
      </c>
      <c r="F2161">
        <v>0</v>
      </c>
      <c r="G2161">
        <v>2</v>
      </c>
      <c r="H2161">
        <v>0</v>
      </c>
    </row>
    <row r="2162" spans="1:8" x14ac:dyDescent="0.25">
      <c r="A2162">
        <v>14834653</v>
      </c>
      <c r="B2162">
        <v>8</v>
      </c>
      <c r="C2162">
        <v>0</v>
      </c>
      <c r="D2162">
        <v>0</v>
      </c>
      <c r="E2162">
        <v>0</v>
      </c>
      <c r="F2162">
        <v>13</v>
      </c>
      <c r="G2162">
        <v>98</v>
      </c>
      <c r="H2162">
        <v>0</v>
      </c>
    </row>
    <row r="2163" spans="1:8" x14ac:dyDescent="0.25">
      <c r="A2163">
        <v>14834654</v>
      </c>
      <c r="B2163">
        <v>-5</v>
      </c>
      <c r="C2163">
        <v>0</v>
      </c>
      <c r="D2163">
        <v>0</v>
      </c>
      <c r="E2163">
        <v>0</v>
      </c>
      <c r="F2163">
        <v>3</v>
      </c>
      <c r="G2163">
        <v>27</v>
      </c>
      <c r="H2163">
        <v>0</v>
      </c>
    </row>
    <row r="2164" spans="1:8" x14ac:dyDescent="0.25">
      <c r="A2164">
        <v>14834655</v>
      </c>
      <c r="B2164">
        <v>-1</v>
      </c>
      <c r="C2164">
        <v>0</v>
      </c>
      <c r="D2164">
        <v>0</v>
      </c>
      <c r="E2164">
        <v>0</v>
      </c>
      <c r="F2164">
        <v>3</v>
      </c>
      <c r="G2164">
        <v>30</v>
      </c>
      <c r="H2164">
        <v>0</v>
      </c>
    </row>
    <row r="2165" spans="1:8" x14ac:dyDescent="0.25">
      <c r="A2165">
        <v>14834656</v>
      </c>
      <c r="B2165">
        <v>1</v>
      </c>
      <c r="C2165">
        <v>0</v>
      </c>
      <c r="D2165">
        <v>0</v>
      </c>
      <c r="E2165">
        <v>0</v>
      </c>
      <c r="F2165">
        <v>3</v>
      </c>
      <c r="G2165">
        <v>20</v>
      </c>
      <c r="H2165">
        <v>0</v>
      </c>
    </row>
    <row r="2166" spans="1:8" x14ac:dyDescent="0.25">
      <c r="A2166">
        <v>14834657</v>
      </c>
      <c r="B2166">
        <v>13</v>
      </c>
      <c r="C2166">
        <v>0</v>
      </c>
      <c r="D2166">
        <v>0</v>
      </c>
      <c r="E2166">
        <v>0</v>
      </c>
      <c r="F2166">
        <v>9</v>
      </c>
      <c r="G2166">
        <v>94</v>
      </c>
      <c r="H2166">
        <v>0</v>
      </c>
    </row>
    <row r="2167" spans="1:8" x14ac:dyDescent="0.25">
      <c r="A2167">
        <v>14834658</v>
      </c>
      <c r="B2167">
        <v>1</v>
      </c>
      <c r="C2167">
        <v>0</v>
      </c>
      <c r="D2167">
        <v>0</v>
      </c>
      <c r="E2167">
        <v>0</v>
      </c>
      <c r="F2167">
        <v>2</v>
      </c>
      <c r="G2167">
        <v>20</v>
      </c>
      <c r="H2167">
        <v>0</v>
      </c>
    </row>
    <row r="2168" spans="1:8" x14ac:dyDescent="0.25">
      <c r="A2168">
        <v>14834659</v>
      </c>
      <c r="B2168">
        <v>4</v>
      </c>
      <c r="C2168">
        <v>0</v>
      </c>
      <c r="D2168">
        <v>0</v>
      </c>
      <c r="E2168">
        <v>0</v>
      </c>
      <c r="F2168">
        <v>2</v>
      </c>
      <c r="G2168">
        <v>29</v>
      </c>
      <c r="H2168">
        <v>0</v>
      </c>
    </row>
    <row r="2169" spans="1:8" x14ac:dyDescent="0.25">
      <c r="A2169">
        <v>14834660</v>
      </c>
      <c r="B2169">
        <v>7</v>
      </c>
      <c r="C2169">
        <v>0</v>
      </c>
      <c r="D2169">
        <v>0</v>
      </c>
      <c r="E2169">
        <v>0</v>
      </c>
      <c r="F2169">
        <v>5</v>
      </c>
      <c r="G2169">
        <v>23</v>
      </c>
      <c r="H2169">
        <v>0</v>
      </c>
    </row>
    <row r="2170" spans="1:8" x14ac:dyDescent="0.25">
      <c r="A2170">
        <v>14837364</v>
      </c>
      <c r="B2170">
        <v>20</v>
      </c>
      <c r="C2170">
        <v>0</v>
      </c>
      <c r="D2170">
        <v>1</v>
      </c>
      <c r="E2170">
        <v>6</v>
      </c>
      <c r="F2170">
        <v>12</v>
      </c>
      <c r="G2170">
        <v>36</v>
      </c>
      <c r="H2170">
        <v>9.9700000000000006</v>
      </c>
    </row>
    <row r="2171" spans="1:8" x14ac:dyDescent="0.25">
      <c r="A2171">
        <v>14837365</v>
      </c>
      <c r="B2171">
        <v>0</v>
      </c>
      <c r="C2171">
        <v>0</v>
      </c>
      <c r="D2171">
        <v>0</v>
      </c>
      <c r="E2171">
        <v>0</v>
      </c>
      <c r="F2171">
        <v>3</v>
      </c>
      <c r="G2171">
        <v>6</v>
      </c>
      <c r="H2171">
        <v>0</v>
      </c>
    </row>
    <row r="2172" spans="1:8" x14ac:dyDescent="0.25">
      <c r="A2172">
        <v>14841105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</row>
    <row r="2173" spans="1:8" x14ac:dyDescent="0.25">
      <c r="A2173">
        <v>14841418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14</v>
      </c>
      <c r="H2173">
        <v>0</v>
      </c>
    </row>
    <row r="2174" spans="1:8" x14ac:dyDescent="0.25">
      <c r="A2174">
        <v>14841419</v>
      </c>
      <c r="B2174">
        <v>3</v>
      </c>
      <c r="C2174">
        <v>0</v>
      </c>
      <c r="D2174">
        <v>1</v>
      </c>
      <c r="E2174">
        <v>5</v>
      </c>
      <c r="F2174">
        <v>58</v>
      </c>
      <c r="G2174">
        <v>195</v>
      </c>
      <c r="H2174">
        <v>88.49</v>
      </c>
    </row>
    <row r="2175" spans="1:8" x14ac:dyDescent="0.25">
      <c r="A2175">
        <v>14841421</v>
      </c>
      <c r="B2175">
        <v>12</v>
      </c>
      <c r="C2175">
        <v>0</v>
      </c>
      <c r="D2175">
        <v>0</v>
      </c>
      <c r="E2175">
        <v>0</v>
      </c>
      <c r="F2175">
        <v>2</v>
      </c>
      <c r="G2175">
        <v>30</v>
      </c>
      <c r="H2175">
        <v>0</v>
      </c>
    </row>
    <row r="2176" spans="1:8" x14ac:dyDescent="0.25">
      <c r="A2176">
        <v>14841516</v>
      </c>
      <c r="B2176">
        <v>10</v>
      </c>
      <c r="C2176">
        <v>0</v>
      </c>
      <c r="D2176">
        <v>0</v>
      </c>
      <c r="E2176">
        <v>7</v>
      </c>
      <c r="F2176">
        <v>101</v>
      </c>
      <c r="G2176">
        <v>169</v>
      </c>
      <c r="H2176">
        <v>0</v>
      </c>
    </row>
    <row r="2177" spans="1:8" x14ac:dyDescent="0.25">
      <c r="A2177">
        <v>14843453</v>
      </c>
      <c r="B2177">
        <v>530</v>
      </c>
      <c r="C2177">
        <v>7</v>
      </c>
      <c r="D2177">
        <v>24</v>
      </c>
      <c r="E2177">
        <v>69</v>
      </c>
      <c r="F2177">
        <v>230</v>
      </c>
      <c r="G2177">
        <v>1165</v>
      </c>
      <c r="H2177">
        <v>260.0992</v>
      </c>
    </row>
    <row r="2178" spans="1:8" x14ac:dyDescent="0.25">
      <c r="A2178">
        <v>14843454</v>
      </c>
      <c r="B2178">
        <v>410</v>
      </c>
      <c r="C2178">
        <v>3</v>
      </c>
      <c r="D2178">
        <v>10</v>
      </c>
      <c r="E2178">
        <v>34</v>
      </c>
      <c r="F2178">
        <v>108</v>
      </c>
      <c r="G2178">
        <v>627</v>
      </c>
      <c r="H2178">
        <v>322</v>
      </c>
    </row>
    <row r="2179" spans="1:8" x14ac:dyDescent="0.25">
      <c r="A2179">
        <v>14843455</v>
      </c>
      <c r="B2179">
        <v>129</v>
      </c>
      <c r="C2179">
        <v>11</v>
      </c>
      <c r="D2179">
        <v>5</v>
      </c>
      <c r="E2179">
        <v>17</v>
      </c>
      <c r="F2179">
        <v>63</v>
      </c>
      <c r="G2179">
        <v>327</v>
      </c>
      <c r="H2179">
        <v>202.78399999999999</v>
      </c>
    </row>
    <row r="2180" spans="1:8" x14ac:dyDescent="0.25">
      <c r="A2180">
        <v>14843456</v>
      </c>
      <c r="B2180">
        <v>91</v>
      </c>
      <c r="C2180">
        <v>8</v>
      </c>
      <c r="D2180">
        <v>5</v>
      </c>
      <c r="E2180">
        <v>17</v>
      </c>
      <c r="F2180">
        <v>70</v>
      </c>
      <c r="G2180">
        <v>237</v>
      </c>
      <c r="H2180">
        <v>271.38</v>
      </c>
    </row>
    <row r="2181" spans="1:8" x14ac:dyDescent="0.25">
      <c r="A2181">
        <v>14847573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</row>
    <row r="2182" spans="1:8" x14ac:dyDescent="0.25">
      <c r="A2182">
        <v>14847599</v>
      </c>
      <c r="B2182">
        <v>6</v>
      </c>
      <c r="C2182">
        <v>0</v>
      </c>
      <c r="D2182">
        <v>0</v>
      </c>
      <c r="E2182">
        <v>0</v>
      </c>
      <c r="F2182">
        <v>3</v>
      </c>
      <c r="G2182">
        <v>6</v>
      </c>
      <c r="H2182">
        <v>0</v>
      </c>
    </row>
    <row r="2183" spans="1:8" x14ac:dyDescent="0.25">
      <c r="A2183">
        <v>14847600</v>
      </c>
      <c r="B2183">
        <v>6</v>
      </c>
      <c r="C2183">
        <v>0</v>
      </c>
      <c r="D2183">
        <v>0</v>
      </c>
      <c r="E2183">
        <v>0</v>
      </c>
      <c r="F2183">
        <v>1</v>
      </c>
      <c r="G2183">
        <v>4</v>
      </c>
      <c r="H2183">
        <v>0</v>
      </c>
    </row>
    <row r="2184" spans="1:8" x14ac:dyDescent="0.25">
      <c r="A2184">
        <v>14847601</v>
      </c>
      <c r="B2184">
        <v>1</v>
      </c>
      <c r="C2184">
        <v>0</v>
      </c>
      <c r="D2184">
        <v>0</v>
      </c>
      <c r="E2184">
        <v>0</v>
      </c>
      <c r="F2184">
        <v>3</v>
      </c>
      <c r="G2184">
        <v>11</v>
      </c>
      <c r="H2184">
        <v>0</v>
      </c>
    </row>
    <row r="2185" spans="1:8" x14ac:dyDescent="0.25">
      <c r="A2185">
        <v>14847606</v>
      </c>
      <c r="B2185">
        <v>11</v>
      </c>
      <c r="C2185">
        <v>0</v>
      </c>
      <c r="D2185">
        <v>1</v>
      </c>
      <c r="E2185">
        <v>3</v>
      </c>
      <c r="F2185">
        <v>5</v>
      </c>
      <c r="G2185">
        <v>16</v>
      </c>
      <c r="H2185">
        <v>139.99</v>
      </c>
    </row>
    <row r="2186" spans="1:8" x14ac:dyDescent="0.25">
      <c r="A2186">
        <v>14847607</v>
      </c>
      <c r="B2186">
        <v>16</v>
      </c>
      <c r="C2186">
        <v>0</v>
      </c>
      <c r="D2186">
        <v>0</v>
      </c>
      <c r="E2186">
        <v>0</v>
      </c>
      <c r="F2186">
        <v>1</v>
      </c>
      <c r="G2186">
        <v>3</v>
      </c>
      <c r="H2186">
        <v>0</v>
      </c>
    </row>
    <row r="2187" spans="1:8" x14ac:dyDescent="0.25">
      <c r="A2187">
        <v>14855612</v>
      </c>
      <c r="B2187">
        <v>0</v>
      </c>
      <c r="C2187">
        <v>0</v>
      </c>
      <c r="D2187">
        <v>4</v>
      </c>
      <c r="E2187">
        <v>7</v>
      </c>
      <c r="F2187">
        <v>13</v>
      </c>
      <c r="G2187">
        <v>45</v>
      </c>
      <c r="H2187">
        <v>9.82</v>
      </c>
    </row>
    <row r="2188" spans="1:8" x14ac:dyDescent="0.25">
      <c r="A2188">
        <v>14855613</v>
      </c>
      <c r="B2188">
        <v>-1</v>
      </c>
      <c r="C2188">
        <v>0</v>
      </c>
      <c r="D2188">
        <v>0</v>
      </c>
      <c r="E2188">
        <v>0</v>
      </c>
      <c r="F2188">
        <v>4</v>
      </c>
      <c r="G2188">
        <v>38</v>
      </c>
      <c r="H2188">
        <v>0</v>
      </c>
    </row>
    <row r="2189" spans="1:8" x14ac:dyDescent="0.25">
      <c r="A2189">
        <v>14855835</v>
      </c>
      <c r="B2189">
        <v>0</v>
      </c>
      <c r="C2189">
        <v>0</v>
      </c>
      <c r="D2189">
        <v>0</v>
      </c>
      <c r="E2189">
        <v>0</v>
      </c>
      <c r="F2189">
        <v>4</v>
      </c>
      <c r="G2189">
        <v>27</v>
      </c>
      <c r="H2189">
        <v>0</v>
      </c>
    </row>
    <row r="2190" spans="1:8" x14ac:dyDescent="0.25">
      <c r="A2190">
        <v>14862298</v>
      </c>
      <c r="B2190">
        <v>15</v>
      </c>
      <c r="C2190">
        <v>0</v>
      </c>
      <c r="D2190">
        <v>0</v>
      </c>
      <c r="E2190">
        <v>1</v>
      </c>
      <c r="F2190">
        <v>4</v>
      </c>
      <c r="G2190">
        <v>5</v>
      </c>
      <c r="H2190">
        <v>0</v>
      </c>
    </row>
    <row r="2191" spans="1:8" x14ac:dyDescent="0.25">
      <c r="A2191">
        <v>14862313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</row>
    <row r="2192" spans="1:8" x14ac:dyDescent="0.25">
      <c r="A2192">
        <v>14867593</v>
      </c>
      <c r="B2192">
        <v>1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</row>
    <row r="2193" spans="1:8" x14ac:dyDescent="0.25">
      <c r="A2193">
        <v>14867594</v>
      </c>
      <c r="B2193">
        <v>0</v>
      </c>
      <c r="C2193">
        <v>0</v>
      </c>
      <c r="D2193">
        <v>0</v>
      </c>
      <c r="E2193">
        <v>0</v>
      </c>
      <c r="F2193">
        <v>2</v>
      </c>
      <c r="G2193">
        <v>3</v>
      </c>
      <c r="H2193">
        <v>0</v>
      </c>
    </row>
    <row r="2194" spans="1:8" x14ac:dyDescent="0.25">
      <c r="A2194">
        <v>14872613</v>
      </c>
      <c r="B2194">
        <v>2</v>
      </c>
      <c r="C2194">
        <v>0</v>
      </c>
      <c r="D2194">
        <v>1</v>
      </c>
      <c r="E2194">
        <v>1</v>
      </c>
      <c r="F2194">
        <v>3</v>
      </c>
      <c r="G2194">
        <v>8</v>
      </c>
      <c r="H2194">
        <v>79.989999999999995</v>
      </c>
    </row>
    <row r="2195" spans="1:8" x14ac:dyDescent="0.25">
      <c r="A2195">
        <v>14872615</v>
      </c>
      <c r="B2195">
        <v>22</v>
      </c>
      <c r="C2195">
        <v>0</v>
      </c>
      <c r="D2195">
        <v>0</v>
      </c>
      <c r="E2195">
        <v>0</v>
      </c>
      <c r="F2195">
        <v>0</v>
      </c>
      <c r="G2195">
        <v>14</v>
      </c>
      <c r="H2195">
        <v>0</v>
      </c>
    </row>
    <row r="2196" spans="1:8" x14ac:dyDescent="0.25">
      <c r="A2196">
        <v>14872619</v>
      </c>
      <c r="B2196">
        <v>1</v>
      </c>
      <c r="C2196">
        <v>0</v>
      </c>
      <c r="D2196">
        <v>0</v>
      </c>
      <c r="E2196">
        <v>0</v>
      </c>
      <c r="F2196">
        <v>0</v>
      </c>
      <c r="G2196">
        <v>3</v>
      </c>
      <c r="H2196">
        <v>0</v>
      </c>
    </row>
    <row r="2197" spans="1:8" x14ac:dyDescent="0.25">
      <c r="A2197">
        <v>14872620</v>
      </c>
      <c r="B2197">
        <v>611</v>
      </c>
      <c r="C2197">
        <v>292</v>
      </c>
      <c r="D2197">
        <v>95</v>
      </c>
      <c r="E2197">
        <v>399</v>
      </c>
      <c r="F2197">
        <v>1222</v>
      </c>
      <c r="G2197">
        <v>2437</v>
      </c>
      <c r="H2197">
        <v>29.365200000000002</v>
      </c>
    </row>
    <row r="2198" spans="1:8" x14ac:dyDescent="0.25">
      <c r="A2198">
        <v>14872621</v>
      </c>
      <c r="B2198">
        <v>370</v>
      </c>
      <c r="C2198">
        <v>32</v>
      </c>
      <c r="D2198">
        <v>16</v>
      </c>
      <c r="E2198">
        <v>59</v>
      </c>
      <c r="F2198">
        <v>179</v>
      </c>
      <c r="G2198">
        <v>414</v>
      </c>
      <c r="H2198">
        <v>89.99</v>
      </c>
    </row>
    <row r="2199" spans="1:8" x14ac:dyDescent="0.25">
      <c r="A2199">
        <v>14874149</v>
      </c>
      <c r="B2199">
        <v>8</v>
      </c>
      <c r="C2199">
        <v>0</v>
      </c>
      <c r="D2199">
        <v>0</v>
      </c>
      <c r="E2199">
        <v>0</v>
      </c>
      <c r="F2199">
        <v>35</v>
      </c>
      <c r="G2199">
        <v>55</v>
      </c>
      <c r="H2199">
        <v>0</v>
      </c>
    </row>
    <row r="2200" spans="1:8" x14ac:dyDescent="0.25">
      <c r="A2200">
        <v>14874152</v>
      </c>
      <c r="B2200">
        <v>0</v>
      </c>
      <c r="C2200">
        <v>0</v>
      </c>
      <c r="D2200">
        <v>0</v>
      </c>
      <c r="E2200">
        <v>0</v>
      </c>
      <c r="F2200">
        <v>1</v>
      </c>
      <c r="G2200">
        <v>8</v>
      </c>
      <c r="H2200">
        <v>0</v>
      </c>
    </row>
    <row r="2201" spans="1:8" x14ac:dyDescent="0.25">
      <c r="A2201">
        <v>14874186</v>
      </c>
      <c r="B2201">
        <v>-1</v>
      </c>
      <c r="C2201">
        <v>0</v>
      </c>
      <c r="D2201">
        <v>0</v>
      </c>
      <c r="E2201">
        <v>0</v>
      </c>
      <c r="F2201">
        <v>9</v>
      </c>
      <c r="G2201">
        <v>13</v>
      </c>
      <c r="H2201">
        <v>0</v>
      </c>
    </row>
    <row r="2202" spans="1:8" x14ac:dyDescent="0.25">
      <c r="A2202">
        <v>14875831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</row>
    <row r="2203" spans="1:8" x14ac:dyDescent="0.25">
      <c r="A2203">
        <v>14875833</v>
      </c>
      <c r="B2203">
        <v>-1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</row>
    <row r="2204" spans="1:8" x14ac:dyDescent="0.25">
      <c r="A2204">
        <v>14877995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1</v>
      </c>
      <c r="H2204">
        <v>0</v>
      </c>
    </row>
    <row r="2205" spans="1:8" x14ac:dyDescent="0.25">
      <c r="A2205">
        <v>14879388</v>
      </c>
      <c r="B2205">
        <v>39</v>
      </c>
      <c r="C2205">
        <v>0</v>
      </c>
      <c r="D2205">
        <v>2</v>
      </c>
      <c r="E2205">
        <v>5</v>
      </c>
      <c r="F2205">
        <v>17</v>
      </c>
      <c r="G2205">
        <v>33</v>
      </c>
      <c r="H2205">
        <v>49.99</v>
      </c>
    </row>
    <row r="2206" spans="1:8" x14ac:dyDescent="0.25">
      <c r="A2206">
        <v>14879389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3</v>
      </c>
      <c r="H2206">
        <v>0</v>
      </c>
    </row>
    <row r="2207" spans="1:8" x14ac:dyDescent="0.25">
      <c r="A2207">
        <v>14879390</v>
      </c>
      <c r="B2207">
        <v>0</v>
      </c>
      <c r="C2207">
        <v>0</v>
      </c>
      <c r="D2207">
        <v>0</v>
      </c>
      <c r="E2207">
        <v>0</v>
      </c>
      <c r="F2207">
        <v>1</v>
      </c>
      <c r="G2207">
        <v>1</v>
      </c>
      <c r="H2207">
        <v>0</v>
      </c>
    </row>
    <row r="2208" spans="1:8" x14ac:dyDescent="0.25">
      <c r="A2208">
        <v>14879394</v>
      </c>
      <c r="B2208">
        <v>719</v>
      </c>
      <c r="C2208">
        <v>111</v>
      </c>
      <c r="D2208">
        <v>52</v>
      </c>
      <c r="E2208">
        <v>190</v>
      </c>
      <c r="F2208">
        <v>607</v>
      </c>
      <c r="G2208">
        <v>1646</v>
      </c>
      <c r="H2208">
        <v>36.241199999999999</v>
      </c>
    </row>
    <row r="2209" spans="1:8" x14ac:dyDescent="0.25">
      <c r="A2209">
        <v>14880263</v>
      </c>
      <c r="B2209">
        <v>-2</v>
      </c>
      <c r="C2209">
        <v>0</v>
      </c>
      <c r="D2209">
        <v>0</v>
      </c>
      <c r="E2209">
        <v>1</v>
      </c>
      <c r="F2209">
        <v>5</v>
      </c>
      <c r="G2209">
        <v>29</v>
      </c>
      <c r="H2209">
        <v>0</v>
      </c>
    </row>
    <row r="2210" spans="1:8" x14ac:dyDescent="0.25">
      <c r="A2210">
        <v>14880264</v>
      </c>
      <c r="B2210">
        <v>22</v>
      </c>
      <c r="C2210">
        <v>0</v>
      </c>
      <c r="D2210">
        <v>2</v>
      </c>
      <c r="E2210">
        <v>3</v>
      </c>
      <c r="F2210">
        <v>19</v>
      </c>
      <c r="G2210">
        <v>76</v>
      </c>
      <c r="H2210">
        <v>4.97</v>
      </c>
    </row>
    <row r="2211" spans="1:8" x14ac:dyDescent="0.25">
      <c r="A2211">
        <v>14880265</v>
      </c>
      <c r="B2211">
        <v>54</v>
      </c>
      <c r="C2211">
        <v>0</v>
      </c>
      <c r="D2211">
        <v>1</v>
      </c>
      <c r="E2211">
        <v>7</v>
      </c>
      <c r="F2211">
        <v>49</v>
      </c>
      <c r="G2211">
        <v>159</v>
      </c>
      <c r="H2211">
        <v>4.97</v>
      </c>
    </row>
    <row r="2212" spans="1:8" x14ac:dyDescent="0.25">
      <c r="A2212">
        <v>14880266</v>
      </c>
      <c r="B2212">
        <v>59</v>
      </c>
      <c r="C2212">
        <v>0</v>
      </c>
      <c r="D2212">
        <v>2</v>
      </c>
      <c r="E2212">
        <v>8</v>
      </c>
      <c r="F2212">
        <v>38</v>
      </c>
      <c r="G2212">
        <v>86</v>
      </c>
      <c r="H2212">
        <v>2.97</v>
      </c>
    </row>
    <row r="2213" spans="1:8" x14ac:dyDescent="0.25">
      <c r="A2213">
        <v>14880267</v>
      </c>
      <c r="B2213">
        <v>10</v>
      </c>
      <c r="C2213">
        <v>0</v>
      </c>
      <c r="D2213">
        <v>1</v>
      </c>
      <c r="E2213">
        <v>7</v>
      </c>
      <c r="F2213">
        <v>24</v>
      </c>
      <c r="G2213">
        <v>99</v>
      </c>
      <c r="H2213">
        <v>4.97</v>
      </c>
    </row>
    <row r="2214" spans="1:8" x14ac:dyDescent="0.25">
      <c r="A2214">
        <v>14884317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</row>
    <row r="2215" spans="1:8" x14ac:dyDescent="0.25">
      <c r="A2215">
        <v>14884824</v>
      </c>
      <c r="B2215">
        <v>28</v>
      </c>
      <c r="C2215">
        <v>0</v>
      </c>
      <c r="D2215">
        <v>0</v>
      </c>
      <c r="E2215">
        <v>2</v>
      </c>
      <c r="F2215">
        <v>17</v>
      </c>
      <c r="G2215">
        <v>50</v>
      </c>
      <c r="H2215">
        <v>0</v>
      </c>
    </row>
    <row r="2216" spans="1:8" x14ac:dyDescent="0.25">
      <c r="A2216">
        <v>14884826</v>
      </c>
      <c r="B2216">
        <v>10</v>
      </c>
      <c r="C2216">
        <v>0</v>
      </c>
      <c r="D2216">
        <v>0</v>
      </c>
      <c r="E2216">
        <v>18</v>
      </c>
      <c r="F2216">
        <v>53</v>
      </c>
      <c r="G2216">
        <v>80</v>
      </c>
      <c r="H2216">
        <v>0</v>
      </c>
    </row>
    <row r="2217" spans="1:8" x14ac:dyDescent="0.25">
      <c r="A2217">
        <v>14884827</v>
      </c>
      <c r="B2217">
        <v>9</v>
      </c>
      <c r="C2217">
        <v>0</v>
      </c>
      <c r="D2217">
        <v>1</v>
      </c>
      <c r="E2217">
        <v>15</v>
      </c>
      <c r="F2217">
        <v>237</v>
      </c>
      <c r="G2217">
        <v>300</v>
      </c>
      <c r="H2217">
        <v>39.97</v>
      </c>
    </row>
    <row r="2218" spans="1:8" x14ac:dyDescent="0.25">
      <c r="A2218">
        <v>14886146</v>
      </c>
      <c r="B2218">
        <v>73</v>
      </c>
      <c r="C2218">
        <v>-3</v>
      </c>
      <c r="D2218">
        <v>3</v>
      </c>
      <c r="E2218">
        <v>10</v>
      </c>
      <c r="F2218">
        <v>45</v>
      </c>
      <c r="G2218">
        <v>91</v>
      </c>
      <c r="H2218">
        <v>764</v>
      </c>
    </row>
    <row r="2219" spans="1:8" x14ac:dyDescent="0.25">
      <c r="A2219">
        <v>14887164</v>
      </c>
      <c r="B2219">
        <v>30</v>
      </c>
      <c r="C2219">
        <v>15</v>
      </c>
      <c r="D2219">
        <v>0</v>
      </c>
      <c r="E2219">
        <v>3</v>
      </c>
      <c r="F2219">
        <v>22</v>
      </c>
      <c r="G2219">
        <v>51</v>
      </c>
      <c r="H2219">
        <v>0</v>
      </c>
    </row>
    <row r="2220" spans="1:8" x14ac:dyDescent="0.25">
      <c r="A2220">
        <v>14887165</v>
      </c>
      <c r="B2220">
        <v>1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</row>
    <row r="2221" spans="1:8" x14ac:dyDescent="0.25">
      <c r="A2221">
        <v>14889770</v>
      </c>
      <c r="B2221">
        <v>2</v>
      </c>
      <c r="C2221">
        <v>0</v>
      </c>
      <c r="D2221">
        <v>0</v>
      </c>
      <c r="E2221">
        <v>0</v>
      </c>
      <c r="F2221">
        <v>4</v>
      </c>
      <c r="G2221">
        <v>10</v>
      </c>
      <c r="H2221">
        <v>0</v>
      </c>
    </row>
    <row r="2222" spans="1:8" x14ac:dyDescent="0.25">
      <c r="A2222">
        <v>14889771</v>
      </c>
      <c r="B2222">
        <v>65</v>
      </c>
      <c r="C2222">
        <v>0</v>
      </c>
      <c r="D2222">
        <v>0</v>
      </c>
      <c r="E2222">
        <v>3</v>
      </c>
      <c r="F2222">
        <v>35</v>
      </c>
      <c r="G2222">
        <v>82</v>
      </c>
      <c r="H2222">
        <v>0</v>
      </c>
    </row>
    <row r="2223" spans="1:8" x14ac:dyDescent="0.25">
      <c r="A2223">
        <v>14891616</v>
      </c>
      <c r="B2223">
        <v>3</v>
      </c>
      <c r="C2223">
        <v>0</v>
      </c>
      <c r="D2223">
        <v>0</v>
      </c>
      <c r="E2223">
        <v>0</v>
      </c>
      <c r="F2223">
        <v>1</v>
      </c>
      <c r="G2223">
        <v>7</v>
      </c>
      <c r="H2223">
        <v>0</v>
      </c>
    </row>
    <row r="2224" spans="1:8" x14ac:dyDescent="0.25">
      <c r="A2224">
        <v>14891617</v>
      </c>
      <c r="B2224">
        <v>28</v>
      </c>
      <c r="C2224">
        <v>0</v>
      </c>
      <c r="D2224">
        <v>0</v>
      </c>
      <c r="E2224">
        <v>8</v>
      </c>
      <c r="F2224">
        <v>27</v>
      </c>
      <c r="G2224">
        <v>117</v>
      </c>
      <c r="H2224">
        <v>0</v>
      </c>
    </row>
    <row r="2225" spans="1:8" x14ac:dyDescent="0.25">
      <c r="A2225">
        <v>14891618</v>
      </c>
      <c r="B2225">
        <v>0</v>
      </c>
      <c r="C2225">
        <v>0</v>
      </c>
      <c r="D2225">
        <v>0</v>
      </c>
      <c r="E2225">
        <v>0</v>
      </c>
      <c r="F2225">
        <v>5</v>
      </c>
      <c r="G2225">
        <v>21</v>
      </c>
      <c r="H2225">
        <v>0</v>
      </c>
    </row>
    <row r="2226" spans="1:8" x14ac:dyDescent="0.25">
      <c r="A2226">
        <v>14891619</v>
      </c>
      <c r="B2226">
        <v>22</v>
      </c>
      <c r="C2226">
        <v>0</v>
      </c>
      <c r="D2226">
        <v>0</v>
      </c>
      <c r="E2226">
        <v>1</v>
      </c>
      <c r="F2226">
        <v>7</v>
      </c>
      <c r="G2226">
        <v>142</v>
      </c>
      <c r="H2226">
        <v>0</v>
      </c>
    </row>
    <row r="2227" spans="1:8" x14ac:dyDescent="0.25">
      <c r="A2227">
        <v>14891620</v>
      </c>
      <c r="B2227">
        <v>1</v>
      </c>
      <c r="C2227">
        <v>0</v>
      </c>
      <c r="D2227">
        <v>0</v>
      </c>
      <c r="E2227">
        <v>0</v>
      </c>
      <c r="F2227">
        <v>0</v>
      </c>
      <c r="G2227">
        <v>7</v>
      </c>
      <c r="H2227">
        <v>0</v>
      </c>
    </row>
    <row r="2228" spans="1:8" x14ac:dyDescent="0.25">
      <c r="A2228">
        <v>14892270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3</v>
      </c>
      <c r="H2228">
        <v>0</v>
      </c>
    </row>
    <row r="2229" spans="1:8" x14ac:dyDescent="0.25">
      <c r="A2229">
        <v>14892623</v>
      </c>
      <c r="B2229">
        <v>177</v>
      </c>
      <c r="C2229">
        <v>0</v>
      </c>
      <c r="D2229">
        <v>1</v>
      </c>
      <c r="E2229">
        <v>16</v>
      </c>
      <c r="F2229">
        <v>79</v>
      </c>
      <c r="G2229">
        <v>231</v>
      </c>
      <c r="H2229">
        <v>349.99</v>
      </c>
    </row>
    <row r="2230" spans="1:8" x14ac:dyDescent="0.25">
      <c r="A2230">
        <v>14893524</v>
      </c>
      <c r="B2230">
        <v>22</v>
      </c>
      <c r="C2230">
        <v>0</v>
      </c>
      <c r="D2230">
        <v>0</v>
      </c>
      <c r="E2230">
        <v>3</v>
      </c>
      <c r="F2230">
        <v>11</v>
      </c>
      <c r="G2230">
        <v>43</v>
      </c>
      <c r="H2230">
        <v>0</v>
      </c>
    </row>
    <row r="2231" spans="1:8" x14ac:dyDescent="0.25">
      <c r="A2231">
        <v>14893525</v>
      </c>
      <c r="B2231">
        <v>1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</row>
    <row r="2232" spans="1:8" x14ac:dyDescent="0.25">
      <c r="A2232">
        <v>14895662</v>
      </c>
      <c r="B2232">
        <v>-2</v>
      </c>
      <c r="C2232">
        <v>0</v>
      </c>
      <c r="D2232">
        <v>0</v>
      </c>
      <c r="E2232">
        <v>0</v>
      </c>
      <c r="F2232">
        <v>10</v>
      </c>
      <c r="G2232">
        <v>41</v>
      </c>
      <c r="H2232">
        <v>0</v>
      </c>
    </row>
    <row r="2233" spans="1:8" x14ac:dyDescent="0.25">
      <c r="A2233">
        <v>14904360</v>
      </c>
      <c r="B2233">
        <v>1</v>
      </c>
      <c r="C2233">
        <v>0</v>
      </c>
      <c r="D2233">
        <v>0</v>
      </c>
      <c r="E2233">
        <v>0</v>
      </c>
      <c r="F2233">
        <v>0</v>
      </c>
      <c r="G2233">
        <v>3</v>
      </c>
      <c r="H2233">
        <v>0</v>
      </c>
    </row>
    <row r="2234" spans="1:8" x14ac:dyDescent="0.25">
      <c r="A2234">
        <v>14904361</v>
      </c>
      <c r="B2234">
        <v>-12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</row>
    <row r="2235" spans="1:8" x14ac:dyDescent="0.25">
      <c r="A2235">
        <v>14905070</v>
      </c>
      <c r="B2235">
        <v>-1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</row>
    <row r="2236" spans="1:8" x14ac:dyDescent="0.25">
      <c r="A2236">
        <v>14905298</v>
      </c>
      <c r="B2236">
        <v>1</v>
      </c>
      <c r="C2236">
        <v>0</v>
      </c>
      <c r="D2236">
        <v>0</v>
      </c>
      <c r="E2236">
        <v>0</v>
      </c>
      <c r="F2236">
        <v>0</v>
      </c>
      <c r="G2236">
        <v>2</v>
      </c>
      <c r="H2236">
        <v>0</v>
      </c>
    </row>
    <row r="2237" spans="1:8" x14ac:dyDescent="0.25">
      <c r="A2237">
        <v>14905299</v>
      </c>
      <c r="B2237">
        <v>185</v>
      </c>
      <c r="C2237">
        <v>114</v>
      </c>
      <c r="D2237">
        <v>18</v>
      </c>
      <c r="E2237">
        <v>93</v>
      </c>
      <c r="F2237">
        <v>318</v>
      </c>
      <c r="G2237">
        <v>1103</v>
      </c>
      <c r="H2237">
        <v>580.45669999999996</v>
      </c>
    </row>
    <row r="2238" spans="1:8" x14ac:dyDescent="0.25">
      <c r="A2238">
        <v>14906846</v>
      </c>
      <c r="B2238">
        <v>0</v>
      </c>
      <c r="C2238">
        <v>0</v>
      </c>
      <c r="D2238">
        <v>0</v>
      </c>
      <c r="E2238">
        <v>0</v>
      </c>
      <c r="F2238">
        <v>3</v>
      </c>
      <c r="G2238">
        <v>18</v>
      </c>
      <c r="H2238">
        <v>0</v>
      </c>
    </row>
    <row r="2239" spans="1:8" x14ac:dyDescent="0.25">
      <c r="A2239">
        <v>14906847</v>
      </c>
      <c r="B2239">
        <v>1</v>
      </c>
      <c r="C2239">
        <v>0</v>
      </c>
      <c r="D2239">
        <v>0</v>
      </c>
      <c r="E2239">
        <v>0</v>
      </c>
      <c r="F2239">
        <v>4</v>
      </c>
      <c r="G2239">
        <v>32</v>
      </c>
      <c r="H2239">
        <v>0</v>
      </c>
    </row>
    <row r="2240" spans="1:8" x14ac:dyDescent="0.25">
      <c r="A2240">
        <v>14906848</v>
      </c>
      <c r="B2240">
        <v>1</v>
      </c>
      <c r="C2240">
        <v>0</v>
      </c>
      <c r="D2240">
        <v>0</v>
      </c>
      <c r="E2240">
        <v>0</v>
      </c>
      <c r="F2240">
        <v>7</v>
      </c>
      <c r="G2240">
        <v>20</v>
      </c>
      <c r="H2240">
        <v>0</v>
      </c>
    </row>
    <row r="2241" spans="1:8" x14ac:dyDescent="0.25">
      <c r="A2241">
        <v>14906849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9</v>
      </c>
      <c r="H2241">
        <v>0</v>
      </c>
    </row>
    <row r="2242" spans="1:8" x14ac:dyDescent="0.25">
      <c r="A2242">
        <v>14907199</v>
      </c>
      <c r="B2242">
        <v>675</v>
      </c>
      <c r="C2242">
        <v>0</v>
      </c>
      <c r="D2242">
        <v>9</v>
      </c>
      <c r="E2242">
        <v>38</v>
      </c>
      <c r="F2242">
        <v>159</v>
      </c>
      <c r="G2242">
        <v>337</v>
      </c>
      <c r="H2242">
        <v>32.264400000000002</v>
      </c>
    </row>
    <row r="2243" spans="1:8" x14ac:dyDescent="0.25">
      <c r="A2243">
        <v>14907200</v>
      </c>
      <c r="B2243">
        <v>946</v>
      </c>
      <c r="C2243">
        <v>51</v>
      </c>
      <c r="D2243">
        <v>19</v>
      </c>
      <c r="E2243">
        <v>93</v>
      </c>
      <c r="F2243">
        <v>328</v>
      </c>
      <c r="G2243">
        <v>631</v>
      </c>
      <c r="H2243">
        <v>39.726799999999997</v>
      </c>
    </row>
    <row r="2244" spans="1:8" x14ac:dyDescent="0.25">
      <c r="A2244">
        <v>14907201</v>
      </c>
      <c r="B2244">
        <v>647</v>
      </c>
      <c r="C2244">
        <v>0</v>
      </c>
      <c r="D2244">
        <v>12</v>
      </c>
      <c r="E2244">
        <v>47</v>
      </c>
      <c r="F2244">
        <v>174</v>
      </c>
      <c r="G2244">
        <v>380</v>
      </c>
      <c r="H2244">
        <v>22.688300000000002</v>
      </c>
    </row>
    <row r="2245" spans="1:8" x14ac:dyDescent="0.25">
      <c r="A2245">
        <v>14907202</v>
      </c>
      <c r="B2245">
        <v>106</v>
      </c>
      <c r="C2245">
        <v>46</v>
      </c>
      <c r="D2245">
        <v>16</v>
      </c>
      <c r="E2245">
        <v>53</v>
      </c>
      <c r="F2245">
        <v>173</v>
      </c>
      <c r="G2245">
        <v>353</v>
      </c>
      <c r="H2245">
        <v>53.055599999999998</v>
      </c>
    </row>
    <row r="2246" spans="1:8" x14ac:dyDescent="0.25">
      <c r="A2246">
        <v>14907203</v>
      </c>
      <c r="B2246">
        <v>123</v>
      </c>
      <c r="C2246">
        <v>20</v>
      </c>
      <c r="D2246">
        <v>5</v>
      </c>
      <c r="E2246">
        <v>40</v>
      </c>
      <c r="F2246">
        <v>141</v>
      </c>
      <c r="G2246">
        <v>291</v>
      </c>
      <c r="H2246">
        <v>99.12</v>
      </c>
    </row>
    <row r="2247" spans="1:8" x14ac:dyDescent="0.25">
      <c r="A2247">
        <v>14907218</v>
      </c>
      <c r="B2247">
        <v>2</v>
      </c>
      <c r="C2247">
        <v>0</v>
      </c>
      <c r="D2247">
        <v>0</v>
      </c>
      <c r="E2247">
        <v>2</v>
      </c>
      <c r="F2247">
        <v>8</v>
      </c>
      <c r="G2247">
        <v>13</v>
      </c>
      <c r="H2247">
        <v>0</v>
      </c>
    </row>
    <row r="2248" spans="1:8" x14ac:dyDescent="0.25">
      <c r="A2248">
        <v>14907219</v>
      </c>
      <c r="B2248">
        <v>3</v>
      </c>
      <c r="C2248">
        <v>0</v>
      </c>
      <c r="D2248">
        <v>0</v>
      </c>
      <c r="E2248">
        <v>2</v>
      </c>
      <c r="F2248">
        <v>17</v>
      </c>
      <c r="G2248">
        <v>45</v>
      </c>
      <c r="H2248">
        <v>0</v>
      </c>
    </row>
    <row r="2249" spans="1:8" x14ac:dyDescent="0.25">
      <c r="A2249">
        <v>14907220</v>
      </c>
      <c r="B2249">
        <v>6</v>
      </c>
      <c r="C2249">
        <v>0</v>
      </c>
      <c r="D2249">
        <v>0</v>
      </c>
      <c r="E2249">
        <v>0</v>
      </c>
      <c r="F2249">
        <v>2</v>
      </c>
      <c r="G2249">
        <v>4</v>
      </c>
      <c r="H2249">
        <v>0</v>
      </c>
    </row>
    <row r="2250" spans="1:8" x14ac:dyDescent="0.25">
      <c r="A2250">
        <v>14907221</v>
      </c>
      <c r="B2250">
        <v>4</v>
      </c>
      <c r="C2250">
        <v>0</v>
      </c>
      <c r="D2250">
        <v>1</v>
      </c>
      <c r="E2250">
        <v>2</v>
      </c>
      <c r="F2250">
        <v>7</v>
      </c>
      <c r="G2250">
        <v>8</v>
      </c>
      <c r="H2250">
        <v>19.989999999999998</v>
      </c>
    </row>
    <row r="2251" spans="1:8" x14ac:dyDescent="0.25">
      <c r="A2251">
        <v>14907222</v>
      </c>
      <c r="B2251">
        <v>20</v>
      </c>
      <c r="C2251">
        <v>0</v>
      </c>
      <c r="D2251">
        <v>1</v>
      </c>
      <c r="E2251">
        <v>2</v>
      </c>
      <c r="F2251">
        <v>9</v>
      </c>
      <c r="G2251">
        <v>24</v>
      </c>
      <c r="H2251">
        <v>2.4900000000000002</v>
      </c>
    </row>
    <row r="2252" spans="1:8" x14ac:dyDescent="0.25">
      <c r="A2252">
        <v>14907223</v>
      </c>
      <c r="B2252">
        <v>5</v>
      </c>
      <c r="C2252">
        <v>0</v>
      </c>
      <c r="D2252">
        <v>0</v>
      </c>
      <c r="E2252">
        <v>0</v>
      </c>
      <c r="F2252">
        <v>3</v>
      </c>
      <c r="G2252">
        <v>8</v>
      </c>
      <c r="H2252">
        <v>0</v>
      </c>
    </row>
    <row r="2253" spans="1:8" x14ac:dyDescent="0.25">
      <c r="A2253">
        <v>14907224</v>
      </c>
      <c r="B2253">
        <v>17</v>
      </c>
      <c r="C2253">
        <v>0</v>
      </c>
      <c r="D2253">
        <v>1</v>
      </c>
      <c r="E2253">
        <v>5</v>
      </c>
      <c r="F2253">
        <v>11</v>
      </c>
      <c r="G2253">
        <v>52</v>
      </c>
      <c r="H2253">
        <v>4.99</v>
      </c>
    </row>
    <row r="2254" spans="1:8" x14ac:dyDescent="0.25">
      <c r="A2254">
        <v>14907225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1</v>
      </c>
      <c r="H2254">
        <v>0</v>
      </c>
    </row>
    <row r="2255" spans="1:8" x14ac:dyDescent="0.25">
      <c r="A2255">
        <v>14908551</v>
      </c>
      <c r="B2255">
        <v>7</v>
      </c>
      <c r="C2255">
        <v>0</v>
      </c>
      <c r="D2255">
        <v>0</v>
      </c>
      <c r="E2255">
        <v>0</v>
      </c>
      <c r="F2255">
        <v>1</v>
      </c>
      <c r="G2255">
        <v>5</v>
      </c>
      <c r="H2255">
        <v>0</v>
      </c>
    </row>
    <row r="2256" spans="1:8" x14ac:dyDescent="0.25">
      <c r="A2256">
        <v>14909100</v>
      </c>
      <c r="B2256">
        <v>0</v>
      </c>
      <c r="C2256">
        <v>0</v>
      </c>
      <c r="D2256">
        <v>0</v>
      </c>
      <c r="E2256">
        <v>2</v>
      </c>
      <c r="F2256">
        <v>2</v>
      </c>
      <c r="G2256">
        <v>2</v>
      </c>
      <c r="H2256">
        <v>0</v>
      </c>
    </row>
    <row r="2257" spans="1:8" x14ac:dyDescent="0.25">
      <c r="A2257">
        <v>14909104</v>
      </c>
      <c r="B2257">
        <v>1</v>
      </c>
      <c r="C2257">
        <v>0</v>
      </c>
      <c r="D2257">
        <v>0</v>
      </c>
      <c r="E2257">
        <v>0</v>
      </c>
      <c r="F2257">
        <v>0</v>
      </c>
      <c r="G2257">
        <v>2</v>
      </c>
      <c r="H2257">
        <v>0</v>
      </c>
    </row>
    <row r="2258" spans="1:8" x14ac:dyDescent="0.25">
      <c r="A2258">
        <v>14909105</v>
      </c>
      <c r="B2258">
        <v>30</v>
      </c>
      <c r="C2258">
        <v>12</v>
      </c>
      <c r="D2258">
        <v>5</v>
      </c>
      <c r="E2258">
        <v>13</v>
      </c>
      <c r="F2258">
        <v>48</v>
      </c>
      <c r="G2258">
        <v>92</v>
      </c>
      <c r="H2258">
        <v>5.99</v>
      </c>
    </row>
    <row r="2259" spans="1:8" x14ac:dyDescent="0.25">
      <c r="A2259">
        <v>14909106</v>
      </c>
      <c r="B2259">
        <v>71</v>
      </c>
      <c r="C2259">
        <v>36</v>
      </c>
      <c r="D2259">
        <v>8</v>
      </c>
      <c r="E2259">
        <v>28</v>
      </c>
      <c r="F2259">
        <v>102</v>
      </c>
      <c r="G2259">
        <v>225</v>
      </c>
      <c r="H2259">
        <v>7.99</v>
      </c>
    </row>
    <row r="2260" spans="1:8" x14ac:dyDescent="0.25">
      <c r="A2260">
        <v>14909107</v>
      </c>
      <c r="B2260">
        <v>0</v>
      </c>
      <c r="C2260">
        <v>24</v>
      </c>
      <c r="D2260">
        <v>4</v>
      </c>
      <c r="E2260">
        <v>17</v>
      </c>
      <c r="F2260">
        <v>53</v>
      </c>
      <c r="G2260">
        <v>101</v>
      </c>
      <c r="H2260">
        <v>7.99</v>
      </c>
    </row>
    <row r="2261" spans="1:8" x14ac:dyDescent="0.25">
      <c r="A2261">
        <v>14909108</v>
      </c>
      <c r="B2261">
        <v>52</v>
      </c>
      <c r="C2261">
        <v>12</v>
      </c>
      <c r="D2261">
        <v>0</v>
      </c>
      <c r="E2261">
        <v>5</v>
      </c>
      <c r="F2261">
        <v>26</v>
      </c>
      <c r="G2261">
        <v>55</v>
      </c>
      <c r="H2261">
        <v>0</v>
      </c>
    </row>
    <row r="2262" spans="1:8" x14ac:dyDescent="0.25">
      <c r="A2262">
        <v>14909109</v>
      </c>
      <c r="B2262">
        <v>32</v>
      </c>
      <c r="C2262">
        <v>0</v>
      </c>
      <c r="D2262">
        <v>1</v>
      </c>
      <c r="E2262">
        <v>5</v>
      </c>
      <c r="F2262">
        <v>24</v>
      </c>
      <c r="G2262">
        <v>43</v>
      </c>
      <c r="H2262">
        <v>7.99</v>
      </c>
    </row>
    <row r="2263" spans="1:8" x14ac:dyDescent="0.25">
      <c r="A2263">
        <v>14909110</v>
      </c>
      <c r="B2263">
        <v>40</v>
      </c>
      <c r="C2263">
        <v>0</v>
      </c>
      <c r="D2263">
        <v>2</v>
      </c>
      <c r="E2263">
        <v>8</v>
      </c>
      <c r="F2263">
        <v>42</v>
      </c>
      <c r="G2263">
        <v>93</v>
      </c>
      <c r="H2263">
        <v>7.99</v>
      </c>
    </row>
    <row r="2264" spans="1:8" x14ac:dyDescent="0.25">
      <c r="A2264">
        <v>14909111</v>
      </c>
      <c r="B2264">
        <v>143</v>
      </c>
      <c r="C2264">
        <v>0</v>
      </c>
      <c r="D2264">
        <v>5</v>
      </c>
      <c r="E2264">
        <v>37</v>
      </c>
      <c r="F2264">
        <v>269</v>
      </c>
      <c r="G2264">
        <v>503</v>
      </c>
      <c r="H2264">
        <v>9.99</v>
      </c>
    </row>
    <row r="2265" spans="1:8" x14ac:dyDescent="0.25">
      <c r="A2265">
        <v>14909112</v>
      </c>
      <c r="B2265">
        <v>443</v>
      </c>
      <c r="C2265">
        <v>48</v>
      </c>
      <c r="D2265">
        <v>26</v>
      </c>
      <c r="E2265">
        <v>87</v>
      </c>
      <c r="F2265">
        <v>452</v>
      </c>
      <c r="G2265">
        <v>687</v>
      </c>
      <c r="H2265">
        <v>10.497299999999999</v>
      </c>
    </row>
    <row r="2266" spans="1:8" x14ac:dyDescent="0.25">
      <c r="A2266">
        <v>14909113</v>
      </c>
      <c r="B2266">
        <v>5</v>
      </c>
      <c r="C2266">
        <v>0</v>
      </c>
      <c r="D2266">
        <v>0</v>
      </c>
      <c r="E2266">
        <v>1</v>
      </c>
      <c r="F2266">
        <v>4</v>
      </c>
      <c r="G2266">
        <v>12</v>
      </c>
      <c r="H2266">
        <v>0</v>
      </c>
    </row>
    <row r="2267" spans="1:8" x14ac:dyDescent="0.25">
      <c r="A2267">
        <v>14909216</v>
      </c>
      <c r="B2267">
        <v>3</v>
      </c>
      <c r="C2267">
        <v>0</v>
      </c>
      <c r="D2267">
        <v>0</v>
      </c>
      <c r="E2267">
        <v>1</v>
      </c>
      <c r="F2267">
        <v>1</v>
      </c>
      <c r="G2267">
        <v>6</v>
      </c>
      <c r="H2267">
        <v>0</v>
      </c>
    </row>
    <row r="2268" spans="1:8" x14ac:dyDescent="0.25">
      <c r="A2268">
        <v>14909217</v>
      </c>
      <c r="B2268">
        <v>5</v>
      </c>
      <c r="C2268">
        <v>0</v>
      </c>
      <c r="D2268">
        <v>0</v>
      </c>
      <c r="E2268">
        <v>3</v>
      </c>
      <c r="F2268">
        <v>7</v>
      </c>
      <c r="G2268">
        <v>20</v>
      </c>
      <c r="H2268">
        <v>0</v>
      </c>
    </row>
    <row r="2269" spans="1:8" x14ac:dyDescent="0.25">
      <c r="A2269">
        <v>14909218</v>
      </c>
      <c r="B2269">
        <v>2</v>
      </c>
      <c r="C2269">
        <v>0</v>
      </c>
      <c r="D2269">
        <v>0</v>
      </c>
      <c r="E2269">
        <v>0</v>
      </c>
      <c r="F2269">
        <v>0</v>
      </c>
      <c r="G2269">
        <v>1</v>
      </c>
      <c r="H2269">
        <v>0</v>
      </c>
    </row>
    <row r="2270" spans="1:8" x14ac:dyDescent="0.25">
      <c r="A2270">
        <v>14909219</v>
      </c>
      <c r="B2270">
        <v>3</v>
      </c>
      <c r="C2270">
        <v>0</v>
      </c>
      <c r="D2270">
        <v>0</v>
      </c>
      <c r="E2270">
        <v>0</v>
      </c>
      <c r="F2270">
        <v>0</v>
      </c>
      <c r="G2270">
        <v>1</v>
      </c>
      <c r="H2270">
        <v>0</v>
      </c>
    </row>
    <row r="2271" spans="1:8" x14ac:dyDescent="0.25">
      <c r="A2271">
        <v>14910468</v>
      </c>
      <c r="B2271">
        <v>1</v>
      </c>
      <c r="C2271">
        <v>0</v>
      </c>
      <c r="D2271">
        <v>0</v>
      </c>
      <c r="E2271">
        <v>0</v>
      </c>
      <c r="F2271">
        <v>1</v>
      </c>
      <c r="G2271">
        <v>4</v>
      </c>
      <c r="H2271">
        <v>0</v>
      </c>
    </row>
    <row r="2272" spans="1:8" x14ac:dyDescent="0.25">
      <c r="A2272">
        <v>14910470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3</v>
      </c>
      <c r="H2272">
        <v>0</v>
      </c>
    </row>
    <row r="2273" spans="1:8" x14ac:dyDescent="0.25">
      <c r="A2273">
        <v>14910472</v>
      </c>
      <c r="B2273">
        <v>11</v>
      </c>
      <c r="C2273">
        <v>0</v>
      </c>
      <c r="D2273">
        <v>0</v>
      </c>
      <c r="E2273">
        <v>3</v>
      </c>
      <c r="F2273">
        <v>10</v>
      </c>
      <c r="G2273">
        <v>21</v>
      </c>
      <c r="H2273">
        <v>0</v>
      </c>
    </row>
    <row r="2274" spans="1:8" x14ac:dyDescent="0.25">
      <c r="A2274">
        <v>14910473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2</v>
      </c>
      <c r="H2274">
        <v>0</v>
      </c>
    </row>
    <row r="2275" spans="1:8" x14ac:dyDescent="0.25">
      <c r="A2275">
        <v>14910474</v>
      </c>
      <c r="B2275">
        <v>0</v>
      </c>
      <c r="C2275">
        <v>0</v>
      </c>
      <c r="D2275">
        <v>0</v>
      </c>
      <c r="E2275">
        <v>0</v>
      </c>
      <c r="F2275">
        <v>6</v>
      </c>
      <c r="G2275">
        <v>7</v>
      </c>
      <c r="H2275">
        <v>0</v>
      </c>
    </row>
    <row r="2276" spans="1:8" x14ac:dyDescent="0.25">
      <c r="A2276">
        <v>14914344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10</v>
      </c>
      <c r="H2276">
        <v>0</v>
      </c>
    </row>
    <row r="2277" spans="1:8" x14ac:dyDescent="0.25">
      <c r="A2277">
        <v>14914345</v>
      </c>
      <c r="B2277">
        <v>0</v>
      </c>
      <c r="C2277">
        <v>0</v>
      </c>
      <c r="D2277">
        <v>0</v>
      </c>
      <c r="E2277">
        <v>0</v>
      </c>
      <c r="F2277">
        <v>3</v>
      </c>
      <c r="G2277">
        <v>6</v>
      </c>
      <c r="H2277">
        <v>0</v>
      </c>
    </row>
    <row r="2278" spans="1:8" x14ac:dyDescent="0.25">
      <c r="A2278">
        <v>14914656</v>
      </c>
      <c r="B2278">
        <v>-1</v>
      </c>
      <c r="C2278">
        <v>0</v>
      </c>
      <c r="D2278">
        <v>0</v>
      </c>
      <c r="E2278">
        <v>0</v>
      </c>
      <c r="F2278">
        <v>0</v>
      </c>
      <c r="G2278">
        <v>19</v>
      </c>
      <c r="H2278">
        <v>0</v>
      </c>
    </row>
    <row r="2279" spans="1:8" x14ac:dyDescent="0.25">
      <c r="A2279">
        <v>14914657</v>
      </c>
      <c r="B2279">
        <v>-2</v>
      </c>
      <c r="C2279">
        <v>0</v>
      </c>
      <c r="D2279">
        <v>0</v>
      </c>
      <c r="E2279">
        <v>0</v>
      </c>
      <c r="F2279">
        <v>1</v>
      </c>
      <c r="G2279">
        <v>20</v>
      </c>
      <c r="H2279">
        <v>0</v>
      </c>
    </row>
    <row r="2280" spans="1:8" x14ac:dyDescent="0.25">
      <c r="A2280">
        <v>14923786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</row>
    <row r="2281" spans="1:8" x14ac:dyDescent="0.25">
      <c r="A2281">
        <v>14924674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1</v>
      </c>
      <c r="H2281">
        <v>0</v>
      </c>
    </row>
    <row r="2282" spans="1:8" x14ac:dyDescent="0.25">
      <c r="A2282">
        <v>14924682</v>
      </c>
      <c r="B2282">
        <v>8</v>
      </c>
      <c r="C2282">
        <v>0</v>
      </c>
      <c r="D2282">
        <v>0</v>
      </c>
      <c r="E2282">
        <v>0</v>
      </c>
      <c r="F2282">
        <v>0</v>
      </c>
      <c r="G2282">
        <v>4</v>
      </c>
      <c r="H2282">
        <v>0</v>
      </c>
    </row>
    <row r="2283" spans="1:8" x14ac:dyDescent="0.25">
      <c r="A2283">
        <v>14925226</v>
      </c>
      <c r="B2283">
        <v>-1</v>
      </c>
      <c r="C2283">
        <v>0</v>
      </c>
      <c r="D2283">
        <v>0</v>
      </c>
      <c r="E2283">
        <v>0</v>
      </c>
      <c r="F2283">
        <v>0</v>
      </c>
      <c r="G2283">
        <v>11</v>
      </c>
      <c r="H2283">
        <v>0</v>
      </c>
    </row>
    <row r="2284" spans="1:8" x14ac:dyDescent="0.25">
      <c r="A2284">
        <v>14925228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3</v>
      </c>
      <c r="H2284">
        <v>0</v>
      </c>
    </row>
    <row r="2285" spans="1:8" x14ac:dyDescent="0.25">
      <c r="A2285">
        <v>14925229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2</v>
      </c>
      <c r="H2285">
        <v>0</v>
      </c>
    </row>
    <row r="2286" spans="1:8" x14ac:dyDescent="0.25">
      <c r="A2286">
        <v>14925233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1</v>
      </c>
      <c r="H2286">
        <v>0</v>
      </c>
    </row>
    <row r="2287" spans="1:8" x14ac:dyDescent="0.25">
      <c r="A2287">
        <v>14951250</v>
      </c>
      <c r="B2287">
        <v>7</v>
      </c>
      <c r="C2287">
        <v>0</v>
      </c>
      <c r="D2287">
        <v>0</v>
      </c>
      <c r="E2287">
        <v>0</v>
      </c>
      <c r="F2287">
        <v>0</v>
      </c>
      <c r="G2287">
        <v>1</v>
      </c>
      <c r="H2287">
        <v>0</v>
      </c>
    </row>
    <row r="2288" spans="1:8" x14ac:dyDescent="0.25">
      <c r="A2288">
        <v>14951252</v>
      </c>
      <c r="B2288">
        <v>64</v>
      </c>
      <c r="C2288">
        <v>0</v>
      </c>
      <c r="D2288">
        <v>6</v>
      </c>
      <c r="E2288">
        <v>13</v>
      </c>
      <c r="F2288">
        <v>31</v>
      </c>
      <c r="G2288">
        <v>77</v>
      </c>
      <c r="H2288">
        <v>218.9717</v>
      </c>
    </row>
    <row r="2289" spans="1:8" x14ac:dyDescent="0.25">
      <c r="A2289">
        <v>14951390</v>
      </c>
      <c r="B2289">
        <v>156</v>
      </c>
      <c r="C2289">
        <v>67</v>
      </c>
      <c r="D2289">
        <v>23</v>
      </c>
      <c r="E2289">
        <v>84</v>
      </c>
      <c r="F2289">
        <v>204</v>
      </c>
      <c r="G2289">
        <v>494</v>
      </c>
      <c r="H2289">
        <v>107.1943</v>
      </c>
    </row>
    <row r="2290" spans="1:8" x14ac:dyDescent="0.25">
      <c r="A2290">
        <v>14951391</v>
      </c>
      <c r="B2290">
        <v>134</v>
      </c>
      <c r="C2290">
        <v>24</v>
      </c>
      <c r="D2290">
        <v>6</v>
      </c>
      <c r="E2290">
        <v>34</v>
      </c>
      <c r="F2290">
        <v>87</v>
      </c>
      <c r="G2290">
        <v>226</v>
      </c>
      <c r="H2290">
        <v>105.1</v>
      </c>
    </row>
    <row r="2291" spans="1:8" x14ac:dyDescent="0.25">
      <c r="A2291">
        <v>14951392</v>
      </c>
      <c r="B2291">
        <v>135</v>
      </c>
      <c r="C2291">
        <v>7</v>
      </c>
      <c r="D2291">
        <v>7</v>
      </c>
      <c r="E2291">
        <v>15</v>
      </c>
      <c r="F2291">
        <v>33</v>
      </c>
      <c r="G2291">
        <v>80</v>
      </c>
      <c r="H2291">
        <v>106.7829</v>
      </c>
    </row>
    <row r="2292" spans="1:8" x14ac:dyDescent="0.25">
      <c r="A2292">
        <v>14952800</v>
      </c>
      <c r="B2292">
        <v>9</v>
      </c>
      <c r="C2292">
        <v>0</v>
      </c>
      <c r="D2292">
        <v>1</v>
      </c>
      <c r="E2292">
        <v>3</v>
      </c>
      <c r="F2292">
        <v>13</v>
      </c>
      <c r="G2292">
        <v>18</v>
      </c>
      <c r="H2292">
        <v>539.99</v>
      </c>
    </row>
    <row r="2293" spans="1:8" x14ac:dyDescent="0.25">
      <c r="A2293">
        <v>14952801</v>
      </c>
      <c r="B2293">
        <v>10</v>
      </c>
      <c r="C2293">
        <v>0</v>
      </c>
      <c r="D2293">
        <v>0</v>
      </c>
      <c r="E2293">
        <v>9</v>
      </c>
      <c r="F2293">
        <v>17</v>
      </c>
      <c r="G2293">
        <v>28</v>
      </c>
      <c r="H2293">
        <v>0</v>
      </c>
    </row>
    <row r="2294" spans="1:8" x14ac:dyDescent="0.25">
      <c r="A2294">
        <v>14958579</v>
      </c>
      <c r="B2294">
        <v>2</v>
      </c>
      <c r="C2294">
        <v>0</v>
      </c>
      <c r="D2294">
        <v>0</v>
      </c>
      <c r="E2294">
        <v>0</v>
      </c>
      <c r="F2294">
        <v>6</v>
      </c>
      <c r="G2294">
        <v>97</v>
      </c>
      <c r="H2294">
        <v>0</v>
      </c>
    </row>
    <row r="2295" spans="1:8" x14ac:dyDescent="0.25">
      <c r="A2295">
        <v>14965317</v>
      </c>
      <c r="B2295">
        <v>32</v>
      </c>
      <c r="C2295">
        <v>0</v>
      </c>
      <c r="D2295">
        <v>0</v>
      </c>
      <c r="E2295">
        <v>1</v>
      </c>
      <c r="F2295">
        <v>2</v>
      </c>
      <c r="G2295">
        <v>12</v>
      </c>
      <c r="H2295">
        <v>0</v>
      </c>
    </row>
    <row r="2296" spans="1:8" x14ac:dyDescent="0.25">
      <c r="A2296">
        <v>14967802</v>
      </c>
      <c r="B2296">
        <v>34</v>
      </c>
      <c r="C2296">
        <v>0</v>
      </c>
      <c r="D2296">
        <v>0</v>
      </c>
      <c r="E2296">
        <v>0</v>
      </c>
      <c r="F2296">
        <v>1</v>
      </c>
      <c r="G2296">
        <v>5</v>
      </c>
      <c r="H2296">
        <v>0</v>
      </c>
    </row>
    <row r="2297" spans="1:8" x14ac:dyDescent="0.25">
      <c r="A2297">
        <v>14967803</v>
      </c>
      <c r="B2297">
        <v>16</v>
      </c>
      <c r="C2297">
        <v>42</v>
      </c>
      <c r="D2297">
        <v>1</v>
      </c>
      <c r="E2297">
        <v>2</v>
      </c>
      <c r="F2297">
        <v>17</v>
      </c>
      <c r="G2297">
        <v>76</v>
      </c>
      <c r="H2297">
        <v>99.99</v>
      </c>
    </row>
    <row r="2298" spans="1:8" x14ac:dyDescent="0.25">
      <c r="A2298">
        <v>14971504</v>
      </c>
      <c r="B2298">
        <v>164</v>
      </c>
      <c r="C2298">
        <v>0</v>
      </c>
      <c r="D2298">
        <v>5</v>
      </c>
      <c r="E2298">
        <v>16</v>
      </c>
      <c r="F2298">
        <v>71</v>
      </c>
      <c r="G2298">
        <v>284</v>
      </c>
      <c r="H2298">
        <v>898.46799999999996</v>
      </c>
    </row>
    <row r="2299" spans="1:8" x14ac:dyDescent="0.25">
      <c r="A2299">
        <v>14971505</v>
      </c>
      <c r="B2299">
        <v>83</v>
      </c>
      <c r="C2299">
        <v>0</v>
      </c>
      <c r="D2299">
        <v>3</v>
      </c>
      <c r="E2299">
        <v>5</v>
      </c>
      <c r="F2299">
        <v>18</v>
      </c>
      <c r="G2299">
        <v>66</v>
      </c>
      <c r="H2299">
        <v>264.52999999999997</v>
      </c>
    </row>
    <row r="2300" spans="1:8" x14ac:dyDescent="0.25">
      <c r="A2300">
        <v>14971506</v>
      </c>
      <c r="B2300">
        <v>187</v>
      </c>
      <c r="C2300">
        <v>0</v>
      </c>
      <c r="D2300">
        <v>2</v>
      </c>
      <c r="E2300">
        <v>6</v>
      </c>
      <c r="F2300">
        <v>23</v>
      </c>
      <c r="G2300">
        <v>50</v>
      </c>
      <c r="H2300">
        <v>228.98500000000001</v>
      </c>
    </row>
    <row r="2301" spans="1:8" x14ac:dyDescent="0.25">
      <c r="A2301">
        <v>14971507</v>
      </c>
      <c r="B2301">
        <v>477</v>
      </c>
      <c r="C2301">
        <v>30</v>
      </c>
      <c r="D2301">
        <v>13</v>
      </c>
      <c r="E2301">
        <v>38</v>
      </c>
      <c r="F2301">
        <v>325</v>
      </c>
      <c r="G2301">
        <v>774</v>
      </c>
      <c r="H2301">
        <v>258.86689999999999</v>
      </c>
    </row>
    <row r="2302" spans="1:8" x14ac:dyDescent="0.25">
      <c r="A2302">
        <v>14971508</v>
      </c>
      <c r="B2302">
        <v>302</v>
      </c>
      <c r="C2302">
        <v>0</v>
      </c>
      <c r="D2302">
        <v>8</v>
      </c>
      <c r="E2302">
        <v>18</v>
      </c>
      <c r="F2302">
        <v>157</v>
      </c>
      <c r="G2302">
        <v>513</v>
      </c>
      <c r="H2302">
        <v>217.46879999999999</v>
      </c>
    </row>
    <row r="2303" spans="1:8" x14ac:dyDescent="0.25">
      <c r="A2303">
        <v>14971510</v>
      </c>
      <c r="B2303">
        <v>98</v>
      </c>
      <c r="C2303">
        <v>0</v>
      </c>
      <c r="D2303">
        <v>1</v>
      </c>
      <c r="E2303">
        <v>4</v>
      </c>
      <c r="F2303">
        <v>23</v>
      </c>
      <c r="G2303">
        <v>79</v>
      </c>
      <c r="H2303">
        <v>399</v>
      </c>
    </row>
    <row r="2304" spans="1:8" x14ac:dyDescent="0.25">
      <c r="A2304">
        <v>14971511</v>
      </c>
      <c r="B2304">
        <v>84</v>
      </c>
      <c r="C2304">
        <v>0</v>
      </c>
      <c r="D2304">
        <v>0</v>
      </c>
      <c r="E2304">
        <v>3</v>
      </c>
      <c r="F2304">
        <v>6</v>
      </c>
      <c r="G2304">
        <v>35</v>
      </c>
      <c r="H2304">
        <v>0</v>
      </c>
    </row>
    <row r="2305" spans="1:8" x14ac:dyDescent="0.25">
      <c r="A2305">
        <v>14988194</v>
      </c>
      <c r="B2305">
        <v>1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</row>
    <row r="2306" spans="1:8" x14ac:dyDescent="0.25">
      <c r="A2306">
        <v>14988197</v>
      </c>
      <c r="B2306">
        <v>1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</row>
    <row r="2307" spans="1:8" x14ac:dyDescent="0.25">
      <c r="A2307">
        <v>14988201</v>
      </c>
      <c r="B2307">
        <v>1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</row>
    <row r="2308" spans="1:8" x14ac:dyDescent="0.25">
      <c r="A2308">
        <v>14988237</v>
      </c>
      <c r="B2308">
        <v>103</v>
      </c>
      <c r="C2308">
        <v>0</v>
      </c>
      <c r="D2308">
        <v>0</v>
      </c>
      <c r="E2308">
        <v>3</v>
      </c>
      <c r="F2308">
        <v>76</v>
      </c>
      <c r="G2308">
        <v>934</v>
      </c>
      <c r="H2308">
        <v>0</v>
      </c>
    </row>
    <row r="2309" spans="1:8" x14ac:dyDescent="0.25">
      <c r="A2309">
        <v>14990918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</row>
    <row r="2310" spans="1:8" x14ac:dyDescent="0.25">
      <c r="A2310">
        <v>14990919</v>
      </c>
      <c r="B2310">
        <v>0</v>
      </c>
      <c r="C2310">
        <v>0</v>
      </c>
      <c r="D2310">
        <v>0</v>
      </c>
      <c r="E2310">
        <v>0</v>
      </c>
      <c r="F2310">
        <v>1</v>
      </c>
      <c r="G2310">
        <v>1</v>
      </c>
      <c r="H2310">
        <v>0</v>
      </c>
    </row>
    <row r="2311" spans="1:8" x14ac:dyDescent="0.25">
      <c r="A2311">
        <v>14997073</v>
      </c>
      <c r="B2311">
        <v>2</v>
      </c>
      <c r="C2311">
        <v>0</v>
      </c>
      <c r="D2311">
        <v>0</v>
      </c>
      <c r="E2311">
        <v>0</v>
      </c>
      <c r="F2311">
        <v>4</v>
      </c>
      <c r="G2311">
        <v>62</v>
      </c>
      <c r="H2311">
        <v>0</v>
      </c>
    </row>
    <row r="2312" spans="1:8" x14ac:dyDescent="0.25">
      <c r="A2312">
        <v>14997074</v>
      </c>
      <c r="B2312">
        <v>-1</v>
      </c>
      <c r="C2312">
        <v>0</v>
      </c>
      <c r="D2312">
        <v>0</v>
      </c>
      <c r="E2312">
        <v>0</v>
      </c>
      <c r="F2312">
        <v>0</v>
      </c>
      <c r="G2312">
        <v>45</v>
      </c>
      <c r="H2312">
        <v>0</v>
      </c>
    </row>
    <row r="2313" spans="1:8" x14ac:dyDescent="0.25">
      <c r="A2313">
        <v>14997075</v>
      </c>
      <c r="B2313">
        <v>3</v>
      </c>
      <c r="C2313">
        <v>0</v>
      </c>
      <c r="D2313">
        <v>0</v>
      </c>
      <c r="E2313">
        <v>0</v>
      </c>
      <c r="F2313">
        <v>0</v>
      </c>
      <c r="G2313">
        <v>25</v>
      </c>
      <c r="H2313">
        <v>0</v>
      </c>
    </row>
    <row r="2314" spans="1:8" x14ac:dyDescent="0.25">
      <c r="A2314">
        <v>14997076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9</v>
      </c>
      <c r="H2314">
        <v>0</v>
      </c>
    </row>
    <row r="2315" spans="1:8" x14ac:dyDescent="0.25">
      <c r="A2315">
        <v>14997077</v>
      </c>
      <c r="B2315">
        <v>8</v>
      </c>
      <c r="C2315">
        <v>0</v>
      </c>
      <c r="D2315">
        <v>0</v>
      </c>
      <c r="E2315">
        <v>0</v>
      </c>
      <c r="F2315">
        <v>2</v>
      </c>
      <c r="G2315">
        <v>10</v>
      </c>
      <c r="H2315">
        <v>0</v>
      </c>
    </row>
    <row r="2316" spans="1:8" x14ac:dyDescent="0.25">
      <c r="A2316">
        <v>15006487</v>
      </c>
      <c r="B2316">
        <v>-1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</row>
    <row r="2317" spans="1:8" x14ac:dyDescent="0.25">
      <c r="A2317">
        <v>15008209</v>
      </c>
      <c r="B2317">
        <v>158</v>
      </c>
      <c r="C2317">
        <v>0</v>
      </c>
      <c r="D2317">
        <v>9</v>
      </c>
      <c r="E2317">
        <v>25</v>
      </c>
      <c r="F2317">
        <v>87</v>
      </c>
      <c r="G2317">
        <v>160</v>
      </c>
      <c r="H2317">
        <v>20.988900000000001</v>
      </c>
    </row>
    <row r="2318" spans="1:8" x14ac:dyDescent="0.25">
      <c r="A2318">
        <v>15012824</v>
      </c>
      <c r="B2318">
        <v>1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</row>
    <row r="2319" spans="1:8" x14ac:dyDescent="0.25">
      <c r="A2319">
        <v>15012825</v>
      </c>
      <c r="B2319">
        <v>1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</row>
    <row r="2320" spans="1:8" x14ac:dyDescent="0.25">
      <c r="A2320">
        <v>15012826</v>
      </c>
      <c r="B2320">
        <v>1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</row>
    <row r="2321" spans="1:8" x14ac:dyDescent="0.25">
      <c r="A2321">
        <v>15012827</v>
      </c>
      <c r="B2321">
        <v>1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</row>
    <row r="2322" spans="1:8" x14ac:dyDescent="0.25">
      <c r="A2322">
        <v>15083470</v>
      </c>
      <c r="B2322">
        <v>71</v>
      </c>
      <c r="C2322">
        <v>0</v>
      </c>
      <c r="D2322">
        <v>0</v>
      </c>
      <c r="E2322">
        <v>0</v>
      </c>
      <c r="F2322">
        <v>6</v>
      </c>
      <c r="G2322">
        <v>56</v>
      </c>
      <c r="H2322">
        <v>0</v>
      </c>
    </row>
    <row r="2323" spans="1:8" x14ac:dyDescent="0.25">
      <c r="A2323">
        <v>15083559</v>
      </c>
      <c r="B2323">
        <v>17</v>
      </c>
      <c r="C2323">
        <v>0</v>
      </c>
      <c r="D2323">
        <v>0</v>
      </c>
      <c r="E2323">
        <v>0</v>
      </c>
      <c r="F2323">
        <v>7</v>
      </c>
      <c r="G2323">
        <v>7</v>
      </c>
      <c r="H2323">
        <v>0</v>
      </c>
    </row>
    <row r="2324" spans="1:8" x14ac:dyDescent="0.25">
      <c r="A2324">
        <v>15141588</v>
      </c>
      <c r="B2324">
        <v>30</v>
      </c>
      <c r="C2324">
        <v>0</v>
      </c>
      <c r="D2324">
        <v>-1</v>
      </c>
      <c r="E2324">
        <v>0</v>
      </c>
      <c r="F2324">
        <v>1</v>
      </c>
      <c r="G2324">
        <v>5</v>
      </c>
      <c r="H2324">
        <v>289.99</v>
      </c>
    </row>
    <row r="2325" spans="1:8" x14ac:dyDescent="0.25">
      <c r="A2325">
        <v>15141589</v>
      </c>
      <c r="B2325">
        <v>5</v>
      </c>
      <c r="C2325">
        <v>0</v>
      </c>
      <c r="D2325">
        <v>0</v>
      </c>
      <c r="E2325">
        <v>-1</v>
      </c>
      <c r="F2325">
        <v>0</v>
      </c>
      <c r="G2325">
        <v>1</v>
      </c>
      <c r="H2325">
        <v>0</v>
      </c>
    </row>
    <row r="2326" spans="1:8" x14ac:dyDescent="0.25">
      <c r="A2326">
        <v>15141590</v>
      </c>
      <c r="B2326">
        <v>7</v>
      </c>
      <c r="C2326">
        <v>0</v>
      </c>
      <c r="D2326">
        <v>0</v>
      </c>
      <c r="E2326">
        <v>0</v>
      </c>
      <c r="F2326">
        <v>0</v>
      </c>
      <c r="G2326">
        <v>2</v>
      </c>
      <c r="H2326">
        <v>0</v>
      </c>
    </row>
    <row r="2327" spans="1:8" x14ac:dyDescent="0.25">
      <c r="A2327">
        <v>15141592</v>
      </c>
      <c r="B2327">
        <v>12</v>
      </c>
      <c r="C2327">
        <v>0</v>
      </c>
      <c r="D2327">
        <v>1</v>
      </c>
      <c r="E2327">
        <v>1</v>
      </c>
      <c r="F2327">
        <v>1</v>
      </c>
      <c r="G2327">
        <v>2</v>
      </c>
      <c r="H2327">
        <v>239.99</v>
      </c>
    </row>
    <row r="2328" spans="1:8" x14ac:dyDescent="0.25">
      <c r="A2328">
        <v>15141593</v>
      </c>
      <c r="B2328">
        <v>16</v>
      </c>
      <c r="C2328">
        <v>0</v>
      </c>
      <c r="D2328">
        <v>0</v>
      </c>
      <c r="E2328">
        <v>0</v>
      </c>
      <c r="F2328">
        <v>0</v>
      </c>
      <c r="G2328">
        <v>7</v>
      </c>
      <c r="H2328">
        <v>0</v>
      </c>
    </row>
    <row r="2329" spans="1:8" x14ac:dyDescent="0.25">
      <c r="A2329">
        <v>15141594</v>
      </c>
      <c r="B2329">
        <v>16</v>
      </c>
      <c r="C2329">
        <v>0</v>
      </c>
      <c r="D2329">
        <v>0</v>
      </c>
      <c r="E2329">
        <v>0</v>
      </c>
      <c r="F2329">
        <v>2</v>
      </c>
      <c r="G2329">
        <v>4</v>
      </c>
      <c r="H2329">
        <v>0</v>
      </c>
    </row>
    <row r="2330" spans="1:8" x14ac:dyDescent="0.25">
      <c r="A2330">
        <v>15156591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</row>
    <row r="2331" spans="1:8" x14ac:dyDescent="0.25">
      <c r="A2331">
        <v>15156806</v>
      </c>
      <c r="B2331">
        <v>1188</v>
      </c>
      <c r="C2331">
        <v>312</v>
      </c>
      <c r="D2331">
        <v>76</v>
      </c>
      <c r="E2331">
        <v>268</v>
      </c>
      <c r="F2331">
        <v>788</v>
      </c>
      <c r="G2331">
        <v>1905</v>
      </c>
      <c r="H2331">
        <v>52.536099999999998</v>
      </c>
    </row>
    <row r="2332" spans="1:8" x14ac:dyDescent="0.25">
      <c r="A2332">
        <v>15156807</v>
      </c>
      <c r="B2332">
        <v>7</v>
      </c>
      <c r="C2332">
        <v>0</v>
      </c>
      <c r="D2332">
        <v>0</v>
      </c>
      <c r="E2332">
        <v>0</v>
      </c>
      <c r="F2332">
        <v>2</v>
      </c>
      <c r="G2332">
        <v>3</v>
      </c>
      <c r="H2332">
        <v>0</v>
      </c>
    </row>
    <row r="2333" spans="1:8" x14ac:dyDescent="0.25">
      <c r="A2333">
        <v>15157042</v>
      </c>
      <c r="B2333">
        <v>152</v>
      </c>
      <c r="C2333">
        <v>8</v>
      </c>
      <c r="D2333">
        <v>3</v>
      </c>
      <c r="E2333">
        <v>22</v>
      </c>
      <c r="F2333">
        <v>51</v>
      </c>
      <c r="G2333">
        <v>195</v>
      </c>
      <c r="H2333">
        <v>69.989999999999995</v>
      </c>
    </row>
    <row r="2334" spans="1:8" x14ac:dyDescent="0.25">
      <c r="A2334">
        <v>15157043</v>
      </c>
      <c r="B2334">
        <v>225</v>
      </c>
      <c r="C2334">
        <v>16</v>
      </c>
      <c r="D2334">
        <v>9</v>
      </c>
      <c r="E2334">
        <v>34</v>
      </c>
      <c r="F2334">
        <v>90</v>
      </c>
      <c r="G2334">
        <v>289</v>
      </c>
      <c r="H2334">
        <v>127.06</v>
      </c>
    </row>
    <row r="2335" spans="1:8" x14ac:dyDescent="0.25">
      <c r="A2335">
        <v>15157044</v>
      </c>
      <c r="B2335">
        <v>96</v>
      </c>
      <c r="C2335">
        <v>65</v>
      </c>
      <c r="D2335">
        <v>3</v>
      </c>
      <c r="E2335">
        <v>10</v>
      </c>
      <c r="F2335">
        <v>47</v>
      </c>
      <c r="G2335">
        <v>239</v>
      </c>
      <c r="H2335">
        <v>37.956699999999998</v>
      </c>
    </row>
    <row r="2336" spans="1:8" x14ac:dyDescent="0.25">
      <c r="A2336">
        <v>15157045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2</v>
      </c>
      <c r="H2336">
        <v>0</v>
      </c>
    </row>
    <row r="2337" spans="1:8" x14ac:dyDescent="0.25">
      <c r="A2337">
        <v>15157048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1</v>
      </c>
      <c r="H2337">
        <v>0</v>
      </c>
    </row>
    <row r="2338" spans="1:8" x14ac:dyDescent="0.25">
      <c r="A2338">
        <v>15157049</v>
      </c>
      <c r="B2338">
        <v>11</v>
      </c>
      <c r="C2338">
        <v>15</v>
      </c>
      <c r="D2338">
        <v>1</v>
      </c>
      <c r="E2338">
        <v>4</v>
      </c>
      <c r="F2338">
        <v>32</v>
      </c>
      <c r="G2338">
        <v>71</v>
      </c>
      <c r="H2338">
        <v>279.99</v>
      </c>
    </row>
    <row r="2339" spans="1:8" x14ac:dyDescent="0.25">
      <c r="A2339">
        <v>15157989</v>
      </c>
      <c r="B2339">
        <v>-1</v>
      </c>
      <c r="C2339">
        <v>0</v>
      </c>
      <c r="D2339">
        <v>0</v>
      </c>
      <c r="E2339">
        <v>1</v>
      </c>
      <c r="F2339">
        <v>1</v>
      </c>
      <c r="G2339">
        <v>2</v>
      </c>
      <c r="H2339">
        <v>0</v>
      </c>
    </row>
    <row r="2340" spans="1:8" x14ac:dyDescent="0.25">
      <c r="A2340">
        <v>15157990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1</v>
      </c>
      <c r="H2340">
        <v>0</v>
      </c>
    </row>
    <row r="2341" spans="1:8" x14ac:dyDescent="0.25">
      <c r="A2341">
        <v>15157993</v>
      </c>
      <c r="B2341">
        <v>-1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</row>
    <row r="2342" spans="1:8" x14ac:dyDescent="0.25">
      <c r="A2342">
        <v>15157995</v>
      </c>
      <c r="B2342">
        <v>-1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</row>
    <row r="2343" spans="1:8" x14ac:dyDescent="0.25">
      <c r="A2343">
        <v>15158004</v>
      </c>
      <c r="B2343">
        <v>161</v>
      </c>
      <c r="C2343">
        <v>0</v>
      </c>
      <c r="D2343">
        <v>8</v>
      </c>
      <c r="E2343">
        <v>36</v>
      </c>
      <c r="F2343">
        <v>109</v>
      </c>
      <c r="G2343">
        <v>237</v>
      </c>
      <c r="H2343">
        <v>28.74</v>
      </c>
    </row>
    <row r="2344" spans="1:8" x14ac:dyDescent="0.25">
      <c r="A2344">
        <v>15158005</v>
      </c>
      <c r="B2344">
        <v>649</v>
      </c>
      <c r="C2344">
        <v>40</v>
      </c>
      <c r="D2344">
        <v>111</v>
      </c>
      <c r="E2344">
        <v>356</v>
      </c>
      <c r="F2344">
        <v>1114</v>
      </c>
      <c r="G2344">
        <v>2946</v>
      </c>
      <c r="H2344">
        <v>28.110299999999999</v>
      </c>
    </row>
    <row r="2345" spans="1:8" x14ac:dyDescent="0.25">
      <c r="A2345">
        <v>15158006</v>
      </c>
      <c r="B2345">
        <v>1041</v>
      </c>
      <c r="C2345">
        <v>40</v>
      </c>
      <c r="D2345">
        <v>63</v>
      </c>
      <c r="E2345">
        <v>254</v>
      </c>
      <c r="F2345">
        <v>890</v>
      </c>
      <c r="G2345">
        <v>1757</v>
      </c>
      <c r="H2345">
        <v>27.9359</v>
      </c>
    </row>
    <row r="2346" spans="1:8" x14ac:dyDescent="0.25">
      <c r="A2346">
        <v>15158007</v>
      </c>
      <c r="B2346">
        <v>4</v>
      </c>
      <c r="C2346">
        <v>0</v>
      </c>
      <c r="D2346">
        <v>0</v>
      </c>
      <c r="E2346">
        <v>0</v>
      </c>
      <c r="F2346">
        <v>1</v>
      </c>
      <c r="G2346">
        <v>7</v>
      </c>
      <c r="H2346">
        <v>0</v>
      </c>
    </row>
    <row r="2347" spans="1:8" x14ac:dyDescent="0.25">
      <c r="A2347">
        <v>15158008</v>
      </c>
      <c r="B2347">
        <v>2</v>
      </c>
      <c r="C2347">
        <v>0</v>
      </c>
      <c r="D2347">
        <v>0</v>
      </c>
      <c r="E2347">
        <v>2</v>
      </c>
      <c r="F2347">
        <v>3</v>
      </c>
      <c r="G2347">
        <v>3</v>
      </c>
      <c r="H2347">
        <v>0</v>
      </c>
    </row>
    <row r="2348" spans="1:8" x14ac:dyDescent="0.25">
      <c r="A2348">
        <v>15158009</v>
      </c>
      <c r="B2348">
        <v>0</v>
      </c>
      <c r="C2348">
        <v>0</v>
      </c>
      <c r="D2348">
        <v>0</v>
      </c>
      <c r="E2348">
        <v>0</v>
      </c>
      <c r="F2348">
        <v>2</v>
      </c>
      <c r="G2348">
        <v>3</v>
      </c>
      <c r="H2348">
        <v>0</v>
      </c>
    </row>
    <row r="2349" spans="1:8" x14ac:dyDescent="0.25">
      <c r="A2349">
        <v>15158011</v>
      </c>
      <c r="B2349">
        <v>58</v>
      </c>
      <c r="C2349">
        <v>0</v>
      </c>
      <c r="D2349">
        <v>0</v>
      </c>
      <c r="E2349">
        <v>4</v>
      </c>
      <c r="F2349">
        <v>18</v>
      </c>
      <c r="G2349">
        <v>29</v>
      </c>
      <c r="H2349">
        <v>0</v>
      </c>
    </row>
    <row r="2350" spans="1:8" x14ac:dyDescent="0.25">
      <c r="A2350">
        <v>15158012</v>
      </c>
      <c r="B2350">
        <v>14</v>
      </c>
      <c r="C2350">
        <v>0</v>
      </c>
      <c r="D2350">
        <v>0</v>
      </c>
      <c r="E2350">
        <v>0</v>
      </c>
      <c r="F2350">
        <v>2</v>
      </c>
      <c r="G2350">
        <v>7</v>
      </c>
      <c r="H2350">
        <v>0</v>
      </c>
    </row>
    <row r="2351" spans="1:8" x14ac:dyDescent="0.25">
      <c r="A2351">
        <v>15158013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1</v>
      </c>
      <c r="H2351">
        <v>0</v>
      </c>
    </row>
    <row r="2352" spans="1:8" x14ac:dyDescent="0.25">
      <c r="A2352">
        <v>15158016</v>
      </c>
      <c r="B2352">
        <v>0</v>
      </c>
      <c r="C2352">
        <v>0</v>
      </c>
      <c r="D2352">
        <v>0</v>
      </c>
      <c r="E2352">
        <v>0</v>
      </c>
      <c r="F2352">
        <v>1</v>
      </c>
      <c r="G2352">
        <v>2</v>
      </c>
      <c r="H2352">
        <v>0</v>
      </c>
    </row>
    <row r="2353" spans="1:8" x14ac:dyDescent="0.25">
      <c r="A2353">
        <v>15158017</v>
      </c>
      <c r="B2353">
        <v>0</v>
      </c>
      <c r="C2353">
        <v>0</v>
      </c>
      <c r="D2353">
        <v>0</v>
      </c>
      <c r="E2353">
        <v>0</v>
      </c>
      <c r="F2353">
        <v>1</v>
      </c>
      <c r="G2353">
        <v>2</v>
      </c>
      <c r="H2353">
        <v>0</v>
      </c>
    </row>
    <row r="2354" spans="1:8" x14ac:dyDescent="0.25">
      <c r="A2354">
        <v>15158018</v>
      </c>
      <c r="B2354">
        <v>38</v>
      </c>
      <c r="C2354">
        <v>0</v>
      </c>
      <c r="D2354">
        <v>0</v>
      </c>
      <c r="E2354">
        <v>0</v>
      </c>
      <c r="F2354">
        <v>8</v>
      </c>
      <c r="G2354">
        <v>18</v>
      </c>
      <c r="H2354">
        <v>0</v>
      </c>
    </row>
    <row r="2355" spans="1:8" x14ac:dyDescent="0.25">
      <c r="A2355">
        <v>15158019</v>
      </c>
      <c r="B2355">
        <v>0</v>
      </c>
      <c r="C2355">
        <v>0</v>
      </c>
      <c r="D2355">
        <v>0</v>
      </c>
      <c r="E2355">
        <v>0</v>
      </c>
      <c r="F2355">
        <v>1</v>
      </c>
      <c r="G2355">
        <v>1</v>
      </c>
      <c r="H2355">
        <v>0</v>
      </c>
    </row>
    <row r="2356" spans="1:8" x14ac:dyDescent="0.25">
      <c r="A2356">
        <v>15158020</v>
      </c>
      <c r="B2356">
        <v>1</v>
      </c>
      <c r="C2356">
        <v>0</v>
      </c>
      <c r="D2356">
        <v>0</v>
      </c>
      <c r="E2356">
        <v>1</v>
      </c>
      <c r="F2356">
        <v>2</v>
      </c>
      <c r="G2356">
        <v>4</v>
      </c>
      <c r="H2356">
        <v>0</v>
      </c>
    </row>
    <row r="2357" spans="1:8" x14ac:dyDescent="0.25">
      <c r="A2357">
        <v>15158021</v>
      </c>
      <c r="B2357">
        <v>0</v>
      </c>
      <c r="C2357">
        <v>0</v>
      </c>
      <c r="D2357">
        <v>0</v>
      </c>
      <c r="E2357">
        <v>2</v>
      </c>
      <c r="F2357">
        <v>4</v>
      </c>
      <c r="G2357">
        <v>7</v>
      </c>
      <c r="H2357">
        <v>0</v>
      </c>
    </row>
    <row r="2358" spans="1:8" x14ac:dyDescent="0.25">
      <c r="A2358">
        <v>15158022</v>
      </c>
      <c r="B2358">
        <v>14</v>
      </c>
      <c r="C2358">
        <v>0</v>
      </c>
      <c r="D2358">
        <v>0</v>
      </c>
      <c r="E2358">
        <v>1</v>
      </c>
      <c r="F2358">
        <v>8</v>
      </c>
      <c r="G2358">
        <v>12</v>
      </c>
      <c r="H2358">
        <v>0</v>
      </c>
    </row>
    <row r="2359" spans="1:8" x14ac:dyDescent="0.25">
      <c r="A2359">
        <v>15158023</v>
      </c>
      <c r="B2359">
        <v>0</v>
      </c>
      <c r="C2359">
        <v>0</v>
      </c>
      <c r="D2359">
        <v>1</v>
      </c>
      <c r="E2359">
        <v>1</v>
      </c>
      <c r="F2359">
        <v>2</v>
      </c>
      <c r="G2359">
        <v>5</v>
      </c>
      <c r="H2359">
        <v>39</v>
      </c>
    </row>
    <row r="2360" spans="1:8" x14ac:dyDescent="0.25">
      <c r="A2360">
        <v>15158024</v>
      </c>
      <c r="B2360">
        <v>20</v>
      </c>
      <c r="C2360">
        <v>0</v>
      </c>
      <c r="D2360">
        <v>0</v>
      </c>
      <c r="E2360">
        <v>0</v>
      </c>
      <c r="F2360">
        <v>8</v>
      </c>
      <c r="G2360">
        <v>15</v>
      </c>
      <c r="H2360">
        <v>0</v>
      </c>
    </row>
    <row r="2361" spans="1:8" x14ac:dyDescent="0.25">
      <c r="A2361">
        <v>15235827</v>
      </c>
      <c r="B2361">
        <v>0</v>
      </c>
      <c r="C2361">
        <v>0</v>
      </c>
      <c r="D2361">
        <v>0</v>
      </c>
      <c r="E2361">
        <v>0</v>
      </c>
      <c r="F2361">
        <v>3</v>
      </c>
      <c r="G2361">
        <v>20</v>
      </c>
      <c r="H2361">
        <v>0</v>
      </c>
    </row>
    <row r="2362" spans="1:8" x14ac:dyDescent="0.25">
      <c r="A2362">
        <v>15246412</v>
      </c>
      <c r="B2362">
        <v>11</v>
      </c>
      <c r="C2362">
        <v>0</v>
      </c>
      <c r="D2362">
        <v>0</v>
      </c>
      <c r="E2362">
        <v>0</v>
      </c>
      <c r="F2362">
        <v>7</v>
      </c>
      <c r="G2362">
        <v>24</v>
      </c>
      <c r="H2362">
        <v>0</v>
      </c>
    </row>
    <row r="2363" spans="1:8" x14ac:dyDescent="0.25">
      <c r="A2363">
        <v>15252003</v>
      </c>
      <c r="B2363">
        <v>15</v>
      </c>
      <c r="C2363">
        <v>0</v>
      </c>
      <c r="D2363">
        <v>0</v>
      </c>
      <c r="E2363">
        <v>0</v>
      </c>
      <c r="F2363">
        <v>33</v>
      </c>
      <c r="G2363">
        <v>55</v>
      </c>
      <c r="H2363">
        <v>0</v>
      </c>
    </row>
    <row r="2364" spans="1:8" x14ac:dyDescent="0.25">
      <c r="A2364">
        <v>15253274</v>
      </c>
      <c r="B2364">
        <v>1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</row>
    <row r="2365" spans="1:8" x14ac:dyDescent="0.25">
      <c r="A2365">
        <v>15253275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</row>
    <row r="2366" spans="1:8" x14ac:dyDescent="0.25">
      <c r="A2366">
        <v>15254113</v>
      </c>
      <c r="B2366">
        <v>3</v>
      </c>
      <c r="C2366">
        <v>0</v>
      </c>
      <c r="D2366">
        <v>0</v>
      </c>
      <c r="E2366">
        <v>0</v>
      </c>
      <c r="F2366">
        <v>0</v>
      </c>
      <c r="G2366">
        <v>10</v>
      </c>
      <c r="H2366">
        <v>0</v>
      </c>
    </row>
    <row r="2367" spans="1:8" x14ac:dyDescent="0.25">
      <c r="A2367">
        <v>15254114</v>
      </c>
      <c r="B2367">
        <v>0</v>
      </c>
      <c r="C2367">
        <v>0</v>
      </c>
      <c r="D2367">
        <v>0</v>
      </c>
      <c r="E2367">
        <v>0</v>
      </c>
      <c r="F2367">
        <v>1</v>
      </c>
      <c r="G2367">
        <v>19</v>
      </c>
      <c r="H2367">
        <v>0</v>
      </c>
    </row>
    <row r="2368" spans="1:8" x14ac:dyDescent="0.25">
      <c r="A2368">
        <v>15254115</v>
      </c>
      <c r="B2368">
        <v>1</v>
      </c>
      <c r="C2368">
        <v>0</v>
      </c>
      <c r="D2368">
        <v>0</v>
      </c>
      <c r="E2368">
        <v>0</v>
      </c>
      <c r="F2368">
        <v>2</v>
      </c>
      <c r="G2368">
        <v>9</v>
      </c>
      <c r="H2368">
        <v>0</v>
      </c>
    </row>
    <row r="2369" spans="1:8" x14ac:dyDescent="0.25">
      <c r="A2369">
        <v>15254116</v>
      </c>
      <c r="B2369">
        <v>0</v>
      </c>
      <c r="C2369">
        <v>0</v>
      </c>
      <c r="D2369">
        <v>0</v>
      </c>
      <c r="E2369">
        <v>0</v>
      </c>
      <c r="F2369">
        <v>1</v>
      </c>
      <c r="G2369">
        <v>13</v>
      </c>
      <c r="H2369">
        <v>0</v>
      </c>
    </row>
    <row r="2370" spans="1:8" x14ac:dyDescent="0.25">
      <c r="A2370">
        <v>15254873</v>
      </c>
      <c r="B2370">
        <v>0</v>
      </c>
      <c r="C2370">
        <v>0</v>
      </c>
      <c r="D2370">
        <v>0</v>
      </c>
      <c r="E2370">
        <v>0</v>
      </c>
      <c r="F2370">
        <v>1</v>
      </c>
      <c r="G2370">
        <v>6</v>
      </c>
      <c r="H2370">
        <v>0</v>
      </c>
    </row>
    <row r="2371" spans="1:8" x14ac:dyDescent="0.25">
      <c r="A2371">
        <v>15255922</v>
      </c>
      <c r="B2371">
        <v>0</v>
      </c>
      <c r="C2371">
        <v>0</v>
      </c>
      <c r="D2371">
        <v>0</v>
      </c>
      <c r="E2371">
        <v>0</v>
      </c>
      <c r="F2371">
        <v>2</v>
      </c>
      <c r="G2371">
        <v>15</v>
      </c>
      <c r="H2371">
        <v>0</v>
      </c>
    </row>
    <row r="2372" spans="1:8" x14ac:dyDescent="0.25">
      <c r="A2372">
        <v>15256513</v>
      </c>
      <c r="B2372">
        <v>24</v>
      </c>
      <c r="C2372">
        <v>2</v>
      </c>
      <c r="D2372">
        <v>0</v>
      </c>
      <c r="E2372">
        <v>2</v>
      </c>
      <c r="F2372">
        <v>20</v>
      </c>
      <c r="G2372">
        <v>40</v>
      </c>
      <c r="H2372">
        <v>0</v>
      </c>
    </row>
    <row r="2373" spans="1:8" x14ac:dyDescent="0.25">
      <c r="A2373">
        <v>15256514</v>
      </c>
      <c r="B2373">
        <v>11</v>
      </c>
      <c r="C2373">
        <v>0</v>
      </c>
      <c r="D2373">
        <v>0</v>
      </c>
      <c r="E2373">
        <v>0</v>
      </c>
      <c r="F2373">
        <v>0</v>
      </c>
      <c r="G2373">
        <v>1</v>
      </c>
      <c r="H2373">
        <v>0</v>
      </c>
    </row>
    <row r="2374" spans="1:8" x14ac:dyDescent="0.25">
      <c r="A2374">
        <v>15256515</v>
      </c>
      <c r="B2374">
        <v>23</v>
      </c>
      <c r="C2374">
        <v>0</v>
      </c>
      <c r="D2374">
        <v>0</v>
      </c>
      <c r="E2374">
        <v>0</v>
      </c>
      <c r="F2374">
        <v>5</v>
      </c>
      <c r="G2374">
        <v>6</v>
      </c>
      <c r="H2374">
        <v>0</v>
      </c>
    </row>
    <row r="2375" spans="1:8" x14ac:dyDescent="0.25">
      <c r="A2375">
        <v>15256795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</row>
    <row r="2376" spans="1:8" x14ac:dyDescent="0.25">
      <c r="A2376">
        <v>15261279</v>
      </c>
      <c r="B2376">
        <v>126</v>
      </c>
      <c r="C2376">
        <v>0</v>
      </c>
      <c r="D2376">
        <v>6</v>
      </c>
      <c r="E2376">
        <v>25</v>
      </c>
      <c r="F2376">
        <v>84</v>
      </c>
      <c r="G2376">
        <v>107</v>
      </c>
      <c r="H2376">
        <v>29.4617</v>
      </c>
    </row>
    <row r="2377" spans="1:8" x14ac:dyDescent="0.25">
      <c r="A2377">
        <v>15261280</v>
      </c>
      <c r="B2377">
        <v>201</v>
      </c>
      <c r="C2377">
        <v>0</v>
      </c>
      <c r="D2377">
        <v>6</v>
      </c>
      <c r="E2377">
        <v>24</v>
      </c>
      <c r="F2377">
        <v>98</v>
      </c>
      <c r="G2377">
        <v>300</v>
      </c>
      <c r="H2377">
        <v>102.0317</v>
      </c>
    </row>
    <row r="2378" spans="1:8" x14ac:dyDescent="0.25">
      <c r="A2378">
        <v>15261331</v>
      </c>
      <c r="B2378">
        <v>257</v>
      </c>
      <c r="C2378">
        <v>0</v>
      </c>
      <c r="D2378">
        <v>21</v>
      </c>
      <c r="E2378">
        <v>55</v>
      </c>
      <c r="F2378">
        <v>214</v>
      </c>
      <c r="G2378">
        <v>829</v>
      </c>
      <c r="H2378">
        <v>71.069500000000005</v>
      </c>
    </row>
    <row r="2379" spans="1:8" x14ac:dyDescent="0.25">
      <c r="A2379">
        <v>15261333</v>
      </c>
      <c r="B2379">
        <v>482</v>
      </c>
      <c r="C2379">
        <v>40</v>
      </c>
      <c r="D2379">
        <v>9</v>
      </c>
      <c r="E2379">
        <v>74</v>
      </c>
      <c r="F2379">
        <v>305</v>
      </c>
      <c r="G2379">
        <v>1109</v>
      </c>
      <c r="H2379">
        <v>208.10220000000001</v>
      </c>
    </row>
    <row r="2380" spans="1:8" x14ac:dyDescent="0.25">
      <c r="A2380">
        <v>15261560</v>
      </c>
      <c r="B2380">
        <v>182</v>
      </c>
      <c r="C2380">
        <v>0</v>
      </c>
      <c r="D2380">
        <v>14</v>
      </c>
      <c r="E2380">
        <v>58</v>
      </c>
      <c r="F2380">
        <v>226</v>
      </c>
      <c r="G2380">
        <v>804</v>
      </c>
      <c r="H2380">
        <v>74.057100000000005</v>
      </c>
    </row>
    <row r="2381" spans="1:8" x14ac:dyDescent="0.25">
      <c r="A2381">
        <v>15274460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8</v>
      </c>
      <c r="H2381">
        <v>0</v>
      </c>
    </row>
    <row r="2382" spans="1:8" x14ac:dyDescent="0.25">
      <c r="A2382">
        <v>15275035</v>
      </c>
      <c r="B2382">
        <v>3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</row>
    <row r="2383" spans="1:8" x14ac:dyDescent="0.25">
      <c r="A2383">
        <v>15275036</v>
      </c>
      <c r="B2383">
        <v>2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</row>
    <row r="2384" spans="1:8" x14ac:dyDescent="0.25">
      <c r="A2384">
        <v>15275045</v>
      </c>
      <c r="B2384">
        <v>1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</row>
    <row r="2385" spans="1:8" x14ac:dyDescent="0.25">
      <c r="A2385">
        <v>15275047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1</v>
      </c>
      <c r="H2385">
        <v>0</v>
      </c>
    </row>
    <row r="2386" spans="1:8" x14ac:dyDescent="0.25">
      <c r="A2386">
        <v>15275051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</row>
    <row r="2387" spans="1:8" x14ac:dyDescent="0.25">
      <c r="A2387">
        <v>15275053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1</v>
      </c>
      <c r="H2387">
        <v>0</v>
      </c>
    </row>
    <row r="2388" spans="1:8" x14ac:dyDescent="0.25">
      <c r="A2388">
        <v>15275059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</row>
    <row r="2389" spans="1:8" x14ac:dyDescent="0.25">
      <c r="A2389">
        <v>15275063</v>
      </c>
      <c r="B2389">
        <v>1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</row>
    <row r="2390" spans="1:8" x14ac:dyDescent="0.25">
      <c r="A2390">
        <v>15275064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1</v>
      </c>
      <c r="H2390">
        <v>0</v>
      </c>
    </row>
    <row r="2391" spans="1:8" x14ac:dyDescent="0.25">
      <c r="A2391">
        <v>15276677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1</v>
      </c>
      <c r="H2391">
        <v>0</v>
      </c>
    </row>
    <row r="2392" spans="1:8" x14ac:dyDescent="0.25">
      <c r="A2392">
        <v>15276719</v>
      </c>
      <c r="B2392">
        <v>3</v>
      </c>
      <c r="C2392">
        <v>0</v>
      </c>
      <c r="D2392">
        <v>0</v>
      </c>
      <c r="E2392">
        <v>8</v>
      </c>
      <c r="F2392">
        <v>12</v>
      </c>
      <c r="G2392">
        <v>37</v>
      </c>
      <c r="H2392">
        <v>0</v>
      </c>
    </row>
    <row r="2393" spans="1:8" x14ac:dyDescent="0.25">
      <c r="A2393">
        <v>15276720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3</v>
      </c>
      <c r="H2393">
        <v>0</v>
      </c>
    </row>
    <row r="2394" spans="1:8" x14ac:dyDescent="0.25">
      <c r="A2394">
        <v>15276721</v>
      </c>
      <c r="B2394">
        <v>-1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</row>
    <row r="2395" spans="1:8" x14ac:dyDescent="0.25">
      <c r="A2395">
        <v>15276723</v>
      </c>
      <c r="B2395">
        <v>586</v>
      </c>
      <c r="C2395">
        <v>140</v>
      </c>
      <c r="D2395">
        <v>68</v>
      </c>
      <c r="E2395">
        <v>242</v>
      </c>
      <c r="F2395">
        <v>955</v>
      </c>
      <c r="G2395">
        <v>2597</v>
      </c>
      <c r="H2395">
        <v>77.113100000000003</v>
      </c>
    </row>
    <row r="2396" spans="1:8" x14ac:dyDescent="0.25">
      <c r="A2396">
        <v>15277360</v>
      </c>
      <c r="B2396">
        <v>2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</row>
    <row r="2397" spans="1:8" x14ac:dyDescent="0.25">
      <c r="A2397">
        <v>15277364</v>
      </c>
      <c r="B2397">
        <v>1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</row>
    <row r="2398" spans="1:8" x14ac:dyDescent="0.25">
      <c r="A2398">
        <v>15277365</v>
      </c>
      <c r="B2398">
        <v>5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</row>
    <row r="2399" spans="1:8" x14ac:dyDescent="0.25">
      <c r="A2399">
        <v>15279115</v>
      </c>
      <c r="B2399">
        <v>30</v>
      </c>
      <c r="C2399">
        <v>0</v>
      </c>
      <c r="D2399">
        <v>0</v>
      </c>
      <c r="E2399">
        <v>2</v>
      </c>
      <c r="F2399">
        <v>13</v>
      </c>
      <c r="G2399">
        <v>225</v>
      </c>
      <c r="H2399">
        <v>0</v>
      </c>
    </row>
    <row r="2400" spans="1:8" x14ac:dyDescent="0.25">
      <c r="A2400">
        <v>15290863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</row>
    <row r="2401" spans="1:8" x14ac:dyDescent="0.25">
      <c r="A2401">
        <v>15293004</v>
      </c>
      <c r="B2401">
        <v>442</v>
      </c>
      <c r="C2401">
        <v>0</v>
      </c>
      <c r="D2401">
        <v>18</v>
      </c>
      <c r="E2401">
        <v>97</v>
      </c>
      <c r="F2401">
        <v>379</v>
      </c>
      <c r="G2401">
        <v>2945</v>
      </c>
      <c r="H2401">
        <v>553.20719999999994</v>
      </c>
    </row>
    <row r="2402" spans="1:8" x14ac:dyDescent="0.25">
      <c r="A2402">
        <v>15311589</v>
      </c>
      <c r="B2402">
        <v>20</v>
      </c>
      <c r="C2402">
        <v>0</v>
      </c>
      <c r="D2402">
        <v>1</v>
      </c>
      <c r="E2402">
        <v>3</v>
      </c>
      <c r="F2402">
        <v>7</v>
      </c>
      <c r="G2402">
        <v>18</v>
      </c>
      <c r="H2402">
        <v>10.99</v>
      </c>
    </row>
    <row r="2403" spans="1:8" x14ac:dyDescent="0.25">
      <c r="A2403">
        <v>15311590</v>
      </c>
      <c r="B2403">
        <v>18</v>
      </c>
      <c r="C2403">
        <v>0</v>
      </c>
      <c r="D2403">
        <v>0</v>
      </c>
      <c r="E2403">
        <v>8</v>
      </c>
      <c r="F2403">
        <v>15</v>
      </c>
      <c r="G2403">
        <v>24</v>
      </c>
      <c r="H2403">
        <v>0</v>
      </c>
    </row>
    <row r="2404" spans="1:8" x14ac:dyDescent="0.25">
      <c r="A2404">
        <v>15311591</v>
      </c>
      <c r="B2404">
        <v>17</v>
      </c>
      <c r="C2404">
        <v>0</v>
      </c>
      <c r="D2404">
        <v>0</v>
      </c>
      <c r="E2404">
        <v>0</v>
      </c>
      <c r="F2404">
        <v>4</v>
      </c>
      <c r="G2404">
        <v>6</v>
      </c>
      <c r="H2404">
        <v>0</v>
      </c>
    </row>
    <row r="2405" spans="1:8" x14ac:dyDescent="0.25">
      <c r="A2405">
        <v>15311592</v>
      </c>
      <c r="B2405">
        <v>29</v>
      </c>
      <c r="C2405">
        <v>0</v>
      </c>
      <c r="D2405">
        <v>0</v>
      </c>
      <c r="E2405">
        <v>2</v>
      </c>
      <c r="F2405">
        <v>9</v>
      </c>
      <c r="G2405">
        <v>19</v>
      </c>
      <c r="H2405">
        <v>0</v>
      </c>
    </row>
    <row r="2406" spans="1:8" x14ac:dyDescent="0.25">
      <c r="A2406">
        <v>15311593</v>
      </c>
      <c r="B2406">
        <v>9</v>
      </c>
      <c r="C2406">
        <v>0</v>
      </c>
      <c r="D2406">
        <v>0</v>
      </c>
      <c r="E2406">
        <v>0</v>
      </c>
      <c r="F2406">
        <v>8</v>
      </c>
      <c r="G2406">
        <v>12</v>
      </c>
      <c r="H2406">
        <v>0</v>
      </c>
    </row>
    <row r="2407" spans="1:8" x14ac:dyDescent="0.25">
      <c r="A2407">
        <v>15311594</v>
      </c>
      <c r="B2407">
        <v>17</v>
      </c>
      <c r="C2407">
        <v>0</v>
      </c>
      <c r="D2407">
        <v>0</v>
      </c>
      <c r="E2407">
        <v>1</v>
      </c>
      <c r="F2407">
        <v>8</v>
      </c>
      <c r="G2407">
        <v>17</v>
      </c>
      <c r="H2407">
        <v>0</v>
      </c>
    </row>
    <row r="2408" spans="1:8" x14ac:dyDescent="0.25">
      <c r="A2408">
        <v>15311595</v>
      </c>
      <c r="B2408">
        <v>30</v>
      </c>
      <c r="C2408">
        <v>0</v>
      </c>
      <c r="D2408">
        <v>0</v>
      </c>
      <c r="E2408">
        <v>2</v>
      </c>
      <c r="F2408">
        <v>7</v>
      </c>
      <c r="G2408">
        <v>16</v>
      </c>
      <c r="H2408">
        <v>0</v>
      </c>
    </row>
    <row r="2409" spans="1:8" x14ac:dyDescent="0.25">
      <c r="A2409">
        <v>15311596</v>
      </c>
      <c r="B2409">
        <v>29</v>
      </c>
      <c r="C2409">
        <v>0</v>
      </c>
      <c r="D2409">
        <v>0</v>
      </c>
      <c r="E2409">
        <v>2</v>
      </c>
      <c r="F2409">
        <v>7</v>
      </c>
      <c r="G2409">
        <v>16</v>
      </c>
      <c r="H2409">
        <v>0</v>
      </c>
    </row>
    <row r="2410" spans="1:8" x14ac:dyDescent="0.25">
      <c r="A2410">
        <v>15311597</v>
      </c>
      <c r="B2410">
        <v>20</v>
      </c>
      <c r="C2410">
        <v>0</v>
      </c>
      <c r="D2410">
        <v>0</v>
      </c>
      <c r="E2410">
        <v>6</v>
      </c>
      <c r="F2410">
        <v>8</v>
      </c>
      <c r="G2410">
        <v>18</v>
      </c>
      <c r="H2410">
        <v>0</v>
      </c>
    </row>
    <row r="2411" spans="1:8" x14ac:dyDescent="0.25">
      <c r="A2411">
        <v>15311598</v>
      </c>
      <c r="B2411">
        <v>11</v>
      </c>
      <c r="C2411">
        <v>0</v>
      </c>
      <c r="D2411">
        <v>1</v>
      </c>
      <c r="E2411">
        <v>1</v>
      </c>
      <c r="F2411">
        <v>7</v>
      </c>
      <c r="G2411">
        <v>9</v>
      </c>
      <c r="H2411">
        <v>10.99</v>
      </c>
    </row>
    <row r="2412" spans="1:8" x14ac:dyDescent="0.25">
      <c r="A2412">
        <v>15322090</v>
      </c>
      <c r="B2412">
        <v>0</v>
      </c>
      <c r="C2412">
        <v>0</v>
      </c>
      <c r="D2412">
        <v>0</v>
      </c>
      <c r="E2412">
        <v>0</v>
      </c>
      <c r="F2412">
        <v>1</v>
      </c>
      <c r="G2412">
        <v>3</v>
      </c>
      <c r="H2412">
        <v>0</v>
      </c>
    </row>
    <row r="2413" spans="1:8" x14ac:dyDescent="0.25">
      <c r="A2413">
        <v>15322091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15</v>
      </c>
      <c r="H2413">
        <v>0</v>
      </c>
    </row>
    <row r="2414" spans="1:8" x14ac:dyDescent="0.25">
      <c r="A2414">
        <v>15322094</v>
      </c>
      <c r="B2414">
        <v>1</v>
      </c>
      <c r="C2414">
        <v>0</v>
      </c>
      <c r="D2414">
        <v>0</v>
      </c>
      <c r="E2414">
        <v>0</v>
      </c>
      <c r="F2414">
        <v>0</v>
      </c>
      <c r="G2414">
        <v>12</v>
      </c>
      <c r="H2414">
        <v>0</v>
      </c>
    </row>
    <row r="2415" spans="1:8" x14ac:dyDescent="0.25">
      <c r="A2415">
        <v>15322110</v>
      </c>
      <c r="B2415">
        <v>-6</v>
      </c>
      <c r="C2415">
        <v>0</v>
      </c>
      <c r="D2415">
        <v>0</v>
      </c>
      <c r="E2415">
        <v>0</v>
      </c>
      <c r="F2415">
        <v>16</v>
      </c>
      <c r="G2415">
        <v>20</v>
      </c>
      <c r="H2415">
        <v>0</v>
      </c>
    </row>
    <row r="2416" spans="1:8" x14ac:dyDescent="0.25">
      <c r="A2416">
        <v>15322111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4</v>
      </c>
      <c r="H2416">
        <v>0</v>
      </c>
    </row>
    <row r="2417" spans="1:8" x14ac:dyDescent="0.25">
      <c r="A2417">
        <v>15332153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</row>
    <row r="2418" spans="1:8" x14ac:dyDescent="0.25">
      <c r="A2418">
        <v>15336074</v>
      </c>
      <c r="B2418">
        <v>3</v>
      </c>
      <c r="C2418">
        <v>0</v>
      </c>
      <c r="D2418">
        <v>0</v>
      </c>
      <c r="E2418">
        <v>0</v>
      </c>
      <c r="F2418">
        <v>3</v>
      </c>
      <c r="G2418">
        <v>6</v>
      </c>
      <c r="H2418">
        <v>0</v>
      </c>
    </row>
    <row r="2419" spans="1:8" x14ac:dyDescent="0.25">
      <c r="A2419">
        <v>15350810</v>
      </c>
      <c r="B2419">
        <v>1631</v>
      </c>
      <c r="C2419">
        <v>0</v>
      </c>
      <c r="D2419">
        <v>52</v>
      </c>
      <c r="E2419">
        <v>211</v>
      </c>
      <c r="F2419">
        <v>786</v>
      </c>
      <c r="G2419">
        <v>3890</v>
      </c>
      <c r="H2419">
        <v>588.62980000000005</v>
      </c>
    </row>
    <row r="2420" spans="1:8" x14ac:dyDescent="0.25">
      <c r="A2420">
        <v>15358314</v>
      </c>
      <c r="B2420">
        <v>1187</v>
      </c>
      <c r="C2420">
        <v>324</v>
      </c>
      <c r="D2420">
        <v>101</v>
      </c>
      <c r="E2420">
        <v>502</v>
      </c>
      <c r="F2420">
        <v>1404</v>
      </c>
      <c r="G2420">
        <v>2921</v>
      </c>
      <c r="H2420">
        <v>7.7439999999999998</v>
      </c>
    </row>
    <row r="2421" spans="1:8" x14ac:dyDescent="0.25">
      <c r="A2421">
        <v>15358315</v>
      </c>
      <c r="B2421">
        <v>692</v>
      </c>
      <c r="C2421">
        <v>408</v>
      </c>
      <c r="D2421">
        <v>63</v>
      </c>
      <c r="E2421">
        <v>278</v>
      </c>
      <c r="F2421">
        <v>853</v>
      </c>
      <c r="G2421">
        <v>1718</v>
      </c>
      <c r="H2421">
        <v>7.7119</v>
      </c>
    </row>
    <row r="2422" spans="1:8" x14ac:dyDescent="0.25">
      <c r="A2422">
        <v>15358316</v>
      </c>
      <c r="B2422">
        <v>862</v>
      </c>
      <c r="C2422">
        <v>192</v>
      </c>
      <c r="D2422">
        <v>34</v>
      </c>
      <c r="E2422">
        <v>130</v>
      </c>
      <c r="F2422">
        <v>523</v>
      </c>
      <c r="G2422">
        <v>1075</v>
      </c>
      <c r="H2422">
        <v>7.5391000000000004</v>
      </c>
    </row>
    <row r="2423" spans="1:8" x14ac:dyDescent="0.25">
      <c r="A2423">
        <v>15367383</v>
      </c>
      <c r="B2423">
        <v>37</v>
      </c>
      <c r="C2423">
        <v>0</v>
      </c>
      <c r="D2423">
        <v>2</v>
      </c>
      <c r="E2423">
        <v>3</v>
      </c>
      <c r="F2423">
        <v>48</v>
      </c>
      <c r="G2423">
        <v>180</v>
      </c>
      <c r="H2423">
        <v>44.99</v>
      </c>
    </row>
    <row r="2424" spans="1:8" x14ac:dyDescent="0.25">
      <c r="A2424">
        <v>15367384</v>
      </c>
      <c r="B2424">
        <v>1</v>
      </c>
      <c r="C2424">
        <v>0</v>
      </c>
      <c r="D2424">
        <v>0</v>
      </c>
      <c r="E2424">
        <v>0</v>
      </c>
      <c r="F2424">
        <v>5</v>
      </c>
      <c r="G2424">
        <v>38</v>
      </c>
      <c r="H2424">
        <v>0</v>
      </c>
    </row>
    <row r="2425" spans="1:8" x14ac:dyDescent="0.25">
      <c r="A2425">
        <v>15377640</v>
      </c>
      <c r="B2425">
        <v>252</v>
      </c>
      <c r="C2425">
        <v>0</v>
      </c>
      <c r="D2425">
        <v>5</v>
      </c>
      <c r="E2425">
        <v>17</v>
      </c>
      <c r="F2425">
        <v>69</v>
      </c>
      <c r="G2425">
        <v>221</v>
      </c>
      <c r="H2425">
        <v>27.404</v>
      </c>
    </row>
    <row r="2426" spans="1:8" x14ac:dyDescent="0.25">
      <c r="A2426">
        <v>15377641</v>
      </c>
      <c r="B2426">
        <v>1279</v>
      </c>
      <c r="C2426">
        <v>78</v>
      </c>
      <c r="D2426">
        <v>20</v>
      </c>
      <c r="E2426">
        <v>142</v>
      </c>
      <c r="F2426">
        <v>342</v>
      </c>
      <c r="G2426">
        <v>942</v>
      </c>
      <c r="H2426">
        <v>65.201499999999996</v>
      </c>
    </row>
    <row r="2427" spans="1:8" x14ac:dyDescent="0.25">
      <c r="A2427">
        <v>15377642</v>
      </c>
      <c r="B2427">
        <v>591</v>
      </c>
      <c r="C2427">
        <v>0</v>
      </c>
      <c r="D2427">
        <v>2</v>
      </c>
      <c r="E2427">
        <v>8</v>
      </c>
      <c r="F2427">
        <v>51</v>
      </c>
      <c r="G2427">
        <v>120</v>
      </c>
      <c r="H2427">
        <v>199.99</v>
      </c>
    </row>
    <row r="2428" spans="1:8" x14ac:dyDescent="0.25">
      <c r="A2428">
        <v>15377643</v>
      </c>
      <c r="B2428">
        <v>77</v>
      </c>
      <c r="C2428">
        <v>0</v>
      </c>
      <c r="D2428">
        <v>4</v>
      </c>
      <c r="E2428">
        <v>15</v>
      </c>
      <c r="F2428">
        <v>55</v>
      </c>
      <c r="G2428">
        <v>129</v>
      </c>
      <c r="H2428">
        <v>16.892499999999998</v>
      </c>
    </row>
    <row r="2429" spans="1:8" x14ac:dyDescent="0.25">
      <c r="A2429">
        <v>15381749</v>
      </c>
      <c r="B2429">
        <v>-1</v>
      </c>
      <c r="C2429">
        <v>0</v>
      </c>
      <c r="D2429">
        <v>0</v>
      </c>
      <c r="E2429">
        <v>0</v>
      </c>
      <c r="F2429">
        <v>0</v>
      </c>
      <c r="G2429">
        <v>2</v>
      </c>
      <c r="H2429">
        <v>0</v>
      </c>
    </row>
    <row r="2430" spans="1:8" x14ac:dyDescent="0.25">
      <c r="A2430">
        <v>15389458</v>
      </c>
      <c r="B2430">
        <v>7</v>
      </c>
      <c r="C2430">
        <v>0</v>
      </c>
      <c r="D2430">
        <v>0</v>
      </c>
      <c r="E2430">
        <v>0</v>
      </c>
      <c r="F2430">
        <v>2</v>
      </c>
      <c r="G2430">
        <v>12</v>
      </c>
      <c r="H2430">
        <v>0</v>
      </c>
    </row>
    <row r="2431" spans="1:8" x14ac:dyDescent="0.25">
      <c r="A2431">
        <v>15389459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7</v>
      </c>
      <c r="H2431">
        <v>0</v>
      </c>
    </row>
    <row r="2432" spans="1:8" x14ac:dyDescent="0.25">
      <c r="A2432">
        <v>15389461</v>
      </c>
      <c r="B2432">
        <v>5</v>
      </c>
      <c r="C2432">
        <v>0</v>
      </c>
      <c r="D2432">
        <v>0</v>
      </c>
      <c r="E2432">
        <v>0</v>
      </c>
      <c r="F2432">
        <v>3</v>
      </c>
      <c r="G2432">
        <v>36</v>
      </c>
      <c r="H2432">
        <v>0</v>
      </c>
    </row>
    <row r="2433" spans="1:8" x14ac:dyDescent="0.25">
      <c r="A2433">
        <v>15396604</v>
      </c>
      <c r="B2433">
        <v>-1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</row>
    <row r="2434" spans="1:8" x14ac:dyDescent="0.25">
      <c r="A2434">
        <v>15396605</v>
      </c>
      <c r="B2434">
        <v>1</v>
      </c>
      <c r="C2434">
        <v>0</v>
      </c>
      <c r="D2434">
        <v>0</v>
      </c>
      <c r="E2434">
        <v>0</v>
      </c>
      <c r="F2434">
        <v>82</v>
      </c>
      <c r="G2434">
        <v>126</v>
      </c>
      <c r="H2434">
        <v>0</v>
      </c>
    </row>
    <row r="2435" spans="1:8" x14ac:dyDescent="0.25">
      <c r="A2435">
        <v>15396606</v>
      </c>
      <c r="B2435">
        <v>-1</v>
      </c>
      <c r="C2435">
        <v>0</v>
      </c>
      <c r="D2435">
        <v>0</v>
      </c>
      <c r="E2435">
        <v>11</v>
      </c>
      <c r="F2435">
        <v>72</v>
      </c>
      <c r="G2435">
        <v>147</v>
      </c>
      <c r="H2435">
        <v>0</v>
      </c>
    </row>
    <row r="2436" spans="1:8" x14ac:dyDescent="0.25">
      <c r="A2436">
        <v>15416475</v>
      </c>
      <c r="B2436">
        <v>1</v>
      </c>
      <c r="C2436">
        <v>0</v>
      </c>
      <c r="D2436">
        <v>0</v>
      </c>
      <c r="E2436">
        <v>0</v>
      </c>
      <c r="F2436">
        <v>0</v>
      </c>
      <c r="G2436">
        <v>3</v>
      </c>
      <c r="H2436">
        <v>0</v>
      </c>
    </row>
    <row r="2437" spans="1:8" x14ac:dyDescent="0.25">
      <c r="A2437">
        <v>15459312</v>
      </c>
      <c r="B2437">
        <v>7</v>
      </c>
      <c r="C2437">
        <v>0</v>
      </c>
      <c r="D2437">
        <v>0</v>
      </c>
      <c r="E2437">
        <v>3</v>
      </c>
      <c r="F2437">
        <v>11</v>
      </c>
      <c r="G2437">
        <v>15</v>
      </c>
      <c r="H2437">
        <v>0</v>
      </c>
    </row>
    <row r="2438" spans="1:8" x14ac:dyDescent="0.25">
      <c r="A2438">
        <v>15459313</v>
      </c>
      <c r="B2438">
        <v>7</v>
      </c>
      <c r="C2438">
        <v>0</v>
      </c>
      <c r="D2438">
        <v>0</v>
      </c>
      <c r="E2438">
        <v>0</v>
      </c>
      <c r="F2438">
        <v>0</v>
      </c>
      <c r="G2438">
        <v>5</v>
      </c>
      <c r="H2438">
        <v>0</v>
      </c>
    </row>
    <row r="2439" spans="1:8" x14ac:dyDescent="0.25">
      <c r="A2439">
        <v>15459316</v>
      </c>
      <c r="B2439">
        <v>0</v>
      </c>
      <c r="C2439">
        <v>0</v>
      </c>
      <c r="D2439">
        <v>0</v>
      </c>
      <c r="E2439">
        <v>0</v>
      </c>
      <c r="F2439">
        <v>14</v>
      </c>
      <c r="G2439">
        <v>16</v>
      </c>
      <c r="H2439">
        <v>0</v>
      </c>
    </row>
    <row r="2440" spans="1:8" x14ac:dyDescent="0.25">
      <c r="A2440">
        <v>15492704</v>
      </c>
      <c r="B2440">
        <v>59</v>
      </c>
      <c r="C2440">
        <v>0</v>
      </c>
      <c r="D2440">
        <v>5</v>
      </c>
      <c r="E2440">
        <v>25</v>
      </c>
      <c r="F2440">
        <v>61</v>
      </c>
      <c r="G2440">
        <v>143</v>
      </c>
      <c r="H2440">
        <v>22.99</v>
      </c>
    </row>
    <row r="2441" spans="1:8" x14ac:dyDescent="0.25">
      <c r="A2441">
        <v>15501100</v>
      </c>
      <c r="B2441">
        <v>4</v>
      </c>
      <c r="C2441">
        <v>4</v>
      </c>
      <c r="D2441">
        <v>0</v>
      </c>
      <c r="E2441">
        <v>2</v>
      </c>
      <c r="F2441">
        <v>3</v>
      </c>
      <c r="G2441">
        <v>27</v>
      </c>
      <c r="H2441">
        <v>0</v>
      </c>
    </row>
    <row r="2442" spans="1:8" x14ac:dyDescent="0.25">
      <c r="A2442">
        <v>15501101</v>
      </c>
      <c r="B2442">
        <v>-2</v>
      </c>
      <c r="C2442">
        <v>0</v>
      </c>
      <c r="D2442">
        <v>0</v>
      </c>
      <c r="E2442">
        <v>0</v>
      </c>
      <c r="F2442">
        <v>4</v>
      </c>
      <c r="G2442">
        <v>7</v>
      </c>
      <c r="H2442">
        <v>0</v>
      </c>
    </row>
    <row r="2443" spans="1:8" x14ac:dyDescent="0.25">
      <c r="A2443">
        <v>15501103</v>
      </c>
      <c r="B2443">
        <v>16</v>
      </c>
      <c r="C2443">
        <v>0</v>
      </c>
      <c r="D2443">
        <v>0</v>
      </c>
      <c r="E2443">
        <v>2</v>
      </c>
      <c r="F2443">
        <v>3</v>
      </c>
      <c r="G2443">
        <v>6</v>
      </c>
      <c r="H2443">
        <v>0</v>
      </c>
    </row>
    <row r="2444" spans="1:8" x14ac:dyDescent="0.25">
      <c r="A2444">
        <v>15501104</v>
      </c>
      <c r="B2444">
        <v>13</v>
      </c>
      <c r="C2444">
        <v>0</v>
      </c>
      <c r="D2444">
        <v>0</v>
      </c>
      <c r="E2444">
        <v>0</v>
      </c>
      <c r="F2444">
        <v>13</v>
      </c>
      <c r="G2444">
        <v>20</v>
      </c>
      <c r="H2444">
        <v>0</v>
      </c>
    </row>
    <row r="2445" spans="1:8" x14ac:dyDescent="0.25">
      <c r="A2445">
        <v>15501105</v>
      </c>
      <c r="B2445">
        <v>27</v>
      </c>
      <c r="C2445">
        <v>0</v>
      </c>
      <c r="D2445">
        <v>1</v>
      </c>
      <c r="E2445">
        <v>3</v>
      </c>
      <c r="F2445">
        <v>4</v>
      </c>
      <c r="G2445">
        <v>6</v>
      </c>
      <c r="H2445">
        <v>23.99</v>
      </c>
    </row>
    <row r="2446" spans="1:8" x14ac:dyDescent="0.25">
      <c r="A2446">
        <v>15501106</v>
      </c>
      <c r="B2446">
        <v>23</v>
      </c>
      <c r="C2446">
        <v>0</v>
      </c>
      <c r="D2446">
        <v>0</v>
      </c>
      <c r="E2446">
        <v>2</v>
      </c>
      <c r="F2446">
        <v>6</v>
      </c>
      <c r="G2446">
        <v>10</v>
      </c>
      <c r="H2446">
        <v>0</v>
      </c>
    </row>
    <row r="2447" spans="1:8" x14ac:dyDescent="0.25">
      <c r="A2447">
        <v>15501108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1</v>
      </c>
      <c r="H2447">
        <v>0</v>
      </c>
    </row>
    <row r="2448" spans="1:8" x14ac:dyDescent="0.25">
      <c r="A2448">
        <v>15501109</v>
      </c>
      <c r="B2448">
        <v>20</v>
      </c>
      <c r="C2448">
        <v>0</v>
      </c>
      <c r="D2448">
        <v>0</v>
      </c>
      <c r="E2448">
        <v>0</v>
      </c>
      <c r="F2448">
        <v>4</v>
      </c>
      <c r="G2448">
        <v>13</v>
      </c>
      <c r="H2448">
        <v>0</v>
      </c>
    </row>
    <row r="2449" spans="1:8" x14ac:dyDescent="0.25">
      <c r="A2449">
        <v>15501110</v>
      </c>
      <c r="B2449">
        <v>22</v>
      </c>
      <c r="C2449">
        <v>2</v>
      </c>
      <c r="D2449">
        <v>0</v>
      </c>
      <c r="E2449">
        <v>0</v>
      </c>
      <c r="F2449">
        <v>2</v>
      </c>
      <c r="G2449">
        <v>9</v>
      </c>
      <c r="H2449">
        <v>0</v>
      </c>
    </row>
    <row r="2450" spans="1:8" x14ac:dyDescent="0.25">
      <c r="A2450">
        <v>15501111</v>
      </c>
      <c r="B2450">
        <v>17</v>
      </c>
      <c r="C2450">
        <v>0</v>
      </c>
      <c r="D2450">
        <v>0</v>
      </c>
      <c r="E2450">
        <v>1</v>
      </c>
      <c r="F2450">
        <v>6</v>
      </c>
      <c r="G2450">
        <v>20</v>
      </c>
      <c r="H2450">
        <v>0</v>
      </c>
    </row>
    <row r="2451" spans="1:8" x14ac:dyDescent="0.25">
      <c r="A2451">
        <v>15501112</v>
      </c>
      <c r="B2451">
        <v>9</v>
      </c>
      <c r="C2451">
        <v>1</v>
      </c>
      <c r="D2451">
        <v>1</v>
      </c>
      <c r="E2451">
        <v>3</v>
      </c>
      <c r="F2451">
        <v>9</v>
      </c>
      <c r="G2451">
        <v>21</v>
      </c>
      <c r="H2451">
        <v>23.99</v>
      </c>
    </row>
    <row r="2452" spans="1:8" x14ac:dyDescent="0.25">
      <c r="A2452">
        <v>15501113</v>
      </c>
      <c r="B2452">
        <v>11</v>
      </c>
      <c r="C2452">
        <v>0</v>
      </c>
      <c r="D2452">
        <v>0</v>
      </c>
      <c r="E2452">
        <v>1</v>
      </c>
      <c r="F2452">
        <v>6</v>
      </c>
      <c r="G2452">
        <v>24</v>
      </c>
      <c r="H2452">
        <v>0</v>
      </c>
    </row>
    <row r="2453" spans="1:8" x14ac:dyDescent="0.25">
      <c r="A2453">
        <v>15501115</v>
      </c>
      <c r="B2453">
        <v>85</v>
      </c>
      <c r="C2453">
        <v>20</v>
      </c>
      <c r="D2453">
        <v>5</v>
      </c>
      <c r="E2453">
        <v>17</v>
      </c>
      <c r="F2453">
        <v>72</v>
      </c>
      <c r="G2453">
        <v>129</v>
      </c>
      <c r="H2453">
        <v>16.989999999999998</v>
      </c>
    </row>
    <row r="2454" spans="1:8" x14ac:dyDescent="0.25">
      <c r="A2454">
        <v>15501116</v>
      </c>
      <c r="B2454">
        <v>26</v>
      </c>
      <c r="C2454">
        <v>3</v>
      </c>
      <c r="D2454">
        <v>0</v>
      </c>
      <c r="E2454">
        <v>3</v>
      </c>
      <c r="F2454">
        <v>24</v>
      </c>
      <c r="G2454">
        <v>36</v>
      </c>
      <c r="H2454">
        <v>0</v>
      </c>
    </row>
    <row r="2455" spans="1:8" x14ac:dyDescent="0.25">
      <c r="A2455">
        <v>15501117</v>
      </c>
      <c r="B2455">
        <v>9</v>
      </c>
      <c r="C2455">
        <v>2</v>
      </c>
      <c r="D2455">
        <v>0</v>
      </c>
      <c r="E2455">
        <v>-1</v>
      </c>
      <c r="F2455">
        <v>9</v>
      </c>
      <c r="G2455">
        <v>14</v>
      </c>
      <c r="H2455">
        <v>0</v>
      </c>
    </row>
    <row r="2456" spans="1:8" x14ac:dyDescent="0.25">
      <c r="A2456">
        <v>15501118</v>
      </c>
      <c r="B2456">
        <v>39</v>
      </c>
      <c r="C2456">
        <v>36</v>
      </c>
      <c r="D2456">
        <v>5</v>
      </c>
      <c r="E2456">
        <v>15</v>
      </c>
      <c r="F2456">
        <v>35</v>
      </c>
      <c r="G2456">
        <v>42</v>
      </c>
      <c r="H2456">
        <v>32.514000000000003</v>
      </c>
    </row>
    <row r="2457" spans="1:8" x14ac:dyDescent="0.25">
      <c r="A2457">
        <v>15501119</v>
      </c>
      <c r="B2457">
        <v>86</v>
      </c>
      <c r="C2457">
        <v>17</v>
      </c>
      <c r="D2457">
        <v>7</v>
      </c>
      <c r="E2457">
        <v>20</v>
      </c>
      <c r="F2457">
        <v>55</v>
      </c>
      <c r="G2457">
        <v>111</v>
      </c>
      <c r="H2457">
        <v>27.674299999999999</v>
      </c>
    </row>
    <row r="2458" spans="1:8" x14ac:dyDescent="0.25">
      <c r="A2458">
        <v>15501120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3</v>
      </c>
      <c r="H2458">
        <v>0</v>
      </c>
    </row>
    <row r="2459" spans="1:8" x14ac:dyDescent="0.25">
      <c r="A2459">
        <v>15501122</v>
      </c>
      <c r="B2459">
        <v>3</v>
      </c>
      <c r="C2459">
        <v>14</v>
      </c>
      <c r="D2459">
        <v>0</v>
      </c>
      <c r="E2459">
        <v>0</v>
      </c>
      <c r="F2459">
        <v>13</v>
      </c>
      <c r="G2459">
        <v>28</v>
      </c>
      <c r="H2459">
        <v>0</v>
      </c>
    </row>
    <row r="2460" spans="1:8" x14ac:dyDescent="0.25">
      <c r="A2460">
        <v>15501125</v>
      </c>
      <c r="B2460">
        <v>5</v>
      </c>
      <c r="C2460">
        <v>0</v>
      </c>
      <c r="D2460">
        <v>0</v>
      </c>
      <c r="E2460">
        <v>2</v>
      </c>
      <c r="F2460">
        <v>3</v>
      </c>
      <c r="G2460">
        <v>4</v>
      </c>
      <c r="H2460">
        <v>0</v>
      </c>
    </row>
    <row r="2461" spans="1:8" x14ac:dyDescent="0.25">
      <c r="A2461">
        <v>15501126</v>
      </c>
      <c r="B2461">
        <v>1</v>
      </c>
      <c r="C2461">
        <v>0</v>
      </c>
      <c r="D2461">
        <v>0</v>
      </c>
      <c r="E2461">
        <v>0</v>
      </c>
      <c r="F2461">
        <v>3</v>
      </c>
      <c r="G2461">
        <v>10</v>
      </c>
      <c r="H2461">
        <v>0</v>
      </c>
    </row>
    <row r="2462" spans="1:8" x14ac:dyDescent="0.25">
      <c r="A2462">
        <v>15501127</v>
      </c>
      <c r="B2462">
        <v>0</v>
      </c>
      <c r="C2462">
        <v>0</v>
      </c>
      <c r="D2462">
        <v>0</v>
      </c>
      <c r="E2462">
        <v>0</v>
      </c>
      <c r="F2462">
        <v>2</v>
      </c>
      <c r="G2462">
        <v>12</v>
      </c>
      <c r="H2462">
        <v>0</v>
      </c>
    </row>
    <row r="2463" spans="1:8" x14ac:dyDescent="0.25">
      <c r="A2463">
        <v>15501128</v>
      </c>
      <c r="B2463">
        <v>1</v>
      </c>
      <c r="C2463">
        <v>0</v>
      </c>
      <c r="D2463">
        <v>0</v>
      </c>
      <c r="E2463">
        <v>0</v>
      </c>
      <c r="F2463">
        <v>3</v>
      </c>
      <c r="G2463">
        <v>4</v>
      </c>
      <c r="H2463">
        <v>0</v>
      </c>
    </row>
    <row r="2464" spans="1:8" x14ac:dyDescent="0.25">
      <c r="A2464">
        <v>15501129</v>
      </c>
      <c r="B2464">
        <v>0</v>
      </c>
      <c r="C2464">
        <v>0</v>
      </c>
      <c r="D2464">
        <v>0</v>
      </c>
      <c r="E2464">
        <v>0</v>
      </c>
      <c r="F2464">
        <v>4</v>
      </c>
      <c r="G2464">
        <v>13</v>
      </c>
      <c r="H2464">
        <v>0</v>
      </c>
    </row>
    <row r="2465" spans="1:8" x14ac:dyDescent="0.25">
      <c r="A2465">
        <v>15501130</v>
      </c>
      <c r="B2465">
        <v>-2</v>
      </c>
      <c r="C2465">
        <v>0</v>
      </c>
      <c r="D2465">
        <v>0</v>
      </c>
      <c r="E2465">
        <v>2</v>
      </c>
      <c r="F2465">
        <v>3</v>
      </c>
      <c r="G2465">
        <v>4</v>
      </c>
      <c r="H2465">
        <v>0</v>
      </c>
    </row>
    <row r="2466" spans="1:8" x14ac:dyDescent="0.25">
      <c r="A2466">
        <v>15501131</v>
      </c>
      <c r="B2466">
        <v>2</v>
      </c>
      <c r="C2466">
        <v>45</v>
      </c>
      <c r="D2466">
        <v>4</v>
      </c>
      <c r="E2466">
        <v>12</v>
      </c>
      <c r="F2466">
        <v>34</v>
      </c>
      <c r="G2466">
        <v>55</v>
      </c>
      <c r="H2466">
        <v>16.512499999999999</v>
      </c>
    </row>
    <row r="2467" spans="1:8" x14ac:dyDescent="0.25">
      <c r="A2467">
        <v>15501132</v>
      </c>
      <c r="B2467">
        <v>26</v>
      </c>
      <c r="C2467">
        <v>0</v>
      </c>
      <c r="D2467">
        <v>0</v>
      </c>
      <c r="E2467">
        <v>4</v>
      </c>
      <c r="F2467">
        <v>9</v>
      </c>
      <c r="G2467">
        <v>11</v>
      </c>
      <c r="H2467">
        <v>0</v>
      </c>
    </row>
    <row r="2468" spans="1:8" x14ac:dyDescent="0.25">
      <c r="A2468">
        <v>15501133</v>
      </c>
      <c r="B2468">
        <v>22</v>
      </c>
      <c r="C2468">
        <v>0</v>
      </c>
      <c r="D2468">
        <v>0</v>
      </c>
      <c r="E2468">
        <v>0</v>
      </c>
      <c r="F2468">
        <v>2</v>
      </c>
      <c r="G2468">
        <v>3</v>
      </c>
      <c r="H2468">
        <v>0</v>
      </c>
    </row>
    <row r="2469" spans="1:8" x14ac:dyDescent="0.25">
      <c r="A2469">
        <v>15501134</v>
      </c>
      <c r="B2469">
        <v>-1</v>
      </c>
      <c r="C2469">
        <v>0</v>
      </c>
      <c r="D2469">
        <v>0</v>
      </c>
      <c r="E2469">
        <v>0</v>
      </c>
      <c r="F2469">
        <v>2</v>
      </c>
      <c r="G2469">
        <v>2</v>
      </c>
      <c r="H2469">
        <v>0</v>
      </c>
    </row>
    <row r="2470" spans="1:8" x14ac:dyDescent="0.25">
      <c r="A2470">
        <v>15501135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</row>
    <row r="2471" spans="1:8" x14ac:dyDescent="0.25">
      <c r="A2471">
        <v>15501136</v>
      </c>
      <c r="B2471">
        <v>18</v>
      </c>
      <c r="C2471">
        <v>2</v>
      </c>
      <c r="D2471">
        <v>0</v>
      </c>
      <c r="E2471">
        <v>2</v>
      </c>
      <c r="F2471">
        <v>8</v>
      </c>
      <c r="G2471">
        <v>10</v>
      </c>
      <c r="H2471">
        <v>0</v>
      </c>
    </row>
    <row r="2472" spans="1:8" x14ac:dyDescent="0.25">
      <c r="A2472">
        <v>15501137</v>
      </c>
      <c r="B2472">
        <v>20</v>
      </c>
      <c r="C2472">
        <v>1</v>
      </c>
      <c r="D2472">
        <v>1</v>
      </c>
      <c r="E2472">
        <v>2</v>
      </c>
      <c r="F2472">
        <v>9</v>
      </c>
      <c r="G2472">
        <v>19</v>
      </c>
      <c r="H2472">
        <v>21.99</v>
      </c>
    </row>
    <row r="2473" spans="1:8" x14ac:dyDescent="0.25">
      <c r="A2473">
        <v>15501139</v>
      </c>
      <c r="B2473">
        <v>-3</v>
      </c>
      <c r="C2473">
        <v>0</v>
      </c>
      <c r="D2473">
        <v>0</v>
      </c>
      <c r="E2473">
        <v>0</v>
      </c>
      <c r="F2473">
        <v>0</v>
      </c>
      <c r="G2473">
        <v>6</v>
      </c>
      <c r="H2473">
        <v>0</v>
      </c>
    </row>
    <row r="2474" spans="1:8" x14ac:dyDescent="0.25">
      <c r="A2474">
        <v>15501140</v>
      </c>
      <c r="B2474">
        <v>8</v>
      </c>
      <c r="C2474">
        <v>0</v>
      </c>
      <c r="D2474">
        <v>2</v>
      </c>
      <c r="E2474">
        <v>15</v>
      </c>
      <c r="F2474">
        <v>17</v>
      </c>
      <c r="G2474">
        <v>36</v>
      </c>
      <c r="H2474">
        <v>6.99</v>
      </c>
    </row>
    <row r="2475" spans="1:8" x14ac:dyDescent="0.25">
      <c r="A2475">
        <v>15501141</v>
      </c>
      <c r="B2475">
        <v>13</v>
      </c>
      <c r="C2475">
        <v>0</v>
      </c>
      <c r="D2475">
        <v>0</v>
      </c>
      <c r="E2475">
        <v>2</v>
      </c>
      <c r="F2475">
        <v>6</v>
      </c>
      <c r="G2475">
        <v>7</v>
      </c>
      <c r="H2475">
        <v>0</v>
      </c>
    </row>
    <row r="2476" spans="1:8" x14ac:dyDescent="0.25">
      <c r="A2476">
        <v>15501142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1</v>
      </c>
      <c r="H2476">
        <v>0</v>
      </c>
    </row>
    <row r="2477" spans="1:8" x14ac:dyDescent="0.25">
      <c r="A2477">
        <v>15501230</v>
      </c>
      <c r="B2477">
        <v>40</v>
      </c>
      <c r="C2477">
        <v>0</v>
      </c>
      <c r="D2477">
        <v>5</v>
      </c>
      <c r="E2477">
        <v>24</v>
      </c>
      <c r="F2477">
        <v>81</v>
      </c>
      <c r="G2477">
        <v>170</v>
      </c>
      <c r="H2477">
        <v>155</v>
      </c>
    </row>
    <row r="2478" spans="1:8" x14ac:dyDescent="0.25">
      <c r="A2478">
        <v>15516586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1</v>
      </c>
      <c r="H2478">
        <v>0</v>
      </c>
    </row>
    <row r="2479" spans="1:8" x14ac:dyDescent="0.25">
      <c r="A2479">
        <v>15521173</v>
      </c>
      <c r="B2479">
        <v>313</v>
      </c>
      <c r="C2479">
        <v>12</v>
      </c>
      <c r="D2479">
        <v>13</v>
      </c>
      <c r="E2479">
        <v>42</v>
      </c>
      <c r="F2479">
        <v>147</v>
      </c>
      <c r="G2479">
        <v>348</v>
      </c>
      <c r="H2479">
        <v>252.9238</v>
      </c>
    </row>
    <row r="2480" spans="1:8" x14ac:dyDescent="0.25">
      <c r="A2480">
        <v>15521174</v>
      </c>
      <c r="B2480">
        <v>311</v>
      </c>
      <c r="C2480">
        <v>0</v>
      </c>
      <c r="D2480">
        <v>7</v>
      </c>
      <c r="E2480">
        <v>19</v>
      </c>
      <c r="F2480">
        <v>72</v>
      </c>
      <c r="G2480">
        <v>204</v>
      </c>
      <c r="H2480">
        <v>259.41000000000003</v>
      </c>
    </row>
    <row r="2481" spans="1:8" x14ac:dyDescent="0.25">
      <c r="A2481">
        <v>15526717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27</v>
      </c>
      <c r="H2481">
        <v>0</v>
      </c>
    </row>
    <row r="2482" spans="1:8" x14ac:dyDescent="0.25">
      <c r="A2482">
        <v>15527026</v>
      </c>
      <c r="B2482">
        <v>34</v>
      </c>
      <c r="C2482">
        <v>0</v>
      </c>
      <c r="D2482">
        <v>4</v>
      </c>
      <c r="E2482">
        <v>16</v>
      </c>
      <c r="F2482">
        <v>54</v>
      </c>
      <c r="G2482">
        <v>116</v>
      </c>
      <c r="H2482">
        <v>33.44</v>
      </c>
    </row>
    <row r="2483" spans="1:8" x14ac:dyDescent="0.25">
      <c r="A2483">
        <v>15527027</v>
      </c>
      <c r="B2483">
        <v>110</v>
      </c>
      <c r="C2483">
        <v>0</v>
      </c>
      <c r="D2483">
        <v>0</v>
      </c>
      <c r="E2483">
        <v>2</v>
      </c>
      <c r="F2483">
        <v>7</v>
      </c>
      <c r="G2483">
        <v>72</v>
      </c>
      <c r="H2483">
        <v>0</v>
      </c>
    </row>
    <row r="2484" spans="1:8" x14ac:dyDescent="0.25">
      <c r="A2484">
        <v>15527028</v>
      </c>
      <c r="B2484">
        <v>275</v>
      </c>
      <c r="C2484">
        <v>0</v>
      </c>
      <c r="D2484">
        <v>11</v>
      </c>
      <c r="E2484">
        <v>34</v>
      </c>
      <c r="F2484">
        <v>113</v>
      </c>
      <c r="G2484">
        <v>253</v>
      </c>
      <c r="H2484">
        <v>52.250900000000001</v>
      </c>
    </row>
    <row r="2485" spans="1:8" x14ac:dyDescent="0.25">
      <c r="A2485">
        <v>15527029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2</v>
      </c>
      <c r="H2485">
        <v>0</v>
      </c>
    </row>
    <row r="2486" spans="1:8" x14ac:dyDescent="0.25">
      <c r="A2486">
        <v>15527031</v>
      </c>
      <c r="B2486">
        <v>72</v>
      </c>
      <c r="C2486">
        <v>0</v>
      </c>
      <c r="D2486">
        <v>3</v>
      </c>
      <c r="E2486">
        <v>7</v>
      </c>
      <c r="F2486">
        <v>23</v>
      </c>
      <c r="G2486">
        <v>78</v>
      </c>
      <c r="H2486">
        <v>124.99</v>
      </c>
    </row>
    <row r="2487" spans="1:8" x14ac:dyDescent="0.25">
      <c r="A2487">
        <v>15527032</v>
      </c>
      <c r="B2487">
        <v>122</v>
      </c>
      <c r="C2487">
        <v>16</v>
      </c>
      <c r="D2487">
        <v>2</v>
      </c>
      <c r="E2487">
        <v>16</v>
      </c>
      <c r="F2487">
        <v>51</v>
      </c>
      <c r="G2487">
        <v>160</v>
      </c>
      <c r="H2487">
        <v>84.99</v>
      </c>
    </row>
    <row r="2488" spans="1:8" x14ac:dyDescent="0.25">
      <c r="A2488">
        <v>15531947</v>
      </c>
      <c r="B2488">
        <v>-1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</row>
    <row r="2489" spans="1:8" x14ac:dyDescent="0.25">
      <c r="A2489">
        <v>15531951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</row>
    <row r="2490" spans="1:8" x14ac:dyDescent="0.25">
      <c r="A2490">
        <v>15531953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</row>
    <row r="2491" spans="1:8" x14ac:dyDescent="0.25">
      <c r="A2491">
        <v>15531962</v>
      </c>
      <c r="B2491">
        <v>2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</row>
    <row r="2492" spans="1:8" x14ac:dyDescent="0.25">
      <c r="A2492">
        <v>15531965</v>
      </c>
      <c r="B2492">
        <v>0</v>
      </c>
      <c r="C2492">
        <v>0</v>
      </c>
      <c r="D2492">
        <v>0</v>
      </c>
      <c r="E2492">
        <v>0</v>
      </c>
      <c r="F2492">
        <v>1</v>
      </c>
      <c r="G2492">
        <v>1</v>
      </c>
      <c r="H2492">
        <v>0</v>
      </c>
    </row>
    <row r="2493" spans="1:8" x14ac:dyDescent="0.25">
      <c r="A2493">
        <v>15531990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3</v>
      </c>
      <c r="H2493">
        <v>0</v>
      </c>
    </row>
    <row r="2494" spans="1:8" x14ac:dyDescent="0.25">
      <c r="A2494">
        <v>15588502</v>
      </c>
      <c r="B2494">
        <v>183</v>
      </c>
      <c r="C2494">
        <v>0</v>
      </c>
      <c r="D2494">
        <v>4</v>
      </c>
      <c r="E2494">
        <v>15</v>
      </c>
      <c r="F2494">
        <v>50</v>
      </c>
      <c r="G2494">
        <v>112</v>
      </c>
      <c r="H2494">
        <v>79.989999999999995</v>
      </c>
    </row>
    <row r="2495" spans="1:8" x14ac:dyDescent="0.25">
      <c r="A2495">
        <v>15622980</v>
      </c>
      <c r="B2495">
        <v>-2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</row>
    <row r="2496" spans="1:8" x14ac:dyDescent="0.25">
      <c r="A2496">
        <v>15629618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</row>
    <row r="2497" spans="1:8" x14ac:dyDescent="0.25">
      <c r="A2497">
        <v>15629619</v>
      </c>
      <c r="B2497">
        <v>-1</v>
      </c>
      <c r="C2497">
        <v>0</v>
      </c>
      <c r="D2497">
        <v>0</v>
      </c>
      <c r="E2497">
        <v>1</v>
      </c>
      <c r="F2497">
        <v>3</v>
      </c>
      <c r="G2497">
        <v>4</v>
      </c>
      <c r="H2497">
        <v>0</v>
      </c>
    </row>
    <row r="2498" spans="1:8" x14ac:dyDescent="0.25">
      <c r="A2498">
        <v>15629620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</row>
    <row r="2499" spans="1:8" x14ac:dyDescent="0.25">
      <c r="A2499">
        <v>15629622</v>
      </c>
      <c r="B2499">
        <v>1</v>
      </c>
      <c r="C2499">
        <v>0</v>
      </c>
      <c r="D2499">
        <v>0</v>
      </c>
      <c r="E2499">
        <v>0</v>
      </c>
      <c r="F2499">
        <v>1</v>
      </c>
      <c r="G2499">
        <v>5</v>
      </c>
      <c r="H2499">
        <v>0</v>
      </c>
    </row>
    <row r="2500" spans="1:8" x14ac:dyDescent="0.25">
      <c r="A2500">
        <v>15647742</v>
      </c>
      <c r="B2500">
        <v>11</v>
      </c>
      <c r="C2500">
        <v>0</v>
      </c>
      <c r="D2500">
        <v>0</v>
      </c>
      <c r="E2500">
        <v>0</v>
      </c>
      <c r="F2500">
        <v>11</v>
      </c>
      <c r="G2500">
        <v>24</v>
      </c>
      <c r="H2500">
        <v>0</v>
      </c>
    </row>
    <row r="2501" spans="1:8" x14ac:dyDescent="0.25">
      <c r="A2501">
        <v>15657428</v>
      </c>
      <c r="B2501">
        <v>13</v>
      </c>
      <c r="C2501">
        <v>30</v>
      </c>
      <c r="D2501">
        <v>1</v>
      </c>
      <c r="E2501">
        <v>2</v>
      </c>
      <c r="F2501">
        <v>12</v>
      </c>
      <c r="G2501">
        <v>15</v>
      </c>
      <c r="H2501">
        <v>68.989999999999995</v>
      </c>
    </row>
    <row r="2502" spans="1:8" x14ac:dyDescent="0.25">
      <c r="A2502">
        <v>15657429</v>
      </c>
      <c r="B2502">
        <v>21</v>
      </c>
      <c r="C2502">
        <v>58</v>
      </c>
      <c r="D2502">
        <v>0</v>
      </c>
      <c r="E2502">
        <v>0</v>
      </c>
      <c r="F2502">
        <v>8</v>
      </c>
      <c r="G2502">
        <v>9</v>
      </c>
      <c r="H2502">
        <v>0</v>
      </c>
    </row>
    <row r="2503" spans="1:8" x14ac:dyDescent="0.25">
      <c r="A2503">
        <v>15662735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1</v>
      </c>
      <c r="H2503">
        <v>0</v>
      </c>
    </row>
    <row r="2504" spans="1:8" x14ac:dyDescent="0.25">
      <c r="A2504">
        <v>15662736</v>
      </c>
      <c r="B2504">
        <v>1</v>
      </c>
      <c r="C2504">
        <v>0</v>
      </c>
      <c r="D2504">
        <v>0</v>
      </c>
      <c r="E2504">
        <v>0</v>
      </c>
      <c r="F2504">
        <v>2</v>
      </c>
      <c r="G2504">
        <v>4</v>
      </c>
      <c r="H2504">
        <v>0</v>
      </c>
    </row>
    <row r="2505" spans="1:8" x14ac:dyDescent="0.25">
      <c r="A2505">
        <v>15662737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2</v>
      </c>
      <c r="H2505">
        <v>0</v>
      </c>
    </row>
    <row r="2506" spans="1:8" x14ac:dyDescent="0.25">
      <c r="A2506">
        <v>15662738</v>
      </c>
      <c r="B2506">
        <v>12</v>
      </c>
      <c r="C2506">
        <v>0</v>
      </c>
      <c r="D2506">
        <v>0</v>
      </c>
      <c r="E2506">
        <v>0</v>
      </c>
      <c r="F2506">
        <v>1</v>
      </c>
      <c r="G2506">
        <v>5</v>
      </c>
      <c r="H2506">
        <v>0</v>
      </c>
    </row>
    <row r="2507" spans="1:8" x14ac:dyDescent="0.25">
      <c r="A2507">
        <v>15662739</v>
      </c>
      <c r="B2507">
        <v>-2</v>
      </c>
      <c r="C2507">
        <v>0</v>
      </c>
      <c r="D2507">
        <v>0</v>
      </c>
      <c r="E2507">
        <v>0</v>
      </c>
      <c r="F2507">
        <v>0</v>
      </c>
      <c r="G2507">
        <v>8</v>
      </c>
      <c r="H2507">
        <v>0</v>
      </c>
    </row>
    <row r="2508" spans="1:8" x14ac:dyDescent="0.25">
      <c r="A2508">
        <v>15738080</v>
      </c>
      <c r="B2508">
        <v>6</v>
      </c>
      <c r="C2508">
        <v>0</v>
      </c>
      <c r="D2508">
        <v>0</v>
      </c>
      <c r="E2508">
        <v>0</v>
      </c>
      <c r="F2508">
        <v>6</v>
      </c>
      <c r="G2508">
        <v>10</v>
      </c>
      <c r="H2508">
        <v>0</v>
      </c>
    </row>
    <row r="2509" spans="1:8" x14ac:dyDescent="0.25">
      <c r="A2509">
        <v>15738081</v>
      </c>
      <c r="B2509">
        <v>8</v>
      </c>
      <c r="C2509">
        <v>0</v>
      </c>
      <c r="D2509">
        <v>1</v>
      </c>
      <c r="E2509">
        <v>1</v>
      </c>
      <c r="F2509">
        <v>3</v>
      </c>
      <c r="G2509">
        <v>4</v>
      </c>
      <c r="H2509">
        <v>399.97</v>
      </c>
    </row>
    <row r="2510" spans="1:8" x14ac:dyDescent="0.25">
      <c r="A2510">
        <v>15738344</v>
      </c>
      <c r="B2510">
        <v>35</v>
      </c>
      <c r="C2510">
        <v>0</v>
      </c>
      <c r="D2510">
        <v>1</v>
      </c>
      <c r="E2510">
        <v>1</v>
      </c>
      <c r="F2510">
        <v>23</v>
      </c>
      <c r="G2510">
        <v>48</v>
      </c>
      <c r="H2510">
        <v>149.99</v>
      </c>
    </row>
    <row r="2511" spans="1:8" x14ac:dyDescent="0.25">
      <c r="A2511">
        <v>15787361</v>
      </c>
      <c r="B2511">
        <v>-1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</row>
    <row r="2512" spans="1:8" x14ac:dyDescent="0.25">
      <c r="A2512">
        <v>15922315</v>
      </c>
      <c r="B2512">
        <v>9</v>
      </c>
      <c r="C2512">
        <v>0</v>
      </c>
      <c r="D2512">
        <v>0</v>
      </c>
      <c r="E2512">
        <v>0</v>
      </c>
      <c r="F2512">
        <v>2</v>
      </c>
      <c r="G2512">
        <v>2</v>
      </c>
      <c r="H2512">
        <v>0</v>
      </c>
    </row>
    <row r="2513" spans="1:8" x14ac:dyDescent="0.25">
      <c r="A2513">
        <v>15922316</v>
      </c>
      <c r="B2513">
        <v>10</v>
      </c>
      <c r="C2513">
        <v>0</v>
      </c>
      <c r="D2513">
        <v>0</v>
      </c>
      <c r="E2513">
        <v>0</v>
      </c>
      <c r="F2513">
        <v>1</v>
      </c>
      <c r="G2513">
        <v>1</v>
      </c>
      <c r="H2513">
        <v>0</v>
      </c>
    </row>
    <row r="2514" spans="1:8" x14ac:dyDescent="0.25">
      <c r="A2514">
        <v>15932529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</row>
    <row r="2515" spans="1:8" x14ac:dyDescent="0.25">
      <c r="A2515">
        <v>15932530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</row>
    <row r="2516" spans="1:8" x14ac:dyDescent="0.25">
      <c r="A2516">
        <v>15932531</v>
      </c>
      <c r="B2516">
        <v>5</v>
      </c>
      <c r="C2516">
        <v>0</v>
      </c>
      <c r="D2516">
        <v>0</v>
      </c>
      <c r="E2516">
        <v>0</v>
      </c>
      <c r="F2516">
        <v>6</v>
      </c>
      <c r="G2516">
        <v>19</v>
      </c>
      <c r="H2516">
        <v>0</v>
      </c>
    </row>
    <row r="2517" spans="1:8" x14ac:dyDescent="0.25">
      <c r="A2517">
        <v>15932533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</row>
    <row r="2518" spans="1:8" x14ac:dyDescent="0.25">
      <c r="A2518">
        <v>15932534</v>
      </c>
      <c r="B2518">
        <v>7</v>
      </c>
      <c r="C2518">
        <v>0</v>
      </c>
      <c r="D2518">
        <v>1</v>
      </c>
      <c r="E2518">
        <v>1</v>
      </c>
      <c r="F2518">
        <v>2</v>
      </c>
      <c r="G2518">
        <v>9</v>
      </c>
      <c r="H2518">
        <v>576.25</v>
      </c>
    </row>
    <row r="2519" spans="1:8" x14ac:dyDescent="0.25">
      <c r="A2519">
        <v>15932535</v>
      </c>
      <c r="B2519">
        <v>0</v>
      </c>
      <c r="C2519">
        <v>0</v>
      </c>
      <c r="D2519">
        <v>0</v>
      </c>
      <c r="E2519">
        <v>0</v>
      </c>
      <c r="F2519">
        <v>1</v>
      </c>
      <c r="G2519">
        <v>2</v>
      </c>
      <c r="H2519">
        <v>0</v>
      </c>
    </row>
    <row r="2520" spans="1:8" x14ac:dyDescent="0.25">
      <c r="A2520">
        <v>15932536</v>
      </c>
      <c r="B2520">
        <v>1</v>
      </c>
      <c r="C2520">
        <v>0</v>
      </c>
      <c r="D2520">
        <v>0</v>
      </c>
      <c r="E2520">
        <v>-1</v>
      </c>
      <c r="F2520">
        <v>0</v>
      </c>
      <c r="G2520">
        <v>1</v>
      </c>
      <c r="H2520">
        <v>0</v>
      </c>
    </row>
    <row r="2521" spans="1:8" x14ac:dyDescent="0.25">
      <c r="A2521">
        <v>15932537</v>
      </c>
      <c r="B2521">
        <v>1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</row>
    <row r="2522" spans="1:8" x14ac:dyDescent="0.25">
      <c r="A2522">
        <v>15932538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2</v>
      </c>
      <c r="H2522">
        <v>0</v>
      </c>
    </row>
    <row r="2523" spans="1:8" x14ac:dyDescent="0.25">
      <c r="A2523">
        <v>15997314</v>
      </c>
      <c r="B2523">
        <v>13</v>
      </c>
      <c r="C2523">
        <v>0</v>
      </c>
      <c r="D2523">
        <v>0</v>
      </c>
      <c r="E2523">
        <v>0</v>
      </c>
      <c r="F2523">
        <v>0</v>
      </c>
      <c r="G2523">
        <v>1</v>
      </c>
      <c r="H2523">
        <v>0</v>
      </c>
    </row>
    <row r="2524" spans="1:8" x14ac:dyDescent="0.25">
      <c r="A2524">
        <v>16173892</v>
      </c>
      <c r="B2524">
        <v>71</v>
      </c>
      <c r="C2524">
        <v>0</v>
      </c>
      <c r="D2524">
        <v>3</v>
      </c>
      <c r="E2524">
        <v>10</v>
      </c>
      <c r="F2524">
        <v>53</v>
      </c>
      <c r="G2524">
        <v>164</v>
      </c>
      <c r="H2524">
        <v>149.99</v>
      </c>
    </row>
    <row r="2525" spans="1:8" x14ac:dyDescent="0.25">
      <c r="A2525">
        <v>16174269</v>
      </c>
      <c r="B2525">
        <v>38</v>
      </c>
      <c r="C2525">
        <v>0</v>
      </c>
      <c r="D2525">
        <v>5</v>
      </c>
      <c r="E2525">
        <v>21</v>
      </c>
      <c r="F2525">
        <v>142</v>
      </c>
      <c r="G2525">
        <v>390</v>
      </c>
      <c r="H2525">
        <v>105.084</v>
      </c>
    </row>
    <row r="2526" spans="1:8" x14ac:dyDescent="0.25">
      <c r="A2526">
        <v>16232313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1</v>
      </c>
      <c r="H2526">
        <v>0</v>
      </c>
    </row>
    <row r="2527" spans="1:8" x14ac:dyDescent="0.25">
      <c r="A2527">
        <v>16232314</v>
      </c>
      <c r="B2527">
        <v>2</v>
      </c>
      <c r="C2527">
        <v>0</v>
      </c>
      <c r="D2527">
        <v>0</v>
      </c>
      <c r="E2527">
        <v>0</v>
      </c>
      <c r="F2527">
        <v>1</v>
      </c>
      <c r="G2527">
        <v>2</v>
      </c>
      <c r="H2527">
        <v>0</v>
      </c>
    </row>
    <row r="2528" spans="1:8" x14ac:dyDescent="0.25">
      <c r="A2528">
        <v>16292506</v>
      </c>
      <c r="B2528">
        <v>411</v>
      </c>
      <c r="C2528">
        <v>54</v>
      </c>
      <c r="D2528">
        <v>18</v>
      </c>
      <c r="E2528">
        <v>94</v>
      </c>
      <c r="F2528">
        <v>315</v>
      </c>
      <c r="G2528">
        <v>807</v>
      </c>
      <c r="H2528">
        <v>37.478900000000003</v>
      </c>
    </row>
    <row r="2529" spans="1:8" x14ac:dyDescent="0.25">
      <c r="A2529">
        <v>16292508</v>
      </c>
      <c r="B2529">
        <v>574</v>
      </c>
      <c r="C2529">
        <v>66</v>
      </c>
      <c r="D2529">
        <v>33</v>
      </c>
      <c r="E2529">
        <v>139</v>
      </c>
      <c r="F2529">
        <v>439</v>
      </c>
      <c r="G2529">
        <v>1092</v>
      </c>
      <c r="H2529">
        <v>39.276699999999998</v>
      </c>
    </row>
    <row r="2530" spans="1:8" x14ac:dyDescent="0.25">
      <c r="A2530">
        <v>16292509</v>
      </c>
      <c r="B2530">
        <v>-1</v>
      </c>
      <c r="C2530">
        <v>0</v>
      </c>
      <c r="D2530">
        <v>0</v>
      </c>
      <c r="E2530">
        <v>1</v>
      </c>
      <c r="F2530">
        <v>1</v>
      </c>
      <c r="G2530">
        <v>1</v>
      </c>
      <c r="H2530">
        <v>0</v>
      </c>
    </row>
    <row r="2531" spans="1:8" x14ac:dyDescent="0.25">
      <c r="A2531">
        <v>16292510</v>
      </c>
      <c r="B2531">
        <v>416</v>
      </c>
      <c r="C2531">
        <v>25</v>
      </c>
      <c r="D2531">
        <v>8</v>
      </c>
      <c r="E2531">
        <v>59</v>
      </c>
      <c r="F2531">
        <v>253</v>
      </c>
      <c r="G2531">
        <v>660</v>
      </c>
      <c r="H2531">
        <v>88.991200000000006</v>
      </c>
    </row>
    <row r="2532" spans="1:8" x14ac:dyDescent="0.25">
      <c r="A2532">
        <v>16292511</v>
      </c>
      <c r="B2532">
        <v>426</v>
      </c>
      <c r="C2532">
        <v>50</v>
      </c>
      <c r="D2532">
        <v>11</v>
      </c>
      <c r="E2532">
        <v>86</v>
      </c>
      <c r="F2532">
        <v>277</v>
      </c>
      <c r="G2532">
        <v>802</v>
      </c>
      <c r="H2532">
        <v>90.601799999999997</v>
      </c>
    </row>
    <row r="2533" spans="1:8" x14ac:dyDescent="0.25">
      <c r="A2533">
        <v>16292512</v>
      </c>
      <c r="B2533">
        <v>320</v>
      </c>
      <c r="C2533">
        <v>40</v>
      </c>
      <c r="D2533">
        <v>13</v>
      </c>
      <c r="E2533">
        <v>69</v>
      </c>
      <c r="F2533">
        <v>253</v>
      </c>
      <c r="G2533">
        <v>687</v>
      </c>
      <c r="H2533">
        <v>102.9731</v>
      </c>
    </row>
    <row r="2534" spans="1:8" x14ac:dyDescent="0.25">
      <c r="A2534">
        <v>16292514</v>
      </c>
      <c r="B2534">
        <v>378</v>
      </c>
      <c r="C2534">
        <v>45</v>
      </c>
      <c r="D2534">
        <v>9</v>
      </c>
      <c r="E2534">
        <v>65</v>
      </c>
      <c r="F2534">
        <v>261</v>
      </c>
      <c r="G2534">
        <v>727</v>
      </c>
      <c r="H2534">
        <v>109.62</v>
      </c>
    </row>
    <row r="2535" spans="1:8" x14ac:dyDescent="0.25">
      <c r="A2535">
        <v>16292516</v>
      </c>
      <c r="B2535">
        <v>52</v>
      </c>
      <c r="C2535">
        <v>20</v>
      </c>
      <c r="D2535">
        <v>3</v>
      </c>
      <c r="E2535">
        <v>24</v>
      </c>
      <c r="F2535">
        <v>64</v>
      </c>
      <c r="G2535">
        <v>128</v>
      </c>
      <c r="H2535">
        <v>218.32329999999999</v>
      </c>
    </row>
    <row r="2536" spans="1:8" x14ac:dyDescent="0.25">
      <c r="A2536">
        <v>16297314</v>
      </c>
      <c r="B2536">
        <v>19</v>
      </c>
      <c r="C2536">
        <v>0</v>
      </c>
      <c r="D2536">
        <v>0</v>
      </c>
      <c r="E2536">
        <v>1</v>
      </c>
      <c r="F2536">
        <v>9</v>
      </c>
      <c r="G2536">
        <v>19</v>
      </c>
      <c r="H2536">
        <v>0</v>
      </c>
    </row>
    <row r="2537" spans="1:8" x14ac:dyDescent="0.25">
      <c r="A2537">
        <v>16402497</v>
      </c>
      <c r="B2537">
        <v>100</v>
      </c>
      <c r="C2537">
        <v>18</v>
      </c>
      <c r="D2537">
        <v>7</v>
      </c>
      <c r="E2537">
        <v>35</v>
      </c>
      <c r="F2537">
        <v>143</v>
      </c>
      <c r="G2537">
        <v>297</v>
      </c>
      <c r="H2537">
        <v>37.4086</v>
      </c>
    </row>
    <row r="2538" spans="1:8" x14ac:dyDescent="0.25">
      <c r="A2538">
        <v>16402498</v>
      </c>
      <c r="B2538">
        <v>114</v>
      </c>
      <c r="C2538">
        <v>10</v>
      </c>
      <c r="D2538">
        <v>6</v>
      </c>
      <c r="E2538">
        <v>23</v>
      </c>
      <c r="F2538">
        <v>114</v>
      </c>
      <c r="G2538">
        <v>280</v>
      </c>
      <c r="H2538">
        <v>78.954999999999998</v>
      </c>
    </row>
    <row r="2539" spans="1:8" x14ac:dyDescent="0.25">
      <c r="A2539">
        <v>16402499</v>
      </c>
      <c r="B2539">
        <v>111</v>
      </c>
      <c r="C2539">
        <v>30</v>
      </c>
      <c r="D2539">
        <v>8</v>
      </c>
      <c r="E2539">
        <v>26</v>
      </c>
      <c r="F2539">
        <v>70</v>
      </c>
      <c r="G2539">
        <v>210</v>
      </c>
      <c r="H2539">
        <v>96.942499999999995</v>
      </c>
    </row>
    <row r="2540" spans="1:8" x14ac:dyDescent="0.25">
      <c r="A2540">
        <v>16403899</v>
      </c>
      <c r="B2540">
        <v>36</v>
      </c>
      <c r="C2540">
        <v>18</v>
      </c>
      <c r="D2540">
        <v>1</v>
      </c>
      <c r="E2540">
        <v>11</v>
      </c>
      <c r="F2540">
        <v>45</v>
      </c>
      <c r="G2540">
        <v>80</v>
      </c>
      <c r="H2540">
        <v>189.99</v>
      </c>
    </row>
    <row r="2541" spans="1:8" x14ac:dyDescent="0.25">
      <c r="A2541">
        <v>16403900</v>
      </c>
      <c r="B2541">
        <v>27</v>
      </c>
      <c r="C2541">
        <v>2</v>
      </c>
      <c r="D2541">
        <v>0</v>
      </c>
      <c r="E2541">
        <v>3</v>
      </c>
      <c r="F2541">
        <v>7</v>
      </c>
      <c r="G2541">
        <v>9</v>
      </c>
      <c r="H2541">
        <v>0</v>
      </c>
    </row>
    <row r="2542" spans="1:8" x14ac:dyDescent="0.25">
      <c r="A2542">
        <v>16403901</v>
      </c>
      <c r="B2542">
        <v>57</v>
      </c>
      <c r="C2542">
        <v>0</v>
      </c>
      <c r="D2542">
        <v>4</v>
      </c>
      <c r="E2542">
        <v>8</v>
      </c>
      <c r="F2542">
        <v>15</v>
      </c>
      <c r="G2542">
        <v>29</v>
      </c>
      <c r="H2542">
        <v>124.99</v>
      </c>
    </row>
    <row r="2543" spans="1:8" x14ac:dyDescent="0.25">
      <c r="A2543">
        <v>16403902</v>
      </c>
      <c r="B2543">
        <v>26</v>
      </c>
      <c r="C2543">
        <v>0</v>
      </c>
      <c r="D2543">
        <v>0</v>
      </c>
      <c r="E2543">
        <v>3</v>
      </c>
      <c r="F2543">
        <v>15</v>
      </c>
      <c r="G2543">
        <v>24</v>
      </c>
      <c r="H2543">
        <v>0</v>
      </c>
    </row>
    <row r="2544" spans="1:8" x14ac:dyDescent="0.25">
      <c r="A2544">
        <v>16403903</v>
      </c>
      <c r="B2544">
        <v>64</v>
      </c>
      <c r="C2544">
        <v>0</v>
      </c>
      <c r="D2544">
        <v>3</v>
      </c>
      <c r="E2544">
        <v>8</v>
      </c>
      <c r="F2544">
        <v>25</v>
      </c>
      <c r="G2544">
        <v>49</v>
      </c>
      <c r="H2544">
        <v>49.99</v>
      </c>
    </row>
    <row r="2545" spans="1:8" x14ac:dyDescent="0.25">
      <c r="A2545">
        <v>16403904</v>
      </c>
      <c r="B2545">
        <v>32</v>
      </c>
      <c r="C2545">
        <v>4</v>
      </c>
      <c r="D2545">
        <v>0</v>
      </c>
      <c r="E2545">
        <v>3</v>
      </c>
      <c r="F2545">
        <v>17</v>
      </c>
      <c r="G2545">
        <v>29</v>
      </c>
      <c r="H2545">
        <v>0</v>
      </c>
    </row>
    <row r="2546" spans="1:8" x14ac:dyDescent="0.25">
      <c r="A2546">
        <v>16403905</v>
      </c>
      <c r="B2546">
        <v>1</v>
      </c>
      <c r="C2546">
        <v>0</v>
      </c>
      <c r="D2546">
        <v>0</v>
      </c>
      <c r="E2546">
        <v>0</v>
      </c>
      <c r="F2546">
        <v>0</v>
      </c>
      <c r="G2546">
        <v>37</v>
      </c>
      <c r="H2546">
        <v>0</v>
      </c>
    </row>
    <row r="2547" spans="1:8" x14ac:dyDescent="0.25">
      <c r="A2547">
        <v>16403906</v>
      </c>
      <c r="B2547">
        <v>-1</v>
      </c>
      <c r="C2547">
        <v>0</v>
      </c>
      <c r="D2547">
        <v>0</v>
      </c>
      <c r="E2547">
        <v>0</v>
      </c>
      <c r="F2547">
        <v>1</v>
      </c>
      <c r="G2547">
        <v>11</v>
      </c>
      <c r="H2547">
        <v>0</v>
      </c>
    </row>
    <row r="2548" spans="1:8" x14ac:dyDescent="0.25">
      <c r="A2548">
        <v>16412314</v>
      </c>
      <c r="B2548">
        <v>157</v>
      </c>
      <c r="C2548">
        <v>50</v>
      </c>
      <c r="D2548">
        <v>32</v>
      </c>
      <c r="E2548">
        <v>121</v>
      </c>
      <c r="F2548">
        <v>319</v>
      </c>
      <c r="G2548">
        <v>783</v>
      </c>
      <c r="H2548">
        <v>200.0762</v>
      </c>
    </row>
    <row r="2549" spans="1:8" x14ac:dyDescent="0.25">
      <c r="A2549">
        <v>16412315</v>
      </c>
      <c r="B2549">
        <v>34</v>
      </c>
      <c r="C2549">
        <v>18</v>
      </c>
      <c r="D2549">
        <v>13</v>
      </c>
      <c r="E2549">
        <v>26</v>
      </c>
      <c r="F2549">
        <v>75</v>
      </c>
      <c r="G2549">
        <v>225</v>
      </c>
      <c r="H2549">
        <v>200.06</v>
      </c>
    </row>
    <row r="2550" spans="1:8" x14ac:dyDescent="0.25">
      <c r="A2550">
        <v>16437620</v>
      </c>
      <c r="B2550">
        <v>12</v>
      </c>
      <c r="C2550">
        <v>0</v>
      </c>
      <c r="D2550">
        <v>1</v>
      </c>
      <c r="E2550">
        <v>1</v>
      </c>
      <c r="F2550">
        <v>9</v>
      </c>
      <c r="G2550">
        <v>72</v>
      </c>
      <c r="H2550">
        <v>24.97</v>
      </c>
    </row>
    <row r="2551" spans="1:8" x14ac:dyDescent="0.25">
      <c r="A2551">
        <v>16437621</v>
      </c>
      <c r="B2551">
        <v>3</v>
      </c>
      <c r="C2551">
        <v>0</v>
      </c>
      <c r="D2551">
        <v>0</v>
      </c>
      <c r="E2551">
        <v>0</v>
      </c>
      <c r="F2551">
        <v>0</v>
      </c>
      <c r="G2551">
        <v>9</v>
      </c>
      <c r="H2551">
        <v>0</v>
      </c>
    </row>
    <row r="2552" spans="1:8" x14ac:dyDescent="0.25">
      <c r="A2552">
        <v>16448348</v>
      </c>
      <c r="B2552">
        <v>3</v>
      </c>
      <c r="C2552">
        <v>0</v>
      </c>
      <c r="D2552">
        <v>1</v>
      </c>
      <c r="E2552">
        <v>2</v>
      </c>
      <c r="F2552">
        <v>4</v>
      </c>
      <c r="G2552">
        <v>22</v>
      </c>
      <c r="H2552">
        <v>9.9700000000000006</v>
      </c>
    </row>
    <row r="2553" spans="1:8" x14ac:dyDescent="0.25">
      <c r="A2553">
        <v>16452670</v>
      </c>
      <c r="B2553">
        <v>1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</row>
    <row r="2554" spans="1:8" x14ac:dyDescent="0.25">
      <c r="A2554">
        <v>16452682</v>
      </c>
      <c r="B2554">
        <v>21</v>
      </c>
      <c r="C2554">
        <v>0</v>
      </c>
      <c r="D2554">
        <v>0</v>
      </c>
      <c r="E2554">
        <v>0</v>
      </c>
      <c r="F2554">
        <v>4</v>
      </c>
      <c r="G2554">
        <v>16</v>
      </c>
      <c r="H2554">
        <v>0</v>
      </c>
    </row>
    <row r="2555" spans="1:8" x14ac:dyDescent="0.25">
      <c r="A2555">
        <v>16452683</v>
      </c>
      <c r="B2555">
        <v>2</v>
      </c>
      <c r="C2555">
        <v>0</v>
      </c>
      <c r="D2555">
        <v>2</v>
      </c>
      <c r="E2555">
        <v>2</v>
      </c>
      <c r="F2555">
        <v>2</v>
      </c>
      <c r="G2555">
        <v>10</v>
      </c>
      <c r="H2555">
        <v>397.51499999999999</v>
      </c>
    </row>
    <row r="2556" spans="1:8" x14ac:dyDescent="0.25">
      <c r="A2556">
        <v>16452686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1</v>
      </c>
      <c r="H2556">
        <v>0</v>
      </c>
    </row>
    <row r="2557" spans="1:8" x14ac:dyDescent="0.25">
      <c r="A2557">
        <v>16452688</v>
      </c>
      <c r="B2557">
        <v>8</v>
      </c>
      <c r="C2557">
        <v>0</v>
      </c>
      <c r="D2557">
        <v>0</v>
      </c>
      <c r="E2557">
        <v>2</v>
      </c>
      <c r="F2557">
        <v>6</v>
      </c>
      <c r="G2557">
        <v>10</v>
      </c>
      <c r="H2557">
        <v>0</v>
      </c>
    </row>
    <row r="2558" spans="1:8" x14ac:dyDescent="0.25">
      <c r="A2558">
        <v>16452689</v>
      </c>
      <c r="B2558">
        <v>8</v>
      </c>
      <c r="C2558">
        <v>0</v>
      </c>
      <c r="D2558">
        <v>0</v>
      </c>
      <c r="E2558">
        <v>0</v>
      </c>
      <c r="F2558">
        <v>10</v>
      </c>
      <c r="G2558">
        <v>30</v>
      </c>
      <c r="H2558">
        <v>0</v>
      </c>
    </row>
    <row r="2559" spans="1:8" x14ac:dyDescent="0.25">
      <c r="A2559">
        <v>16452693</v>
      </c>
      <c r="B2559">
        <v>2</v>
      </c>
      <c r="C2559">
        <v>0</v>
      </c>
      <c r="D2559">
        <v>6</v>
      </c>
      <c r="E2559">
        <v>10</v>
      </c>
      <c r="F2559">
        <v>11</v>
      </c>
      <c r="G2559">
        <v>11</v>
      </c>
      <c r="H2559">
        <v>399.16500000000002</v>
      </c>
    </row>
    <row r="2560" spans="1:8" x14ac:dyDescent="0.25">
      <c r="A2560">
        <v>16452696</v>
      </c>
      <c r="B2560">
        <v>2</v>
      </c>
      <c r="C2560">
        <v>0</v>
      </c>
      <c r="D2560">
        <v>7</v>
      </c>
      <c r="E2560">
        <v>7</v>
      </c>
      <c r="F2560">
        <v>9</v>
      </c>
      <c r="G2560">
        <v>15</v>
      </c>
      <c r="H2560">
        <v>477.88</v>
      </c>
    </row>
    <row r="2561" spans="1:8" x14ac:dyDescent="0.25">
      <c r="A2561">
        <v>16452697</v>
      </c>
      <c r="B2561">
        <v>41</v>
      </c>
      <c r="C2561">
        <v>0</v>
      </c>
      <c r="D2561">
        <v>1</v>
      </c>
      <c r="E2561">
        <v>1</v>
      </c>
      <c r="F2561">
        <v>7</v>
      </c>
      <c r="G2561">
        <v>19</v>
      </c>
      <c r="H2561">
        <v>2144.9899999999998</v>
      </c>
    </row>
    <row r="2562" spans="1:8" x14ac:dyDescent="0.25">
      <c r="A2562">
        <v>16452698</v>
      </c>
      <c r="B2562">
        <v>5</v>
      </c>
      <c r="C2562">
        <v>0</v>
      </c>
      <c r="D2562">
        <v>14</v>
      </c>
      <c r="E2562">
        <v>15</v>
      </c>
      <c r="F2562">
        <v>18</v>
      </c>
      <c r="G2562">
        <v>22</v>
      </c>
      <c r="H2562">
        <v>284.4171</v>
      </c>
    </row>
    <row r="2563" spans="1:8" x14ac:dyDescent="0.25">
      <c r="A2563">
        <v>16452699</v>
      </c>
      <c r="B2563">
        <v>2</v>
      </c>
      <c r="C2563">
        <v>0</v>
      </c>
      <c r="D2563">
        <v>1</v>
      </c>
      <c r="E2563">
        <v>2</v>
      </c>
      <c r="F2563">
        <v>4</v>
      </c>
      <c r="G2563">
        <v>4</v>
      </c>
      <c r="H2563">
        <v>200</v>
      </c>
    </row>
    <row r="2564" spans="1:8" x14ac:dyDescent="0.25">
      <c r="A2564">
        <v>16452702</v>
      </c>
      <c r="B2564">
        <v>6</v>
      </c>
      <c r="C2564">
        <v>0</v>
      </c>
      <c r="D2564">
        <v>0</v>
      </c>
      <c r="E2564">
        <v>0</v>
      </c>
      <c r="F2564">
        <v>3</v>
      </c>
      <c r="G2564">
        <v>20</v>
      </c>
      <c r="H2564">
        <v>0</v>
      </c>
    </row>
    <row r="2565" spans="1:8" x14ac:dyDescent="0.25">
      <c r="A2565">
        <v>16452704</v>
      </c>
      <c r="B2565">
        <v>1</v>
      </c>
      <c r="C2565">
        <v>0</v>
      </c>
      <c r="D2565">
        <v>1</v>
      </c>
      <c r="E2565">
        <v>1</v>
      </c>
      <c r="F2565">
        <v>7</v>
      </c>
      <c r="G2565">
        <v>8</v>
      </c>
      <c r="H2565">
        <v>150</v>
      </c>
    </row>
    <row r="2566" spans="1:8" x14ac:dyDescent="0.25">
      <c r="A2566">
        <v>16452705</v>
      </c>
      <c r="B2566">
        <v>3</v>
      </c>
      <c r="C2566">
        <v>0</v>
      </c>
      <c r="D2566">
        <v>0</v>
      </c>
      <c r="E2566">
        <v>0</v>
      </c>
      <c r="F2566">
        <v>1</v>
      </c>
      <c r="G2566">
        <v>8</v>
      </c>
      <c r="H2566">
        <v>0</v>
      </c>
    </row>
    <row r="2567" spans="1:8" x14ac:dyDescent="0.25">
      <c r="A2567">
        <v>16452706</v>
      </c>
      <c r="B2567">
        <v>1</v>
      </c>
      <c r="C2567">
        <v>0</v>
      </c>
      <c r="D2567">
        <v>2</v>
      </c>
      <c r="E2567">
        <v>2</v>
      </c>
      <c r="F2567">
        <v>9</v>
      </c>
      <c r="G2567">
        <v>15</v>
      </c>
      <c r="H2567">
        <v>100</v>
      </c>
    </row>
    <row r="2568" spans="1:8" x14ac:dyDescent="0.25">
      <c r="A2568">
        <v>16452709</v>
      </c>
      <c r="B2568">
        <v>70</v>
      </c>
      <c r="C2568">
        <v>0</v>
      </c>
      <c r="D2568">
        <v>4</v>
      </c>
      <c r="E2568">
        <v>19</v>
      </c>
      <c r="F2568">
        <v>49</v>
      </c>
      <c r="G2568">
        <v>146</v>
      </c>
      <c r="H2568">
        <v>1678.7474999999999</v>
      </c>
    </row>
    <row r="2569" spans="1:8" x14ac:dyDescent="0.25">
      <c r="A2569">
        <v>16452716</v>
      </c>
      <c r="B2569">
        <v>0</v>
      </c>
      <c r="C2569">
        <v>0</v>
      </c>
      <c r="D2569">
        <v>1</v>
      </c>
      <c r="E2569">
        <v>2</v>
      </c>
      <c r="F2569">
        <v>2</v>
      </c>
      <c r="G2569">
        <v>2</v>
      </c>
      <c r="H2569">
        <v>225</v>
      </c>
    </row>
    <row r="2570" spans="1:8" x14ac:dyDescent="0.25">
      <c r="A2570">
        <v>16452717</v>
      </c>
      <c r="B2570">
        <v>7</v>
      </c>
      <c r="C2570">
        <v>0</v>
      </c>
      <c r="D2570">
        <v>1</v>
      </c>
      <c r="E2570">
        <v>2</v>
      </c>
      <c r="F2570">
        <v>3</v>
      </c>
      <c r="G2570">
        <v>9</v>
      </c>
      <c r="H2570">
        <v>-99</v>
      </c>
    </row>
    <row r="2571" spans="1:8" x14ac:dyDescent="0.25">
      <c r="A2571">
        <v>16452719</v>
      </c>
      <c r="B2571">
        <v>3</v>
      </c>
      <c r="C2571">
        <v>0</v>
      </c>
      <c r="D2571">
        <v>3</v>
      </c>
      <c r="E2571">
        <v>3</v>
      </c>
      <c r="F2571">
        <v>6</v>
      </c>
      <c r="G2571">
        <v>10</v>
      </c>
      <c r="H2571">
        <v>150</v>
      </c>
    </row>
    <row r="2572" spans="1:8" x14ac:dyDescent="0.25">
      <c r="A2572">
        <v>16452721</v>
      </c>
      <c r="B2572">
        <v>2</v>
      </c>
      <c r="C2572">
        <v>0</v>
      </c>
      <c r="D2572">
        <v>4</v>
      </c>
      <c r="E2572">
        <v>5</v>
      </c>
      <c r="F2572">
        <v>9</v>
      </c>
      <c r="G2572">
        <v>21</v>
      </c>
      <c r="H2572">
        <v>100</v>
      </c>
    </row>
    <row r="2573" spans="1:8" x14ac:dyDescent="0.25">
      <c r="A2573">
        <v>16452722</v>
      </c>
      <c r="B2573">
        <v>8</v>
      </c>
      <c r="C2573">
        <v>0</v>
      </c>
      <c r="D2573">
        <v>3</v>
      </c>
      <c r="E2573">
        <v>4</v>
      </c>
      <c r="F2573">
        <v>9</v>
      </c>
      <c r="G2573">
        <v>16</v>
      </c>
      <c r="H2573">
        <v>100</v>
      </c>
    </row>
    <row r="2574" spans="1:8" x14ac:dyDescent="0.25">
      <c r="A2574">
        <v>16452723</v>
      </c>
      <c r="B2574">
        <v>3</v>
      </c>
      <c r="C2574">
        <v>0</v>
      </c>
      <c r="D2574">
        <v>1</v>
      </c>
      <c r="E2574">
        <v>2</v>
      </c>
      <c r="F2574">
        <v>7</v>
      </c>
      <c r="G2574">
        <v>12</v>
      </c>
      <c r="H2574">
        <v>100</v>
      </c>
    </row>
    <row r="2575" spans="1:8" x14ac:dyDescent="0.25">
      <c r="A2575">
        <v>16452727</v>
      </c>
      <c r="B2575">
        <v>3</v>
      </c>
      <c r="C2575">
        <v>0</v>
      </c>
      <c r="D2575">
        <v>9</v>
      </c>
      <c r="E2575">
        <v>9</v>
      </c>
      <c r="F2575">
        <v>9</v>
      </c>
      <c r="G2575">
        <v>21</v>
      </c>
      <c r="H2575">
        <v>235.78219999999999</v>
      </c>
    </row>
    <row r="2576" spans="1:8" x14ac:dyDescent="0.25">
      <c r="A2576">
        <v>16452761</v>
      </c>
      <c r="B2576">
        <v>80</v>
      </c>
      <c r="C2576">
        <v>25</v>
      </c>
      <c r="D2576">
        <v>4</v>
      </c>
      <c r="E2576">
        <v>28</v>
      </c>
      <c r="F2576">
        <v>101</v>
      </c>
      <c r="G2576">
        <v>300</v>
      </c>
      <c r="H2576">
        <v>144.00749999999999</v>
      </c>
    </row>
    <row r="2577" spans="1:8" x14ac:dyDescent="0.25">
      <c r="A2577">
        <v>16452762</v>
      </c>
      <c r="B2577">
        <v>165</v>
      </c>
      <c r="C2577">
        <v>60</v>
      </c>
      <c r="D2577">
        <v>13</v>
      </c>
      <c r="E2577">
        <v>44</v>
      </c>
      <c r="F2577">
        <v>175</v>
      </c>
      <c r="G2577">
        <v>408</v>
      </c>
      <c r="H2577">
        <v>59.567700000000002</v>
      </c>
    </row>
    <row r="2578" spans="1:8" x14ac:dyDescent="0.25">
      <c r="A2578">
        <v>16452763</v>
      </c>
      <c r="B2578">
        <v>14</v>
      </c>
      <c r="C2578">
        <v>0</v>
      </c>
      <c r="D2578">
        <v>2</v>
      </c>
      <c r="E2578">
        <v>4</v>
      </c>
      <c r="F2578">
        <v>14</v>
      </c>
      <c r="G2578">
        <v>35</v>
      </c>
      <c r="H2578">
        <v>49.99</v>
      </c>
    </row>
    <row r="2579" spans="1:8" x14ac:dyDescent="0.25">
      <c r="A2579">
        <v>16452764</v>
      </c>
      <c r="B2579">
        <v>170</v>
      </c>
      <c r="C2579">
        <v>40</v>
      </c>
      <c r="D2579">
        <v>14</v>
      </c>
      <c r="E2579">
        <v>52</v>
      </c>
      <c r="F2579">
        <v>170</v>
      </c>
      <c r="G2579">
        <v>424</v>
      </c>
      <c r="H2579">
        <v>117.0393</v>
      </c>
    </row>
    <row r="2580" spans="1:8" x14ac:dyDescent="0.25">
      <c r="A2580">
        <v>16462330</v>
      </c>
      <c r="B2580">
        <v>73</v>
      </c>
      <c r="C2580">
        <v>0</v>
      </c>
      <c r="D2580">
        <v>18</v>
      </c>
      <c r="E2580">
        <v>84</v>
      </c>
      <c r="F2580">
        <v>297</v>
      </c>
      <c r="G2580">
        <v>799</v>
      </c>
      <c r="H2580">
        <v>56.527799999999999</v>
      </c>
    </row>
    <row r="2581" spans="1:8" x14ac:dyDescent="0.25">
      <c r="A2581">
        <v>16462331</v>
      </c>
      <c r="B2581">
        <v>2</v>
      </c>
      <c r="C2581">
        <v>0</v>
      </c>
      <c r="D2581">
        <v>0</v>
      </c>
      <c r="E2581">
        <v>0</v>
      </c>
      <c r="F2581">
        <v>2</v>
      </c>
      <c r="G2581">
        <v>7</v>
      </c>
      <c r="H2581">
        <v>0</v>
      </c>
    </row>
    <row r="2582" spans="1:8" x14ac:dyDescent="0.25">
      <c r="A2582">
        <v>16462353</v>
      </c>
      <c r="B2582">
        <v>0</v>
      </c>
      <c r="C2582">
        <v>0</v>
      </c>
      <c r="D2582">
        <v>1</v>
      </c>
      <c r="E2582">
        <v>1</v>
      </c>
      <c r="F2582">
        <v>4</v>
      </c>
      <c r="G2582">
        <v>7</v>
      </c>
      <c r="H2582">
        <v>100</v>
      </c>
    </row>
    <row r="2583" spans="1:8" x14ac:dyDescent="0.25">
      <c r="A2583">
        <v>16462354</v>
      </c>
      <c r="B2583">
        <v>0</v>
      </c>
      <c r="C2583">
        <v>0</v>
      </c>
      <c r="D2583">
        <v>1</v>
      </c>
      <c r="E2583">
        <v>1</v>
      </c>
      <c r="F2583">
        <v>2</v>
      </c>
      <c r="G2583">
        <v>3</v>
      </c>
      <c r="H2583">
        <v>100</v>
      </c>
    </row>
    <row r="2584" spans="1:8" x14ac:dyDescent="0.25">
      <c r="A2584">
        <v>16462357</v>
      </c>
      <c r="B2584">
        <v>0</v>
      </c>
      <c r="C2584">
        <v>0</v>
      </c>
      <c r="D2584">
        <v>4</v>
      </c>
      <c r="E2584">
        <v>5</v>
      </c>
      <c r="F2584">
        <v>5</v>
      </c>
      <c r="G2584">
        <v>6</v>
      </c>
      <c r="H2584">
        <v>197.5</v>
      </c>
    </row>
    <row r="2585" spans="1:8" x14ac:dyDescent="0.25">
      <c r="A2585">
        <v>16462358</v>
      </c>
      <c r="B2585">
        <v>0</v>
      </c>
      <c r="C2585">
        <v>0</v>
      </c>
      <c r="D2585">
        <v>0</v>
      </c>
      <c r="E2585">
        <v>1</v>
      </c>
      <c r="F2585">
        <v>2</v>
      </c>
      <c r="G2585">
        <v>2</v>
      </c>
      <c r="H2585">
        <v>0</v>
      </c>
    </row>
    <row r="2586" spans="1:8" x14ac:dyDescent="0.25">
      <c r="A2586">
        <v>16462360</v>
      </c>
      <c r="B2586">
        <v>136</v>
      </c>
      <c r="C2586">
        <v>0</v>
      </c>
      <c r="D2586">
        <v>0</v>
      </c>
      <c r="E2586">
        <v>5</v>
      </c>
      <c r="F2586">
        <v>45</v>
      </c>
      <c r="G2586">
        <v>179</v>
      </c>
      <c r="H2586">
        <v>0</v>
      </c>
    </row>
    <row r="2587" spans="1:8" x14ac:dyDescent="0.25">
      <c r="A2587">
        <v>16462509</v>
      </c>
      <c r="B2587">
        <v>1</v>
      </c>
      <c r="C2587">
        <v>0</v>
      </c>
      <c r="D2587">
        <v>0</v>
      </c>
      <c r="E2587">
        <v>0</v>
      </c>
      <c r="F2587">
        <v>1</v>
      </c>
      <c r="G2587">
        <v>1</v>
      </c>
      <c r="H2587">
        <v>0</v>
      </c>
    </row>
    <row r="2588" spans="1:8" x14ac:dyDescent="0.25">
      <c r="A2588">
        <v>16462517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3</v>
      </c>
      <c r="H2588">
        <v>0</v>
      </c>
    </row>
    <row r="2589" spans="1:8" x14ac:dyDescent="0.25">
      <c r="A2589">
        <v>16462631</v>
      </c>
      <c r="B2589">
        <v>2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</row>
    <row r="2590" spans="1:8" x14ac:dyDescent="0.25">
      <c r="A2590">
        <v>16462632</v>
      </c>
      <c r="B2590">
        <v>3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</row>
    <row r="2591" spans="1:8" x14ac:dyDescent="0.25">
      <c r="A2591">
        <v>16463159</v>
      </c>
      <c r="B2591">
        <v>56</v>
      </c>
      <c r="C2591">
        <v>30</v>
      </c>
      <c r="D2591">
        <v>8</v>
      </c>
      <c r="E2591">
        <v>20</v>
      </c>
      <c r="F2591">
        <v>57</v>
      </c>
      <c r="G2591">
        <v>123</v>
      </c>
      <c r="H2591">
        <v>120.23869999999999</v>
      </c>
    </row>
    <row r="2592" spans="1:8" x14ac:dyDescent="0.25">
      <c r="A2592">
        <v>16463255</v>
      </c>
      <c r="B2592">
        <v>0</v>
      </c>
      <c r="C2592">
        <v>0</v>
      </c>
      <c r="D2592">
        <v>0</v>
      </c>
      <c r="E2592">
        <v>1</v>
      </c>
      <c r="F2592">
        <v>3</v>
      </c>
      <c r="G2592">
        <v>3</v>
      </c>
      <c r="H2592">
        <v>0</v>
      </c>
    </row>
    <row r="2593" spans="1:8" x14ac:dyDescent="0.25">
      <c r="A2593">
        <v>16463256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1</v>
      </c>
      <c r="H2593">
        <v>0</v>
      </c>
    </row>
    <row r="2594" spans="1:8" x14ac:dyDescent="0.25">
      <c r="A2594">
        <v>16463259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1</v>
      </c>
      <c r="H2594">
        <v>0</v>
      </c>
    </row>
    <row r="2595" spans="1:8" x14ac:dyDescent="0.25">
      <c r="A2595">
        <v>16463260</v>
      </c>
      <c r="B2595">
        <v>1</v>
      </c>
      <c r="C2595">
        <v>0</v>
      </c>
      <c r="D2595">
        <v>4</v>
      </c>
      <c r="E2595">
        <v>4</v>
      </c>
      <c r="F2595">
        <v>4</v>
      </c>
      <c r="G2595">
        <v>6</v>
      </c>
      <c r="H2595">
        <v>583.245</v>
      </c>
    </row>
    <row r="2596" spans="1:8" x14ac:dyDescent="0.25">
      <c r="A2596">
        <v>16463261</v>
      </c>
      <c r="B2596">
        <v>5</v>
      </c>
      <c r="C2596">
        <v>0</v>
      </c>
      <c r="D2596">
        <v>6</v>
      </c>
      <c r="E2596">
        <v>6</v>
      </c>
      <c r="F2596">
        <v>6</v>
      </c>
      <c r="G2596">
        <v>18</v>
      </c>
      <c r="H2596">
        <v>300</v>
      </c>
    </row>
    <row r="2597" spans="1:8" x14ac:dyDescent="0.25">
      <c r="A2597">
        <v>16463262</v>
      </c>
      <c r="B2597">
        <v>16</v>
      </c>
      <c r="C2597">
        <v>0</v>
      </c>
      <c r="D2597">
        <v>7</v>
      </c>
      <c r="E2597">
        <v>7</v>
      </c>
      <c r="F2597">
        <v>11</v>
      </c>
      <c r="G2597">
        <v>19</v>
      </c>
      <c r="H2597">
        <v>500</v>
      </c>
    </row>
    <row r="2598" spans="1:8" x14ac:dyDescent="0.25">
      <c r="A2598">
        <v>16463263</v>
      </c>
      <c r="B2598">
        <v>9</v>
      </c>
      <c r="C2598">
        <v>0</v>
      </c>
      <c r="D2598">
        <v>6</v>
      </c>
      <c r="E2598">
        <v>8</v>
      </c>
      <c r="F2598">
        <v>17</v>
      </c>
      <c r="G2598">
        <v>27</v>
      </c>
      <c r="H2598">
        <v>285</v>
      </c>
    </row>
    <row r="2599" spans="1:8" x14ac:dyDescent="0.25">
      <c r="A2599">
        <v>16463266</v>
      </c>
      <c r="B2599">
        <v>1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</row>
    <row r="2600" spans="1:8" x14ac:dyDescent="0.25">
      <c r="A2600">
        <v>16463271</v>
      </c>
      <c r="B2600">
        <v>0</v>
      </c>
      <c r="C2600">
        <v>0</v>
      </c>
      <c r="D2600">
        <v>0</v>
      </c>
      <c r="E2600">
        <v>1</v>
      </c>
      <c r="F2600">
        <v>1</v>
      </c>
      <c r="G2600">
        <v>4</v>
      </c>
      <c r="H2600">
        <v>0</v>
      </c>
    </row>
    <row r="2601" spans="1:8" x14ac:dyDescent="0.25">
      <c r="A2601">
        <v>16463274</v>
      </c>
      <c r="B2601">
        <v>1</v>
      </c>
      <c r="C2601">
        <v>0</v>
      </c>
      <c r="D2601">
        <v>4</v>
      </c>
      <c r="E2601">
        <v>5</v>
      </c>
      <c r="F2601">
        <v>8</v>
      </c>
      <c r="G2601">
        <v>7</v>
      </c>
      <c r="H2601">
        <v>300</v>
      </c>
    </row>
    <row r="2602" spans="1:8" x14ac:dyDescent="0.25">
      <c r="A2602">
        <v>16463275</v>
      </c>
      <c r="B2602">
        <v>3</v>
      </c>
      <c r="C2602">
        <v>0</v>
      </c>
      <c r="D2602">
        <v>4</v>
      </c>
      <c r="E2602">
        <v>6</v>
      </c>
      <c r="F2602">
        <v>9</v>
      </c>
      <c r="G2602">
        <v>20</v>
      </c>
      <c r="H2602">
        <v>281.25</v>
      </c>
    </row>
    <row r="2603" spans="1:8" x14ac:dyDescent="0.25">
      <c r="A2603">
        <v>16463276</v>
      </c>
      <c r="B2603">
        <v>0</v>
      </c>
      <c r="C2603">
        <v>0</v>
      </c>
      <c r="D2603">
        <v>1</v>
      </c>
      <c r="E2603">
        <v>1</v>
      </c>
      <c r="F2603">
        <v>1</v>
      </c>
      <c r="G2603">
        <v>4</v>
      </c>
      <c r="H2603">
        <v>225</v>
      </c>
    </row>
    <row r="2604" spans="1:8" x14ac:dyDescent="0.25">
      <c r="A2604">
        <v>16463277</v>
      </c>
      <c r="B2604">
        <v>6</v>
      </c>
      <c r="C2604">
        <v>0</v>
      </c>
      <c r="D2604">
        <v>5</v>
      </c>
      <c r="E2604">
        <v>5</v>
      </c>
      <c r="F2604">
        <v>7</v>
      </c>
      <c r="G2604">
        <v>10</v>
      </c>
      <c r="H2604">
        <v>237.21199999999999</v>
      </c>
    </row>
    <row r="2605" spans="1:8" x14ac:dyDescent="0.25">
      <c r="A2605">
        <v>16463279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</row>
    <row r="2606" spans="1:8" x14ac:dyDescent="0.25">
      <c r="A2606">
        <v>16463285</v>
      </c>
      <c r="B2606">
        <v>1</v>
      </c>
      <c r="C2606">
        <v>0</v>
      </c>
      <c r="D2606">
        <v>0</v>
      </c>
      <c r="E2606">
        <v>0</v>
      </c>
      <c r="F2606">
        <v>1</v>
      </c>
      <c r="G2606">
        <v>3</v>
      </c>
      <c r="H2606">
        <v>0</v>
      </c>
    </row>
    <row r="2607" spans="1:8" x14ac:dyDescent="0.25">
      <c r="A2607">
        <v>16463286</v>
      </c>
      <c r="B2607">
        <v>2</v>
      </c>
      <c r="C2607">
        <v>0</v>
      </c>
      <c r="D2607">
        <v>1</v>
      </c>
      <c r="E2607">
        <v>1</v>
      </c>
      <c r="F2607">
        <v>1</v>
      </c>
      <c r="G2607">
        <v>5</v>
      </c>
      <c r="H2607">
        <v>100</v>
      </c>
    </row>
    <row r="2608" spans="1:8" x14ac:dyDescent="0.25">
      <c r="A2608">
        <v>16463288</v>
      </c>
      <c r="B2608">
        <v>1</v>
      </c>
      <c r="C2608">
        <v>0</v>
      </c>
      <c r="D2608">
        <v>1</v>
      </c>
      <c r="E2608">
        <v>1</v>
      </c>
      <c r="F2608">
        <v>1</v>
      </c>
      <c r="G2608">
        <v>2</v>
      </c>
      <c r="H2608">
        <v>75</v>
      </c>
    </row>
    <row r="2609" spans="1:8" x14ac:dyDescent="0.25">
      <c r="A2609">
        <v>16463289</v>
      </c>
      <c r="B2609">
        <v>1</v>
      </c>
      <c r="C2609">
        <v>0</v>
      </c>
      <c r="D2609">
        <v>1</v>
      </c>
      <c r="E2609">
        <v>2</v>
      </c>
      <c r="F2609">
        <v>2</v>
      </c>
      <c r="G2609">
        <v>2</v>
      </c>
      <c r="H2609">
        <v>47.37</v>
      </c>
    </row>
    <row r="2610" spans="1:8" x14ac:dyDescent="0.25">
      <c r="A2610">
        <v>16463290</v>
      </c>
      <c r="B2610">
        <v>1</v>
      </c>
      <c r="C2610">
        <v>0</v>
      </c>
      <c r="D2610">
        <v>1</v>
      </c>
      <c r="E2610">
        <v>1</v>
      </c>
      <c r="F2610">
        <v>1</v>
      </c>
      <c r="G2610">
        <v>4</v>
      </c>
      <c r="H2610">
        <v>50</v>
      </c>
    </row>
    <row r="2611" spans="1:8" x14ac:dyDescent="0.25">
      <c r="A2611">
        <v>16463291</v>
      </c>
      <c r="B2611">
        <v>2</v>
      </c>
      <c r="C2611">
        <v>0</v>
      </c>
      <c r="D2611">
        <v>0</v>
      </c>
      <c r="E2611">
        <v>1</v>
      </c>
      <c r="F2611">
        <v>1</v>
      </c>
      <c r="G2611">
        <v>6</v>
      </c>
      <c r="H2611">
        <v>0</v>
      </c>
    </row>
    <row r="2612" spans="1:8" x14ac:dyDescent="0.25">
      <c r="A2612">
        <v>16463292</v>
      </c>
      <c r="B2612">
        <v>564</v>
      </c>
      <c r="C2612">
        <v>0</v>
      </c>
      <c r="D2612">
        <v>14</v>
      </c>
      <c r="E2612">
        <v>57</v>
      </c>
      <c r="F2612">
        <v>233</v>
      </c>
      <c r="G2612">
        <v>504</v>
      </c>
      <c r="H2612">
        <v>145.88499999999999</v>
      </c>
    </row>
    <row r="2613" spans="1:8" x14ac:dyDescent="0.25">
      <c r="A2613">
        <v>16463293</v>
      </c>
      <c r="B2613">
        <v>472</v>
      </c>
      <c r="C2613">
        <v>0</v>
      </c>
      <c r="D2613">
        <v>19</v>
      </c>
      <c r="E2613">
        <v>53</v>
      </c>
      <c r="F2613">
        <v>184</v>
      </c>
      <c r="G2613">
        <v>437</v>
      </c>
      <c r="H2613">
        <v>145.84209999999999</v>
      </c>
    </row>
    <row r="2614" spans="1:8" x14ac:dyDescent="0.25">
      <c r="A2614">
        <v>16467320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</row>
    <row r="2615" spans="1:8" x14ac:dyDescent="0.25">
      <c r="A2615">
        <v>16467322</v>
      </c>
      <c r="B2615">
        <v>1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</row>
    <row r="2616" spans="1:8" x14ac:dyDescent="0.25">
      <c r="A2616">
        <v>16467326</v>
      </c>
      <c r="B2616">
        <v>2</v>
      </c>
      <c r="C2616">
        <v>0</v>
      </c>
      <c r="D2616">
        <v>0</v>
      </c>
      <c r="E2616">
        <v>0</v>
      </c>
      <c r="F2616">
        <v>0</v>
      </c>
      <c r="G2616">
        <v>10</v>
      </c>
      <c r="H2616">
        <v>0</v>
      </c>
    </row>
    <row r="2617" spans="1:8" x14ac:dyDescent="0.25">
      <c r="A2617">
        <v>16467327</v>
      </c>
      <c r="B2617">
        <v>1</v>
      </c>
      <c r="C2617">
        <v>0</v>
      </c>
      <c r="D2617">
        <v>0</v>
      </c>
      <c r="E2617">
        <v>0</v>
      </c>
      <c r="F2617">
        <v>0</v>
      </c>
      <c r="G2617">
        <v>13</v>
      </c>
      <c r="H2617">
        <v>0</v>
      </c>
    </row>
    <row r="2618" spans="1:8" x14ac:dyDescent="0.25">
      <c r="A2618">
        <v>16467329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1</v>
      </c>
      <c r="H2618">
        <v>0</v>
      </c>
    </row>
    <row r="2619" spans="1:8" x14ac:dyDescent="0.25">
      <c r="A2619">
        <v>16467332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</row>
    <row r="2620" spans="1:8" x14ac:dyDescent="0.25">
      <c r="A2620">
        <v>16467333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1</v>
      </c>
      <c r="H2620">
        <v>0</v>
      </c>
    </row>
    <row r="2621" spans="1:8" x14ac:dyDescent="0.25">
      <c r="A2621">
        <v>16467335</v>
      </c>
      <c r="B2621">
        <v>1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</row>
    <row r="2622" spans="1:8" x14ac:dyDescent="0.25">
      <c r="A2622">
        <v>16472316</v>
      </c>
      <c r="B2622">
        <v>37</v>
      </c>
      <c r="C2622">
        <v>0</v>
      </c>
      <c r="D2622">
        <v>0</v>
      </c>
      <c r="E2622">
        <v>9</v>
      </c>
      <c r="F2622">
        <v>36</v>
      </c>
      <c r="G2622">
        <v>110</v>
      </c>
      <c r="H2622">
        <v>0</v>
      </c>
    </row>
    <row r="2623" spans="1:8" x14ac:dyDescent="0.25">
      <c r="A2623">
        <v>16482594</v>
      </c>
      <c r="B2623">
        <v>-1</v>
      </c>
      <c r="C2623">
        <v>0</v>
      </c>
      <c r="D2623">
        <v>0</v>
      </c>
      <c r="E2623">
        <v>0</v>
      </c>
      <c r="F2623">
        <v>0</v>
      </c>
      <c r="G2623">
        <v>2</v>
      </c>
      <c r="H2623">
        <v>0</v>
      </c>
    </row>
    <row r="2624" spans="1:8" x14ac:dyDescent="0.25">
      <c r="A2624">
        <v>16488345</v>
      </c>
      <c r="B2624">
        <v>169</v>
      </c>
      <c r="C2624">
        <v>105</v>
      </c>
      <c r="D2624">
        <v>32</v>
      </c>
      <c r="E2624">
        <v>105</v>
      </c>
      <c r="F2624">
        <v>381</v>
      </c>
      <c r="G2624">
        <v>810</v>
      </c>
      <c r="H2624">
        <v>28.9297</v>
      </c>
    </row>
    <row r="2625" spans="1:8" x14ac:dyDescent="0.25">
      <c r="A2625">
        <v>16507562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</row>
    <row r="2626" spans="1:8" x14ac:dyDescent="0.25">
      <c r="A2626">
        <v>16507563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</row>
    <row r="2627" spans="1:8" x14ac:dyDescent="0.25">
      <c r="A2627">
        <v>16507564</v>
      </c>
      <c r="B2627">
        <v>10</v>
      </c>
      <c r="C2627">
        <v>0</v>
      </c>
      <c r="D2627">
        <v>0</v>
      </c>
      <c r="E2627">
        <v>3</v>
      </c>
      <c r="F2627">
        <v>15</v>
      </c>
      <c r="G2627">
        <v>62</v>
      </c>
      <c r="H2627">
        <v>0</v>
      </c>
    </row>
    <row r="2628" spans="1:8" x14ac:dyDescent="0.25">
      <c r="A2628">
        <v>16507565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1</v>
      </c>
      <c r="H2628">
        <v>0</v>
      </c>
    </row>
    <row r="2629" spans="1:8" x14ac:dyDescent="0.25">
      <c r="A2629">
        <v>16517423</v>
      </c>
      <c r="B2629">
        <v>602</v>
      </c>
      <c r="C2629">
        <v>36</v>
      </c>
      <c r="D2629">
        <v>31</v>
      </c>
      <c r="E2629">
        <v>74</v>
      </c>
      <c r="F2629">
        <v>233</v>
      </c>
      <c r="G2629">
        <v>560</v>
      </c>
      <c r="H2629">
        <v>29.048100000000002</v>
      </c>
    </row>
    <row r="2630" spans="1:8" x14ac:dyDescent="0.25">
      <c r="A2630">
        <v>16522411</v>
      </c>
      <c r="B2630">
        <v>265</v>
      </c>
      <c r="C2630">
        <v>72</v>
      </c>
      <c r="D2630">
        <v>46</v>
      </c>
      <c r="E2630">
        <v>181</v>
      </c>
      <c r="F2630">
        <v>580</v>
      </c>
      <c r="G2630">
        <v>1198</v>
      </c>
      <c r="H2630">
        <v>27.2789</v>
      </c>
    </row>
    <row r="2631" spans="1:8" x14ac:dyDescent="0.25">
      <c r="A2631">
        <v>16522412</v>
      </c>
      <c r="B2631">
        <v>274</v>
      </c>
      <c r="C2631">
        <v>80</v>
      </c>
      <c r="D2631">
        <v>42</v>
      </c>
      <c r="E2631">
        <v>177</v>
      </c>
      <c r="F2631">
        <v>622</v>
      </c>
      <c r="G2631">
        <v>1185</v>
      </c>
      <c r="H2631">
        <v>18.9771</v>
      </c>
    </row>
    <row r="2632" spans="1:8" x14ac:dyDescent="0.25">
      <c r="A2632">
        <v>16522413</v>
      </c>
      <c r="B2632">
        <v>130</v>
      </c>
      <c r="C2632">
        <v>36</v>
      </c>
      <c r="D2632">
        <v>7</v>
      </c>
      <c r="E2632">
        <v>69</v>
      </c>
      <c r="F2632">
        <v>248</v>
      </c>
      <c r="G2632">
        <v>514</v>
      </c>
      <c r="H2632">
        <v>14.32</v>
      </c>
    </row>
    <row r="2633" spans="1:8" x14ac:dyDescent="0.25">
      <c r="A2633">
        <v>16522414</v>
      </c>
      <c r="B2633">
        <v>230</v>
      </c>
      <c r="C2633">
        <v>8</v>
      </c>
      <c r="D2633">
        <v>22</v>
      </c>
      <c r="E2633">
        <v>93</v>
      </c>
      <c r="F2633">
        <v>324</v>
      </c>
      <c r="G2633">
        <v>810</v>
      </c>
      <c r="H2633">
        <v>20.232299999999999</v>
      </c>
    </row>
    <row r="2634" spans="1:8" x14ac:dyDescent="0.25">
      <c r="A2634">
        <v>16522415</v>
      </c>
      <c r="B2634">
        <v>90</v>
      </c>
      <c r="C2634">
        <v>12</v>
      </c>
      <c r="D2634">
        <v>4</v>
      </c>
      <c r="E2634">
        <v>21</v>
      </c>
      <c r="F2634">
        <v>52</v>
      </c>
      <c r="G2634">
        <v>133</v>
      </c>
      <c r="H2634">
        <v>44.657499999999999</v>
      </c>
    </row>
    <row r="2635" spans="1:8" x14ac:dyDescent="0.25">
      <c r="A2635">
        <v>16522416</v>
      </c>
      <c r="B2635">
        <v>101</v>
      </c>
      <c r="C2635">
        <v>40</v>
      </c>
      <c r="D2635">
        <v>11</v>
      </c>
      <c r="E2635">
        <v>70</v>
      </c>
      <c r="F2635">
        <v>207</v>
      </c>
      <c r="G2635">
        <v>414</v>
      </c>
      <c r="H2635">
        <v>23.723600000000001</v>
      </c>
    </row>
    <row r="2636" spans="1:8" x14ac:dyDescent="0.25">
      <c r="A2636">
        <v>16522417</v>
      </c>
      <c r="B2636">
        <v>66</v>
      </c>
      <c r="C2636">
        <v>8</v>
      </c>
      <c r="D2636">
        <v>6</v>
      </c>
      <c r="E2636">
        <v>16</v>
      </c>
      <c r="F2636">
        <v>71</v>
      </c>
      <c r="G2636">
        <v>168</v>
      </c>
      <c r="H2636">
        <v>24.35</v>
      </c>
    </row>
    <row r="2637" spans="1:8" x14ac:dyDescent="0.25">
      <c r="A2637">
        <v>16522420</v>
      </c>
      <c r="B2637">
        <v>115</v>
      </c>
      <c r="C2637">
        <v>0</v>
      </c>
      <c r="D2637">
        <v>9</v>
      </c>
      <c r="E2637">
        <v>36</v>
      </c>
      <c r="F2637">
        <v>140</v>
      </c>
      <c r="G2637">
        <v>362</v>
      </c>
      <c r="H2637">
        <v>45.52</v>
      </c>
    </row>
    <row r="2638" spans="1:8" x14ac:dyDescent="0.25">
      <c r="A2638">
        <v>16522422</v>
      </c>
      <c r="B2638">
        <v>892</v>
      </c>
      <c r="C2638">
        <v>0</v>
      </c>
      <c r="D2638">
        <v>52</v>
      </c>
      <c r="E2638">
        <v>197</v>
      </c>
      <c r="F2638">
        <v>723</v>
      </c>
      <c r="G2638">
        <v>1899</v>
      </c>
      <c r="H2638">
        <v>14.5296</v>
      </c>
    </row>
    <row r="2639" spans="1:8" x14ac:dyDescent="0.25">
      <c r="A2639">
        <v>16522424</v>
      </c>
      <c r="B2639">
        <v>159</v>
      </c>
      <c r="C2639">
        <v>0</v>
      </c>
      <c r="D2639">
        <v>2</v>
      </c>
      <c r="E2639">
        <v>12</v>
      </c>
      <c r="F2639">
        <v>55</v>
      </c>
      <c r="G2639">
        <v>116</v>
      </c>
      <c r="H2639">
        <v>5.99</v>
      </c>
    </row>
    <row r="2640" spans="1:8" x14ac:dyDescent="0.25">
      <c r="A2640">
        <v>16522425</v>
      </c>
      <c r="B2640">
        <v>225</v>
      </c>
      <c r="C2640">
        <v>0</v>
      </c>
      <c r="D2640">
        <v>15</v>
      </c>
      <c r="E2640">
        <v>47</v>
      </c>
      <c r="F2640">
        <v>167</v>
      </c>
      <c r="G2640">
        <v>388</v>
      </c>
      <c r="H2640">
        <v>9.1679999999999993</v>
      </c>
    </row>
    <row r="2641" spans="1:8" x14ac:dyDescent="0.25">
      <c r="A2641">
        <v>16547479</v>
      </c>
      <c r="B2641">
        <v>8</v>
      </c>
      <c r="C2641">
        <v>0</v>
      </c>
      <c r="D2641">
        <v>0</v>
      </c>
      <c r="E2641">
        <v>1</v>
      </c>
      <c r="F2641">
        <v>8</v>
      </c>
      <c r="G2641">
        <v>15</v>
      </c>
      <c r="H2641">
        <v>0</v>
      </c>
    </row>
    <row r="2642" spans="1:8" x14ac:dyDescent="0.25">
      <c r="A2642">
        <v>16547480</v>
      </c>
      <c r="B2642">
        <v>40</v>
      </c>
      <c r="C2642">
        <v>0</v>
      </c>
      <c r="D2642">
        <v>1</v>
      </c>
      <c r="E2642">
        <v>9</v>
      </c>
      <c r="F2642">
        <v>11</v>
      </c>
      <c r="G2642">
        <v>20</v>
      </c>
      <c r="H2642">
        <v>319.95999999999998</v>
      </c>
    </row>
    <row r="2643" spans="1:8" x14ac:dyDescent="0.25">
      <c r="A2643">
        <v>16547481</v>
      </c>
      <c r="B2643">
        <v>32</v>
      </c>
      <c r="C2643">
        <v>0</v>
      </c>
      <c r="D2643">
        <v>1</v>
      </c>
      <c r="E2643">
        <v>1</v>
      </c>
      <c r="F2643">
        <v>4</v>
      </c>
      <c r="G2643">
        <v>4</v>
      </c>
      <c r="H2643">
        <v>624.99</v>
      </c>
    </row>
    <row r="2644" spans="1:8" x14ac:dyDescent="0.25">
      <c r="A2644">
        <v>16547483</v>
      </c>
      <c r="B2644">
        <v>46</v>
      </c>
      <c r="C2644">
        <v>0</v>
      </c>
      <c r="D2644">
        <v>1</v>
      </c>
      <c r="E2644">
        <v>7</v>
      </c>
      <c r="F2644">
        <v>16</v>
      </c>
      <c r="G2644">
        <v>39</v>
      </c>
      <c r="H2644">
        <v>159.97</v>
      </c>
    </row>
    <row r="2645" spans="1:8" x14ac:dyDescent="0.25">
      <c r="A2645">
        <v>16547484</v>
      </c>
      <c r="B2645">
        <v>1</v>
      </c>
      <c r="C2645">
        <v>0</v>
      </c>
      <c r="D2645">
        <v>0</v>
      </c>
      <c r="E2645">
        <v>0</v>
      </c>
      <c r="F2645">
        <v>3</v>
      </c>
      <c r="G2645">
        <v>19</v>
      </c>
      <c r="H2645">
        <v>0</v>
      </c>
    </row>
    <row r="2646" spans="1:8" x14ac:dyDescent="0.25">
      <c r="A2646">
        <v>16547485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</row>
    <row r="2647" spans="1:8" x14ac:dyDescent="0.25">
      <c r="A2647">
        <v>16547530</v>
      </c>
      <c r="B2647">
        <v>17</v>
      </c>
      <c r="C2647">
        <v>13</v>
      </c>
      <c r="D2647">
        <v>2</v>
      </c>
      <c r="E2647">
        <v>13</v>
      </c>
      <c r="F2647">
        <v>60</v>
      </c>
      <c r="G2647">
        <v>145</v>
      </c>
      <c r="H2647">
        <v>147.745</v>
      </c>
    </row>
    <row r="2648" spans="1:8" x14ac:dyDescent="0.25">
      <c r="A2648">
        <v>16547618</v>
      </c>
      <c r="B2648">
        <v>208</v>
      </c>
      <c r="C2648">
        <v>54</v>
      </c>
      <c r="D2648">
        <v>9</v>
      </c>
      <c r="E2648">
        <v>40</v>
      </c>
      <c r="F2648">
        <v>168</v>
      </c>
      <c r="G2648">
        <v>432</v>
      </c>
      <c r="H2648">
        <v>52.148899999999998</v>
      </c>
    </row>
    <row r="2649" spans="1:8" x14ac:dyDescent="0.25">
      <c r="A2649">
        <v>16547619</v>
      </c>
      <c r="B2649">
        <v>228</v>
      </c>
      <c r="C2649">
        <v>42</v>
      </c>
      <c r="D2649">
        <v>10</v>
      </c>
      <c r="E2649">
        <v>48</v>
      </c>
      <c r="F2649">
        <v>179</v>
      </c>
      <c r="G2649">
        <v>466</v>
      </c>
      <c r="H2649">
        <v>142.62799999999999</v>
      </c>
    </row>
    <row r="2650" spans="1:8" x14ac:dyDescent="0.25">
      <c r="A2650">
        <v>16552433</v>
      </c>
      <c r="B2650">
        <v>8</v>
      </c>
      <c r="C2650">
        <v>0</v>
      </c>
      <c r="D2650">
        <v>0</v>
      </c>
      <c r="E2650">
        <v>0</v>
      </c>
      <c r="F2650">
        <v>2</v>
      </c>
      <c r="G2650">
        <v>61</v>
      </c>
      <c r="H2650">
        <v>0</v>
      </c>
    </row>
    <row r="2651" spans="1:8" x14ac:dyDescent="0.25">
      <c r="A2651">
        <v>16552434</v>
      </c>
      <c r="B2651">
        <v>-1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</row>
    <row r="2652" spans="1:8" x14ac:dyDescent="0.25">
      <c r="A2652">
        <v>16563060</v>
      </c>
      <c r="B2652">
        <v>516</v>
      </c>
      <c r="C2652">
        <v>240</v>
      </c>
      <c r="D2652">
        <v>95</v>
      </c>
      <c r="E2652">
        <v>331</v>
      </c>
      <c r="F2652">
        <v>906</v>
      </c>
      <c r="G2652">
        <v>1965</v>
      </c>
      <c r="H2652">
        <v>8.7302</v>
      </c>
    </row>
    <row r="2653" spans="1:8" x14ac:dyDescent="0.25">
      <c r="A2653">
        <v>16563061</v>
      </c>
      <c r="B2653">
        <v>337</v>
      </c>
      <c r="C2653">
        <v>600</v>
      </c>
      <c r="D2653">
        <v>33</v>
      </c>
      <c r="E2653">
        <v>351</v>
      </c>
      <c r="F2653">
        <v>1439</v>
      </c>
      <c r="G2653">
        <v>3361</v>
      </c>
      <c r="H2653">
        <v>8.7758000000000003</v>
      </c>
    </row>
    <row r="2654" spans="1:8" x14ac:dyDescent="0.25">
      <c r="A2654">
        <v>16563062</v>
      </c>
      <c r="B2654">
        <v>589</v>
      </c>
      <c r="C2654">
        <v>120</v>
      </c>
      <c r="D2654">
        <v>13</v>
      </c>
      <c r="E2654">
        <v>74</v>
      </c>
      <c r="F2654">
        <v>198</v>
      </c>
      <c r="G2654">
        <v>491</v>
      </c>
      <c r="H2654">
        <v>8.99</v>
      </c>
    </row>
    <row r="2655" spans="1:8" x14ac:dyDescent="0.25">
      <c r="A2655">
        <v>16563063</v>
      </c>
      <c r="B2655">
        <v>701</v>
      </c>
      <c r="C2655">
        <v>24</v>
      </c>
      <c r="D2655">
        <v>33</v>
      </c>
      <c r="E2655">
        <v>169</v>
      </c>
      <c r="F2655">
        <v>295</v>
      </c>
      <c r="G2655">
        <v>477</v>
      </c>
      <c r="H2655">
        <v>12.591200000000001</v>
      </c>
    </row>
    <row r="2656" spans="1:8" x14ac:dyDescent="0.25">
      <c r="A2656">
        <v>16563064</v>
      </c>
      <c r="B2656">
        <v>66</v>
      </c>
      <c r="C2656">
        <v>0</v>
      </c>
      <c r="D2656">
        <v>2</v>
      </c>
      <c r="E2656">
        <v>6</v>
      </c>
      <c r="F2656">
        <v>42</v>
      </c>
      <c r="G2656">
        <v>174</v>
      </c>
      <c r="H2656">
        <v>11.75</v>
      </c>
    </row>
    <row r="2657" spans="1:8" x14ac:dyDescent="0.25">
      <c r="A2657">
        <v>16563065</v>
      </c>
      <c r="B2657">
        <v>135</v>
      </c>
      <c r="C2657">
        <v>72</v>
      </c>
      <c r="D2657">
        <v>19</v>
      </c>
      <c r="E2657">
        <v>77</v>
      </c>
      <c r="F2657">
        <v>242</v>
      </c>
      <c r="G2657">
        <v>574</v>
      </c>
      <c r="H2657">
        <v>17.239999999999998</v>
      </c>
    </row>
    <row r="2658" spans="1:8" x14ac:dyDescent="0.25">
      <c r="A2658">
        <v>16563066</v>
      </c>
      <c r="B2658">
        <v>163</v>
      </c>
      <c r="C2658">
        <v>72</v>
      </c>
      <c r="D2658">
        <v>10</v>
      </c>
      <c r="E2658">
        <v>56</v>
      </c>
      <c r="F2658">
        <v>194</v>
      </c>
      <c r="G2658">
        <v>389</v>
      </c>
      <c r="H2658">
        <v>17.266999999999999</v>
      </c>
    </row>
    <row r="2659" spans="1:8" x14ac:dyDescent="0.25">
      <c r="A2659">
        <v>16563067</v>
      </c>
      <c r="B2659">
        <v>17</v>
      </c>
      <c r="C2659">
        <v>0</v>
      </c>
      <c r="D2659">
        <v>0</v>
      </c>
      <c r="E2659">
        <v>3</v>
      </c>
      <c r="F2659">
        <v>11</v>
      </c>
      <c r="G2659">
        <v>63</v>
      </c>
      <c r="H2659">
        <v>0</v>
      </c>
    </row>
    <row r="2660" spans="1:8" x14ac:dyDescent="0.25">
      <c r="A2660">
        <v>16563068</v>
      </c>
      <c r="B2660">
        <v>-1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</row>
    <row r="2661" spans="1:8" x14ac:dyDescent="0.25">
      <c r="A2661">
        <v>16563069</v>
      </c>
      <c r="B2661">
        <v>40</v>
      </c>
      <c r="C2661">
        <v>0</v>
      </c>
      <c r="D2661">
        <v>1</v>
      </c>
      <c r="E2661">
        <v>5</v>
      </c>
      <c r="F2661">
        <v>28</v>
      </c>
      <c r="G2661">
        <v>86</v>
      </c>
      <c r="H2661">
        <v>12.99</v>
      </c>
    </row>
    <row r="2662" spans="1:8" x14ac:dyDescent="0.25">
      <c r="A2662">
        <v>16563070</v>
      </c>
      <c r="B2662">
        <v>165</v>
      </c>
      <c r="C2662">
        <v>168</v>
      </c>
      <c r="D2662">
        <v>20</v>
      </c>
      <c r="E2662">
        <v>77</v>
      </c>
      <c r="F2662">
        <v>378</v>
      </c>
      <c r="G2662">
        <v>845</v>
      </c>
      <c r="H2662">
        <v>8.4024999999999999</v>
      </c>
    </row>
    <row r="2663" spans="1:8" x14ac:dyDescent="0.25">
      <c r="A2663">
        <v>16563071</v>
      </c>
      <c r="B2663">
        <v>139</v>
      </c>
      <c r="C2663">
        <v>96</v>
      </c>
      <c r="D2663">
        <v>15</v>
      </c>
      <c r="E2663">
        <v>70</v>
      </c>
      <c r="F2663">
        <v>308</v>
      </c>
      <c r="G2663">
        <v>638</v>
      </c>
      <c r="H2663">
        <v>8.6199999999999992</v>
      </c>
    </row>
    <row r="2664" spans="1:8" x14ac:dyDescent="0.25">
      <c r="A2664">
        <v>16563072</v>
      </c>
      <c r="B2664">
        <v>263</v>
      </c>
      <c r="C2664">
        <v>24</v>
      </c>
      <c r="D2664">
        <v>39</v>
      </c>
      <c r="E2664">
        <v>121</v>
      </c>
      <c r="F2664">
        <v>356</v>
      </c>
      <c r="G2664">
        <v>668</v>
      </c>
      <c r="H2664">
        <v>8.7007999999999992</v>
      </c>
    </row>
    <row r="2665" spans="1:8" x14ac:dyDescent="0.25">
      <c r="A2665">
        <v>16563073</v>
      </c>
      <c r="B2665">
        <v>195</v>
      </c>
      <c r="C2665">
        <v>72</v>
      </c>
      <c r="D2665">
        <v>14</v>
      </c>
      <c r="E2665">
        <v>55</v>
      </c>
      <c r="F2665">
        <v>185</v>
      </c>
      <c r="G2665">
        <v>508</v>
      </c>
      <c r="H2665">
        <v>23.14</v>
      </c>
    </row>
    <row r="2666" spans="1:8" x14ac:dyDescent="0.25">
      <c r="A2666">
        <v>16563074</v>
      </c>
      <c r="B2666">
        <v>151</v>
      </c>
      <c r="C2666">
        <v>0</v>
      </c>
      <c r="D2666">
        <v>2</v>
      </c>
      <c r="E2666">
        <v>8</v>
      </c>
      <c r="F2666">
        <v>33</v>
      </c>
      <c r="G2666">
        <v>91</v>
      </c>
      <c r="H2666">
        <v>24.99</v>
      </c>
    </row>
    <row r="2667" spans="1:8" x14ac:dyDescent="0.25">
      <c r="A2667">
        <v>16563075</v>
      </c>
      <c r="B2667">
        <v>75</v>
      </c>
      <c r="C2667">
        <v>0</v>
      </c>
      <c r="D2667">
        <v>3</v>
      </c>
      <c r="E2667">
        <v>6</v>
      </c>
      <c r="F2667">
        <v>27</v>
      </c>
      <c r="G2667">
        <v>64</v>
      </c>
      <c r="H2667">
        <v>42.33</v>
      </c>
    </row>
    <row r="2668" spans="1:8" x14ac:dyDescent="0.25">
      <c r="A2668">
        <v>16563077</v>
      </c>
      <c r="B2668">
        <v>112</v>
      </c>
      <c r="C2668">
        <v>24</v>
      </c>
      <c r="D2668">
        <v>3</v>
      </c>
      <c r="E2668">
        <v>14</v>
      </c>
      <c r="F2668">
        <v>54</v>
      </c>
      <c r="G2668">
        <v>131</v>
      </c>
      <c r="H2668">
        <v>63.326700000000002</v>
      </c>
    </row>
    <row r="2669" spans="1:8" x14ac:dyDescent="0.25">
      <c r="A2669">
        <v>16563079</v>
      </c>
      <c r="B2669">
        <v>1029</v>
      </c>
      <c r="C2669">
        <v>24</v>
      </c>
      <c r="D2669">
        <v>34</v>
      </c>
      <c r="E2669">
        <v>148</v>
      </c>
      <c r="F2669">
        <v>530</v>
      </c>
      <c r="G2669">
        <v>830</v>
      </c>
      <c r="H2669">
        <v>17.637899999999998</v>
      </c>
    </row>
    <row r="2670" spans="1:8" x14ac:dyDescent="0.25">
      <c r="A2670">
        <v>16563080</v>
      </c>
      <c r="B2670">
        <v>681</v>
      </c>
      <c r="C2670">
        <v>384</v>
      </c>
      <c r="D2670">
        <v>66</v>
      </c>
      <c r="E2670">
        <v>288</v>
      </c>
      <c r="F2670">
        <v>718</v>
      </c>
      <c r="G2670">
        <v>965</v>
      </c>
      <c r="H2670">
        <v>17.835899999999999</v>
      </c>
    </row>
    <row r="2671" spans="1:8" x14ac:dyDescent="0.25">
      <c r="A2671">
        <v>16563081</v>
      </c>
      <c r="B2671">
        <v>55</v>
      </c>
      <c r="C2671">
        <v>0</v>
      </c>
      <c r="D2671">
        <v>0</v>
      </c>
      <c r="E2671">
        <v>0</v>
      </c>
      <c r="F2671">
        <v>0</v>
      </c>
      <c r="G2671">
        <v>7</v>
      </c>
      <c r="H2671">
        <v>0</v>
      </c>
    </row>
    <row r="2672" spans="1:8" x14ac:dyDescent="0.25">
      <c r="A2672">
        <v>16572390</v>
      </c>
      <c r="B2672">
        <v>2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</row>
    <row r="2673" spans="1:8" x14ac:dyDescent="0.25">
      <c r="A2673">
        <v>16572391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</row>
    <row r="2674" spans="1:8" x14ac:dyDescent="0.25">
      <c r="A2674">
        <v>16572393</v>
      </c>
      <c r="B2674">
        <v>2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</row>
    <row r="2675" spans="1:8" x14ac:dyDescent="0.25">
      <c r="A2675">
        <v>16592525</v>
      </c>
      <c r="B2675">
        <v>1846</v>
      </c>
      <c r="C2675">
        <v>784</v>
      </c>
      <c r="D2675">
        <v>189</v>
      </c>
      <c r="E2675">
        <v>865</v>
      </c>
      <c r="F2675">
        <v>2684</v>
      </c>
      <c r="G2675">
        <v>5402</v>
      </c>
      <c r="H2675">
        <v>19.355499999999999</v>
      </c>
    </row>
    <row r="2676" spans="1:8" x14ac:dyDescent="0.25">
      <c r="A2676">
        <v>16592526</v>
      </c>
      <c r="B2676">
        <v>1000</v>
      </c>
      <c r="C2676">
        <v>0</v>
      </c>
      <c r="D2676">
        <v>53</v>
      </c>
      <c r="E2676">
        <v>175</v>
      </c>
      <c r="F2676">
        <v>670</v>
      </c>
      <c r="G2676">
        <v>1386</v>
      </c>
      <c r="H2676">
        <v>10.8492</v>
      </c>
    </row>
    <row r="2677" spans="1:8" x14ac:dyDescent="0.25">
      <c r="A2677">
        <v>16592680</v>
      </c>
      <c r="B2677">
        <v>2049</v>
      </c>
      <c r="C2677">
        <v>395</v>
      </c>
      <c r="D2677">
        <v>144</v>
      </c>
      <c r="E2677">
        <v>563</v>
      </c>
      <c r="F2677">
        <v>1697</v>
      </c>
      <c r="G2677">
        <v>3435</v>
      </c>
      <c r="H2677">
        <v>18.450099999999999</v>
      </c>
    </row>
    <row r="2678" spans="1:8" x14ac:dyDescent="0.25">
      <c r="A2678">
        <v>16592681</v>
      </c>
      <c r="B2678">
        <v>2091</v>
      </c>
      <c r="C2678">
        <v>260</v>
      </c>
      <c r="D2678">
        <v>133</v>
      </c>
      <c r="E2678">
        <v>545</v>
      </c>
      <c r="F2678">
        <v>1824</v>
      </c>
      <c r="G2678">
        <v>3895</v>
      </c>
      <c r="H2678">
        <v>18.2774</v>
      </c>
    </row>
    <row r="2679" spans="1:8" x14ac:dyDescent="0.25">
      <c r="A2679">
        <v>16592682</v>
      </c>
      <c r="B2679">
        <v>103</v>
      </c>
      <c r="C2679">
        <v>109</v>
      </c>
      <c r="D2679">
        <v>10</v>
      </c>
      <c r="E2679">
        <v>15</v>
      </c>
      <c r="F2679">
        <v>63</v>
      </c>
      <c r="G2679">
        <v>282</v>
      </c>
      <c r="H2679">
        <v>39</v>
      </c>
    </row>
    <row r="2680" spans="1:8" x14ac:dyDescent="0.25">
      <c r="A2680">
        <v>16592683</v>
      </c>
      <c r="B2680">
        <v>393</v>
      </c>
      <c r="C2680">
        <v>95</v>
      </c>
      <c r="D2680">
        <v>42</v>
      </c>
      <c r="E2680">
        <v>119</v>
      </c>
      <c r="F2680">
        <v>346</v>
      </c>
      <c r="G2680">
        <v>610</v>
      </c>
      <c r="H2680">
        <v>59.264800000000001</v>
      </c>
    </row>
    <row r="2681" spans="1:8" x14ac:dyDescent="0.25">
      <c r="A2681">
        <v>16592685</v>
      </c>
      <c r="B2681">
        <v>42</v>
      </c>
      <c r="C2681">
        <v>0</v>
      </c>
      <c r="D2681">
        <v>0</v>
      </c>
      <c r="E2681">
        <v>9</v>
      </c>
      <c r="F2681">
        <v>30</v>
      </c>
      <c r="G2681">
        <v>162</v>
      </c>
      <c r="H2681">
        <v>0</v>
      </c>
    </row>
    <row r="2682" spans="1:8" x14ac:dyDescent="0.25">
      <c r="A2682">
        <v>16592686</v>
      </c>
      <c r="B2682">
        <v>410</v>
      </c>
      <c r="C2682">
        <v>12</v>
      </c>
      <c r="D2682">
        <v>10</v>
      </c>
      <c r="E2682">
        <v>70</v>
      </c>
      <c r="F2682">
        <v>258</v>
      </c>
      <c r="G2682">
        <v>556</v>
      </c>
      <c r="H2682">
        <v>89.3</v>
      </c>
    </row>
    <row r="2683" spans="1:8" x14ac:dyDescent="0.25">
      <c r="A2683">
        <v>16592687</v>
      </c>
      <c r="B2683">
        <v>507</v>
      </c>
      <c r="C2683">
        <v>24</v>
      </c>
      <c r="D2683">
        <v>17</v>
      </c>
      <c r="E2683">
        <v>43</v>
      </c>
      <c r="F2683">
        <v>153</v>
      </c>
      <c r="G2683">
        <v>311</v>
      </c>
      <c r="H2683">
        <v>68.664699999999996</v>
      </c>
    </row>
    <row r="2684" spans="1:8" x14ac:dyDescent="0.25">
      <c r="A2684">
        <v>16592688</v>
      </c>
      <c r="B2684">
        <v>513</v>
      </c>
      <c r="C2684">
        <v>84</v>
      </c>
      <c r="D2684">
        <v>34</v>
      </c>
      <c r="E2684">
        <v>132</v>
      </c>
      <c r="F2684">
        <v>469</v>
      </c>
      <c r="G2684">
        <v>1008</v>
      </c>
      <c r="H2684">
        <v>41.253500000000003</v>
      </c>
    </row>
    <row r="2685" spans="1:8" x14ac:dyDescent="0.25">
      <c r="A2685">
        <v>16592689</v>
      </c>
      <c r="B2685">
        <v>1488</v>
      </c>
      <c r="C2685">
        <v>140</v>
      </c>
      <c r="D2685">
        <v>57</v>
      </c>
      <c r="E2685">
        <v>223</v>
      </c>
      <c r="F2685">
        <v>719</v>
      </c>
      <c r="G2685">
        <v>1413</v>
      </c>
      <c r="H2685">
        <v>11.739100000000001</v>
      </c>
    </row>
    <row r="2686" spans="1:8" x14ac:dyDescent="0.25">
      <c r="A2686">
        <v>16592690</v>
      </c>
      <c r="B2686">
        <v>1105</v>
      </c>
      <c r="C2686">
        <v>75</v>
      </c>
      <c r="D2686">
        <v>50</v>
      </c>
      <c r="E2686">
        <v>163</v>
      </c>
      <c r="F2686">
        <v>613</v>
      </c>
      <c r="G2686">
        <v>1216</v>
      </c>
      <c r="H2686">
        <v>14.685</v>
      </c>
    </row>
    <row r="2687" spans="1:8" x14ac:dyDescent="0.25">
      <c r="A2687">
        <v>16592691</v>
      </c>
      <c r="B2687">
        <v>1178</v>
      </c>
      <c r="C2687">
        <v>580</v>
      </c>
      <c r="D2687">
        <v>122</v>
      </c>
      <c r="E2687">
        <v>530</v>
      </c>
      <c r="F2687">
        <v>1752</v>
      </c>
      <c r="G2687">
        <v>3545</v>
      </c>
      <c r="H2687">
        <v>9.6286000000000005</v>
      </c>
    </row>
    <row r="2688" spans="1:8" x14ac:dyDescent="0.25">
      <c r="A2688">
        <v>16592692</v>
      </c>
      <c r="B2688">
        <v>2085</v>
      </c>
      <c r="C2688">
        <v>240</v>
      </c>
      <c r="D2688">
        <v>187</v>
      </c>
      <c r="E2688">
        <v>674</v>
      </c>
      <c r="F2688">
        <v>2198</v>
      </c>
      <c r="G2688">
        <v>4534</v>
      </c>
      <c r="H2688">
        <v>10.5975</v>
      </c>
    </row>
    <row r="2689" spans="1:8" x14ac:dyDescent="0.25">
      <c r="A2689">
        <v>16592693</v>
      </c>
      <c r="B2689">
        <v>1557</v>
      </c>
      <c r="C2689">
        <v>80</v>
      </c>
      <c r="D2689">
        <v>43</v>
      </c>
      <c r="E2689">
        <v>130</v>
      </c>
      <c r="F2689">
        <v>448</v>
      </c>
      <c r="G2689">
        <v>979</v>
      </c>
      <c r="H2689">
        <v>14.449299999999999</v>
      </c>
    </row>
    <row r="2690" spans="1:8" x14ac:dyDescent="0.25">
      <c r="A2690">
        <v>16592694</v>
      </c>
      <c r="B2690">
        <v>2356</v>
      </c>
      <c r="C2690">
        <v>120</v>
      </c>
      <c r="D2690">
        <v>51</v>
      </c>
      <c r="E2690">
        <v>224</v>
      </c>
      <c r="F2690">
        <v>739</v>
      </c>
      <c r="G2690">
        <v>1512</v>
      </c>
      <c r="H2690">
        <v>10.7524</v>
      </c>
    </row>
    <row r="2691" spans="1:8" x14ac:dyDescent="0.25">
      <c r="A2691">
        <v>16592695</v>
      </c>
      <c r="B2691">
        <v>514</v>
      </c>
      <c r="C2691">
        <v>18</v>
      </c>
      <c r="D2691">
        <v>29</v>
      </c>
      <c r="E2691">
        <v>124</v>
      </c>
      <c r="F2691">
        <v>406</v>
      </c>
      <c r="G2691">
        <v>870</v>
      </c>
      <c r="H2691">
        <v>24.720700000000001</v>
      </c>
    </row>
    <row r="2692" spans="1:8" x14ac:dyDescent="0.25">
      <c r="A2692">
        <v>16592696</v>
      </c>
      <c r="B2692">
        <v>1960</v>
      </c>
      <c r="C2692">
        <v>720</v>
      </c>
      <c r="D2692">
        <v>163</v>
      </c>
      <c r="E2692">
        <v>654</v>
      </c>
      <c r="F2692">
        <v>2040</v>
      </c>
      <c r="G2692">
        <v>4131</v>
      </c>
      <c r="H2692">
        <v>8.8821999999999992</v>
      </c>
    </row>
    <row r="2693" spans="1:8" x14ac:dyDescent="0.25">
      <c r="A2693">
        <v>16592697</v>
      </c>
      <c r="B2693">
        <v>979</v>
      </c>
      <c r="C2693">
        <v>0</v>
      </c>
      <c r="D2693">
        <v>42</v>
      </c>
      <c r="E2693">
        <v>153</v>
      </c>
      <c r="F2693">
        <v>600</v>
      </c>
      <c r="G2693">
        <v>1412</v>
      </c>
      <c r="H2693">
        <v>28.592099999999999</v>
      </c>
    </row>
    <row r="2694" spans="1:8" x14ac:dyDescent="0.25">
      <c r="A2694">
        <v>16592698</v>
      </c>
      <c r="B2694">
        <v>344</v>
      </c>
      <c r="C2694">
        <v>0</v>
      </c>
      <c r="D2694">
        <v>7</v>
      </c>
      <c r="E2694">
        <v>26</v>
      </c>
      <c r="F2694">
        <v>98</v>
      </c>
      <c r="G2694">
        <v>227</v>
      </c>
      <c r="H2694">
        <v>27.332899999999999</v>
      </c>
    </row>
    <row r="2695" spans="1:8" x14ac:dyDescent="0.25">
      <c r="A2695">
        <v>16593405</v>
      </c>
      <c r="B2695">
        <v>1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</row>
    <row r="2696" spans="1:8" x14ac:dyDescent="0.25">
      <c r="A2696">
        <v>16593407</v>
      </c>
      <c r="B2696">
        <v>2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</row>
    <row r="2697" spans="1:8" x14ac:dyDescent="0.25">
      <c r="A2697">
        <v>16593410</v>
      </c>
      <c r="B2697">
        <v>2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</row>
    <row r="2698" spans="1:8" x14ac:dyDescent="0.25">
      <c r="A2698">
        <v>16593411</v>
      </c>
      <c r="B2698">
        <v>2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</row>
    <row r="2699" spans="1:8" x14ac:dyDescent="0.25">
      <c r="A2699">
        <v>16593415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3</v>
      </c>
      <c r="H2699">
        <v>0</v>
      </c>
    </row>
    <row r="2700" spans="1:8" x14ac:dyDescent="0.25">
      <c r="A2700">
        <v>16593416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</row>
    <row r="2701" spans="1:8" x14ac:dyDescent="0.25">
      <c r="A2701">
        <v>16595939</v>
      </c>
      <c r="B2701">
        <v>19</v>
      </c>
      <c r="C2701">
        <v>0</v>
      </c>
      <c r="D2701">
        <v>0</v>
      </c>
      <c r="E2701">
        <v>0</v>
      </c>
      <c r="F2701">
        <v>4</v>
      </c>
      <c r="G2701">
        <v>31</v>
      </c>
      <c r="H2701">
        <v>0</v>
      </c>
    </row>
    <row r="2702" spans="1:8" x14ac:dyDescent="0.25">
      <c r="A2702">
        <v>16597594</v>
      </c>
      <c r="B2702">
        <v>141</v>
      </c>
      <c r="C2702">
        <v>8</v>
      </c>
      <c r="D2702">
        <v>9</v>
      </c>
      <c r="E2702">
        <v>29</v>
      </c>
      <c r="F2702">
        <v>119</v>
      </c>
      <c r="G2702">
        <v>249</v>
      </c>
      <c r="H2702">
        <v>52.782200000000003</v>
      </c>
    </row>
    <row r="2703" spans="1:8" x14ac:dyDescent="0.25">
      <c r="A2703">
        <v>16597595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11</v>
      </c>
      <c r="H2703">
        <v>0</v>
      </c>
    </row>
    <row r="2704" spans="1:8" x14ac:dyDescent="0.25">
      <c r="A2704">
        <v>16597596</v>
      </c>
      <c r="B2704">
        <v>254</v>
      </c>
      <c r="C2704">
        <v>90</v>
      </c>
      <c r="D2704">
        <v>11</v>
      </c>
      <c r="E2704">
        <v>83</v>
      </c>
      <c r="F2704">
        <v>320</v>
      </c>
      <c r="G2704">
        <v>750</v>
      </c>
      <c r="H2704">
        <v>29.052700000000002</v>
      </c>
    </row>
    <row r="2705" spans="1:8" x14ac:dyDescent="0.25">
      <c r="A2705">
        <v>16597597</v>
      </c>
      <c r="B2705">
        <v>32</v>
      </c>
      <c r="C2705">
        <v>0</v>
      </c>
      <c r="D2705">
        <v>0</v>
      </c>
      <c r="E2705">
        <v>0</v>
      </c>
      <c r="F2705">
        <v>1</v>
      </c>
      <c r="G2705">
        <v>5</v>
      </c>
      <c r="H2705">
        <v>0</v>
      </c>
    </row>
    <row r="2706" spans="1:8" x14ac:dyDescent="0.25">
      <c r="A2706">
        <v>16597598</v>
      </c>
      <c r="B2706">
        <v>9</v>
      </c>
      <c r="C2706">
        <v>9</v>
      </c>
      <c r="D2706">
        <v>2</v>
      </c>
      <c r="E2706">
        <v>12</v>
      </c>
      <c r="F2706">
        <v>50</v>
      </c>
      <c r="G2706">
        <v>106</v>
      </c>
      <c r="H2706">
        <v>179.99</v>
      </c>
    </row>
    <row r="2707" spans="1:8" x14ac:dyDescent="0.25">
      <c r="A2707">
        <v>16602365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</row>
    <row r="2708" spans="1:8" x14ac:dyDescent="0.25">
      <c r="A2708">
        <v>16602366</v>
      </c>
      <c r="B2708">
        <v>0</v>
      </c>
      <c r="C2708">
        <v>0</v>
      </c>
      <c r="D2708">
        <v>0</v>
      </c>
      <c r="E2708">
        <v>0</v>
      </c>
      <c r="F2708">
        <v>6</v>
      </c>
      <c r="G2708">
        <v>40</v>
      </c>
      <c r="H2708">
        <v>0</v>
      </c>
    </row>
    <row r="2709" spans="1:8" x14ac:dyDescent="0.25">
      <c r="A2709">
        <v>16602367</v>
      </c>
      <c r="B2709">
        <v>2</v>
      </c>
      <c r="C2709">
        <v>0</v>
      </c>
      <c r="D2709">
        <v>0</v>
      </c>
      <c r="E2709">
        <v>0</v>
      </c>
      <c r="F2709">
        <v>2</v>
      </c>
      <c r="G2709">
        <v>5</v>
      </c>
      <c r="H2709">
        <v>0</v>
      </c>
    </row>
    <row r="2710" spans="1:8" x14ac:dyDescent="0.25">
      <c r="A2710">
        <v>16602476</v>
      </c>
      <c r="B2710">
        <v>89</v>
      </c>
      <c r="C2710">
        <v>0</v>
      </c>
      <c r="D2710">
        <v>5</v>
      </c>
      <c r="E2710">
        <v>20</v>
      </c>
      <c r="F2710">
        <v>50</v>
      </c>
      <c r="G2710">
        <v>174</v>
      </c>
      <c r="H2710">
        <v>23.97</v>
      </c>
    </row>
    <row r="2711" spans="1:8" x14ac:dyDescent="0.25">
      <c r="A2711">
        <v>16602477</v>
      </c>
      <c r="B2711">
        <v>47</v>
      </c>
      <c r="C2711">
        <v>15</v>
      </c>
      <c r="D2711">
        <v>1</v>
      </c>
      <c r="E2711">
        <v>4</v>
      </c>
      <c r="F2711">
        <v>39</v>
      </c>
      <c r="G2711">
        <v>87</v>
      </c>
      <c r="H2711">
        <v>77.62</v>
      </c>
    </row>
    <row r="2712" spans="1:8" x14ac:dyDescent="0.25">
      <c r="A2712">
        <v>16602478</v>
      </c>
      <c r="B2712">
        <v>2</v>
      </c>
      <c r="C2712">
        <v>0</v>
      </c>
      <c r="D2712">
        <v>0</v>
      </c>
      <c r="E2712">
        <v>0</v>
      </c>
      <c r="F2712">
        <v>8</v>
      </c>
      <c r="G2712">
        <v>37</v>
      </c>
      <c r="H2712">
        <v>0</v>
      </c>
    </row>
    <row r="2713" spans="1:8" x14ac:dyDescent="0.25">
      <c r="A2713">
        <v>16602479</v>
      </c>
      <c r="B2713">
        <v>92</v>
      </c>
      <c r="C2713">
        <v>0</v>
      </c>
      <c r="D2713">
        <v>2</v>
      </c>
      <c r="E2713">
        <v>5</v>
      </c>
      <c r="F2713">
        <v>39</v>
      </c>
      <c r="G2713">
        <v>92</v>
      </c>
      <c r="H2713">
        <v>27.99</v>
      </c>
    </row>
    <row r="2714" spans="1:8" x14ac:dyDescent="0.25">
      <c r="A2714">
        <v>16602480</v>
      </c>
      <c r="B2714">
        <v>75</v>
      </c>
      <c r="C2714">
        <v>0</v>
      </c>
      <c r="D2714">
        <v>5</v>
      </c>
      <c r="E2714">
        <v>25</v>
      </c>
      <c r="F2714">
        <v>79</v>
      </c>
      <c r="G2714">
        <v>151</v>
      </c>
      <c r="H2714">
        <v>27.99</v>
      </c>
    </row>
    <row r="2715" spans="1:8" x14ac:dyDescent="0.25">
      <c r="A2715">
        <v>16602481</v>
      </c>
      <c r="B2715">
        <v>-5</v>
      </c>
      <c r="C2715">
        <v>0</v>
      </c>
      <c r="D2715">
        <v>0</v>
      </c>
      <c r="E2715">
        <v>0</v>
      </c>
      <c r="F2715">
        <v>0</v>
      </c>
      <c r="G2715">
        <v>3</v>
      </c>
      <c r="H2715">
        <v>0</v>
      </c>
    </row>
    <row r="2716" spans="1:8" x14ac:dyDescent="0.25">
      <c r="A2716">
        <v>16602482</v>
      </c>
      <c r="B2716">
        <v>14</v>
      </c>
      <c r="C2716">
        <v>0</v>
      </c>
      <c r="D2716">
        <v>1</v>
      </c>
      <c r="E2716">
        <v>4</v>
      </c>
      <c r="F2716">
        <v>24</v>
      </c>
      <c r="G2716">
        <v>70</v>
      </c>
      <c r="H2716">
        <v>19.97</v>
      </c>
    </row>
    <row r="2717" spans="1:8" x14ac:dyDescent="0.25">
      <c r="A2717">
        <v>16602483</v>
      </c>
      <c r="B2717">
        <v>1</v>
      </c>
      <c r="C2717">
        <v>0</v>
      </c>
      <c r="D2717">
        <v>0</v>
      </c>
      <c r="E2717">
        <v>0</v>
      </c>
      <c r="F2717">
        <v>3</v>
      </c>
      <c r="G2717">
        <v>5</v>
      </c>
      <c r="H2717">
        <v>0</v>
      </c>
    </row>
    <row r="2718" spans="1:8" x14ac:dyDescent="0.25">
      <c r="A2718">
        <v>16602484</v>
      </c>
      <c r="B2718">
        <v>5</v>
      </c>
      <c r="C2718">
        <v>0</v>
      </c>
      <c r="D2718">
        <v>0</v>
      </c>
      <c r="E2718">
        <v>0</v>
      </c>
      <c r="F2718">
        <v>1</v>
      </c>
      <c r="G2718">
        <v>5</v>
      </c>
      <c r="H2718">
        <v>0</v>
      </c>
    </row>
    <row r="2719" spans="1:8" x14ac:dyDescent="0.25">
      <c r="A2719">
        <v>16602485</v>
      </c>
      <c r="B2719">
        <v>-3</v>
      </c>
      <c r="C2719">
        <v>0</v>
      </c>
      <c r="D2719">
        <v>1</v>
      </c>
      <c r="E2719">
        <v>1</v>
      </c>
      <c r="F2719">
        <v>2</v>
      </c>
      <c r="G2719">
        <v>10</v>
      </c>
      <c r="H2719">
        <v>9.9700000000000006</v>
      </c>
    </row>
    <row r="2720" spans="1:8" x14ac:dyDescent="0.25">
      <c r="A2720">
        <v>16602486</v>
      </c>
      <c r="B2720">
        <v>2</v>
      </c>
      <c r="C2720">
        <v>0</v>
      </c>
      <c r="D2720">
        <v>0</v>
      </c>
      <c r="E2720">
        <v>3</v>
      </c>
      <c r="F2720">
        <v>10</v>
      </c>
      <c r="G2720">
        <v>83</v>
      </c>
      <c r="H2720">
        <v>0</v>
      </c>
    </row>
    <row r="2721" spans="1:8" x14ac:dyDescent="0.25">
      <c r="A2721">
        <v>16602487</v>
      </c>
      <c r="B2721">
        <v>29</v>
      </c>
      <c r="C2721">
        <v>0</v>
      </c>
      <c r="D2721">
        <v>2</v>
      </c>
      <c r="E2721">
        <v>8</v>
      </c>
      <c r="F2721">
        <v>25</v>
      </c>
      <c r="G2721">
        <v>76</v>
      </c>
      <c r="H2721">
        <v>2.97</v>
      </c>
    </row>
    <row r="2722" spans="1:8" x14ac:dyDescent="0.25">
      <c r="A2722">
        <v>16602528</v>
      </c>
      <c r="B2722">
        <v>595</v>
      </c>
      <c r="C2722">
        <v>0</v>
      </c>
      <c r="D2722">
        <v>56</v>
      </c>
      <c r="E2722">
        <v>184</v>
      </c>
      <c r="F2722">
        <v>617</v>
      </c>
      <c r="G2722">
        <v>1141</v>
      </c>
      <c r="H2722">
        <v>43.650399999999998</v>
      </c>
    </row>
    <row r="2723" spans="1:8" x14ac:dyDescent="0.25">
      <c r="A2723">
        <v>16612372</v>
      </c>
      <c r="B2723">
        <v>215</v>
      </c>
      <c r="C2723">
        <v>0</v>
      </c>
      <c r="D2723">
        <v>26</v>
      </c>
      <c r="E2723">
        <v>131</v>
      </c>
      <c r="F2723">
        <v>533</v>
      </c>
      <c r="G2723">
        <v>1040</v>
      </c>
      <c r="H2723">
        <v>24.776499999999999</v>
      </c>
    </row>
    <row r="2724" spans="1:8" x14ac:dyDescent="0.25">
      <c r="A2724">
        <v>16612373</v>
      </c>
      <c r="B2724">
        <v>219</v>
      </c>
      <c r="C2724">
        <v>0</v>
      </c>
      <c r="D2724">
        <v>22</v>
      </c>
      <c r="E2724">
        <v>98</v>
      </c>
      <c r="F2724">
        <v>374</v>
      </c>
      <c r="G2724">
        <v>787</v>
      </c>
      <c r="H2724">
        <v>43.946800000000003</v>
      </c>
    </row>
    <row r="2725" spans="1:8" x14ac:dyDescent="0.25">
      <c r="A2725">
        <v>16612374</v>
      </c>
      <c r="B2725">
        <v>52</v>
      </c>
      <c r="C2725">
        <v>0</v>
      </c>
      <c r="D2725">
        <v>6</v>
      </c>
      <c r="E2725">
        <v>26</v>
      </c>
      <c r="F2725">
        <v>127</v>
      </c>
      <c r="G2725">
        <v>244</v>
      </c>
      <c r="H2725">
        <v>77.778300000000002</v>
      </c>
    </row>
    <row r="2726" spans="1:8" x14ac:dyDescent="0.25">
      <c r="A2726">
        <v>16612375</v>
      </c>
      <c r="B2726">
        <v>68</v>
      </c>
      <c r="C2726">
        <v>0</v>
      </c>
      <c r="D2726">
        <v>4</v>
      </c>
      <c r="E2726">
        <v>21</v>
      </c>
      <c r="F2726">
        <v>178</v>
      </c>
      <c r="G2726">
        <v>397</v>
      </c>
      <c r="H2726">
        <v>149.495</v>
      </c>
    </row>
    <row r="2727" spans="1:8" x14ac:dyDescent="0.25">
      <c r="A2727">
        <v>16612376</v>
      </c>
      <c r="B2727">
        <v>123</v>
      </c>
      <c r="C2727">
        <v>0</v>
      </c>
      <c r="D2727">
        <v>28</v>
      </c>
      <c r="E2727">
        <v>149</v>
      </c>
      <c r="F2727">
        <v>530</v>
      </c>
      <c r="G2727">
        <v>933</v>
      </c>
      <c r="H2727">
        <v>23.283200000000001</v>
      </c>
    </row>
    <row r="2728" spans="1:8" x14ac:dyDescent="0.25">
      <c r="A2728">
        <v>16612377</v>
      </c>
      <c r="B2728">
        <v>79</v>
      </c>
      <c r="C2728">
        <v>0</v>
      </c>
      <c r="D2728">
        <v>6</v>
      </c>
      <c r="E2728">
        <v>61</v>
      </c>
      <c r="F2728">
        <v>315</v>
      </c>
      <c r="G2728">
        <v>578</v>
      </c>
      <c r="H2728">
        <v>44.99</v>
      </c>
    </row>
    <row r="2729" spans="1:8" x14ac:dyDescent="0.25">
      <c r="A2729">
        <v>16612378</v>
      </c>
      <c r="B2729">
        <v>86</v>
      </c>
      <c r="C2729">
        <v>0</v>
      </c>
      <c r="D2729">
        <v>6</v>
      </c>
      <c r="E2729">
        <v>28</v>
      </c>
      <c r="F2729">
        <v>175</v>
      </c>
      <c r="G2729">
        <v>353</v>
      </c>
      <c r="H2729">
        <v>79.841700000000003</v>
      </c>
    </row>
    <row r="2730" spans="1:8" x14ac:dyDescent="0.25">
      <c r="A2730">
        <v>16612379</v>
      </c>
      <c r="B2730">
        <v>120</v>
      </c>
      <c r="C2730">
        <v>0</v>
      </c>
      <c r="D2730">
        <v>17</v>
      </c>
      <c r="E2730">
        <v>74</v>
      </c>
      <c r="F2730">
        <v>470</v>
      </c>
      <c r="G2730">
        <v>955</v>
      </c>
      <c r="H2730">
        <v>14.2841</v>
      </c>
    </row>
    <row r="2731" spans="1:8" x14ac:dyDescent="0.25">
      <c r="A2731">
        <v>16612380</v>
      </c>
      <c r="B2731">
        <v>95</v>
      </c>
      <c r="C2731">
        <v>0</v>
      </c>
      <c r="D2731">
        <v>10</v>
      </c>
      <c r="E2731">
        <v>68</v>
      </c>
      <c r="F2731">
        <v>493</v>
      </c>
      <c r="G2731">
        <v>1239</v>
      </c>
      <c r="H2731">
        <v>17.491</v>
      </c>
    </row>
    <row r="2732" spans="1:8" x14ac:dyDescent="0.25">
      <c r="A2732">
        <v>16622801</v>
      </c>
      <c r="B2732">
        <v>437</v>
      </c>
      <c r="C2732">
        <v>40</v>
      </c>
      <c r="D2732">
        <v>3</v>
      </c>
      <c r="E2732">
        <v>25</v>
      </c>
      <c r="F2732">
        <v>95</v>
      </c>
      <c r="G2732">
        <v>369</v>
      </c>
      <c r="H2732">
        <v>194.80330000000001</v>
      </c>
    </row>
    <row r="2733" spans="1:8" x14ac:dyDescent="0.25">
      <c r="A2733">
        <v>16622802</v>
      </c>
      <c r="B2733">
        <v>-1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</row>
    <row r="2734" spans="1:8" x14ac:dyDescent="0.25">
      <c r="A2734">
        <v>16622803</v>
      </c>
      <c r="B2734">
        <v>153</v>
      </c>
      <c r="C2734">
        <v>50</v>
      </c>
      <c r="D2734">
        <v>10</v>
      </c>
      <c r="E2734">
        <v>31</v>
      </c>
      <c r="F2734">
        <v>97</v>
      </c>
      <c r="G2734">
        <v>307</v>
      </c>
      <c r="H2734">
        <v>214.99</v>
      </c>
    </row>
    <row r="2735" spans="1:8" x14ac:dyDescent="0.25">
      <c r="A2735">
        <v>16622805</v>
      </c>
      <c r="B2735">
        <v>123</v>
      </c>
      <c r="C2735">
        <v>0</v>
      </c>
      <c r="D2735">
        <v>9</v>
      </c>
      <c r="E2735">
        <v>28</v>
      </c>
      <c r="F2735">
        <v>69</v>
      </c>
      <c r="G2735">
        <v>167</v>
      </c>
      <c r="H2735">
        <v>293.32330000000002</v>
      </c>
    </row>
    <row r="2736" spans="1:8" x14ac:dyDescent="0.25">
      <c r="A2736">
        <v>16622806</v>
      </c>
      <c r="B2736">
        <v>58</v>
      </c>
      <c r="C2736">
        <v>0</v>
      </c>
      <c r="D2736">
        <v>1</v>
      </c>
      <c r="E2736">
        <v>4</v>
      </c>
      <c r="F2736">
        <v>19</v>
      </c>
      <c r="G2736">
        <v>54</v>
      </c>
      <c r="H2736">
        <v>597.99</v>
      </c>
    </row>
    <row r="2737" spans="1:8" x14ac:dyDescent="0.25">
      <c r="A2737">
        <v>16622809</v>
      </c>
      <c r="B2737">
        <v>-3</v>
      </c>
      <c r="C2737">
        <v>0</v>
      </c>
      <c r="D2737">
        <v>0</v>
      </c>
      <c r="E2737">
        <v>0</v>
      </c>
      <c r="F2737">
        <v>0</v>
      </c>
      <c r="G2737">
        <v>1</v>
      </c>
      <c r="H2737">
        <v>0</v>
      </c>
    </row>
    <row r="2738" spans="1:8" x14ac:dyDescent="0.25">
      <c r="A2738">
        <v>16627763</v>
      </c>
      <c r="B2738">
        <v>2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</row>
    <row r="2739" spans="1:8" x14ac:dyDescent="0.25">
      <c r="A2739">
        <v>16627836</v>
      </c>
      <c r="B2739">
        <v>4</v>
      </c>
      <c r="C2739">
        <v>0</v>
      </c>
      <c r="D2739">
        <v>0</v>
      </c>
      <c r="E2739">
        <v>0</v>
      </c>
      <c r="F2739">
        <v>0</v>
      </c>
      <c r="G2739">
        <v>10</v>
      </c>
      <c r="H2739">
        <v>0</v>
      </c>
    </row>
    <row r="2740" spans="1:8" x14ac:dyDescent="0.25">
      <c r="A2740">
        <v>16627837</v>
      </c>
      <c r="B2740">
        <v>6</v>
      </c>
      <c r="C2740">
        <v>0</v>
      </c>
      <c r="D2740">
        <v>0</v>
      </c>
      <c r="E2740">
        <v>2</v>
      </c>
      <c r="F2740">
        <v>9</v>
      </c>
      <c r="G2740">
        <v>22</v>
      </c>
      <c r="H2740">
        <v>0</v>
      </c>
    </row>
    <row r="2741" spans="1:8" x14ac:dyDescent="0.25">
      <c r="A2741">
        <v>16637756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1</v>
      </c>
      <c r="H2741">
        <v>0</v>
      </c>
    </row>
    <row r="2742" spans="1:8" x14ac:dyDescent="0.25">
      <c r="A2742">
        <v>16638095</v>
      </c>
      <c r="B2742">
        <v>-1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</row>
    <row r="2743" spans="1:8" x14ac:dyDescent="0.25">
      <c r="A2743">
        <v>16642696</v>
      </c>
      <c r="B2743">
        <v>8</v>
      </c>
      <c r="C2743">
        <v>4</v>
      </c>
      <c r="D2743">
        <v>0</v>
      </c>
      <c r="E2743">
        <v>2</v>
      </c>
      <c r="F2743">
        <v>4</v>
      </c>
      <c r="G2743">
        <v>13</v>
      </c>
      <c r="H2743">
        <v>0</v>
      </c>
    </row>
    <row r="2744" spans="1:8" x14ac:dyDescent="0.25">
      <c r="A2744">
        <v>16653374</v>
      </c>
      <c r="B2744">
        <v>2155</v>
      </c>
      <c r="C2744">
        <v>192</v>
      </c>
      <c r="D2744">
        <v>112</v>
      </c>
      <c r="E2744">
        <v>450</v>
      </c>
      <c r="F2744">
        <v>1523</v>
      </c>
      <c r="G2744">
        <v>2914</v>
      </c>
      <c r="H2744">
        <v>8.6959999999999997</v>
      </c>
    </row>
    <row r="2745" spans="1:8" x14ac:dyDescent="0.25">
      <c r="A2745">
        <v>16653391</v>
      </c>
      <c r="B2745">
        <v>54</v>
      </c>
      <c r="C2745">
        <v>0</v>
      </c>
      <c r="D2745">
        <v>4</v>
      </c>
      <c r="E2745">
        <v>8</v>
      </c>
      <c r="F2745">
        <v>41</v>
      </c>
      <c r="G2745">
        <v>80</v>
      </c>
      <c r="H2745">
        <v>308.11250000000001</v>
      </c>
    </row>
    <row r="2746" spans="1:8" x14ac:dyDescent="0.25">
      <c r="A2746">
        <v>16653393</v>
      </c>
      <c r="B2746">
        <v>332</v>
      </c>
      <c r="C2746">
        <v>30</v>
      </c>
      <c r="D2746">
        <v>7</v>
      </c>
      <c r="E2746">
        <v>42</v>
      </c>
      <c r="F2746">
        <v>154</v>
      </c>
      <c r="G2746">
        <v>510</v>
      </c>
      <c r="H2746">
        <v>102.78570000000001</v>
      </c>
    </row>
    <row r="2747" spans="1:8" x14ac:dyDescent="0.25">
      <c r="A2747">
        <v>16653394</v>
      </c>
      <c r="B2747">
        <v>185</v>
      </c>
      <c r="C2747">
        <v>15</v>
      </c>
      <c r="D2747">
        <v>5</v>
      </c>
      <c r="E2747">
        <v>17</v>
      </c>
      <c r="F2747">
        <v>64</v>
      </c>
      <c r="G2747">
        <v>224</v>
      </c>
      <c r="H2747">
        <v>97.123999999999995</v>
      </c>
    </row>
    <row r="2748" spans="1:8" x14ac:dyDescent="0.25">
      <c r="A2748">
        <v>16653395</v>
      </c>
      <c r="B2748">
        <v>64</v>
      </c>
      <c r="C2748">
        <v>5</v>
      </c>
      <c r="D2748">
        <v>3</v>
      </c>
      <c r="E2748">
        <v>9</v>
      </c>
      <c r="F2748">
        <v>38</v>
      </c>
      <c r="G2748">
        <v>106</v>
      </c>
      <c r="H2748">
        <v>99.99</v>
      </c>
    </row>
    <row r="2749" spans="1:8" x14ac:dyDescent="0.25">
      <c r="A2749">
        <v>16653396</v>
      </c>
      <c r="B2749">
        <v>5</v>
      </c>
      <c r="C2749">
        <v>0</v>
      </c>
      <c r="D2749">
        <v>0</v>
      </c>
      <c r="E2749">
        <v>0</v>
      </c>
      <c r="F2749">
        <v>0</v>
      </c>
      <c r="G2749">
        <v>5</v>
      </c>
      <c r="H2749">
        <v>0</v>
      </c>
    </row>
    <row r="2750" spans="1:8" x14ac:dyDescent="0.25">
      <c r="A2750">
        <v>16653397</v>
      </c>
      <c r="B2750">
        <v>88</v>
      </c>
      <c r="C2750">
        <v>2</v>
      </c>
      <c r="D2750">
        <v>3</v>
      </c>
      <c r="E2750">
        <v>8</v>
      </c>
      <c r="F2750">
        <v>39</v>
      </c>
      <c r="G2750">
        <v>94</v>
      </c>
      <c r="H2750">
        <v>373.32330000000002</v>
      </c>
    </row>
    <row r="2751" spans="1:8" x14ac:dyDescent="0.25">
      <c r="A2751">
        <v>16653398</v>
      </c>
      <c r="B2751">
        <v>93</v>
      </c>
      <c r="C2751">
        <v>201</v>
      </c>
      <c r="D2751">
        <v>19</v>
      </c>
      <c r="E2751">
        <v>64</v>
      </c>
      <c r="F2751">
        <v>255</v>
      </c>
      <c r="G2751">
        <v>615</v>
      </c>
      <c r="H2751">
        <v>168.5368</v>
      </c>
    </row>
    <row r="2752" spans="1:8" x14ac:dyDescent="0.25">
      <c r="A2752">
        <v>16653702</v>
      </c>
      <c r="B2752">
        <v>87</v>
      </c>
      <c r="C2752">
        <v>0</v>
      </c>
      <c r="D2752">
        <v>3</v>
      </c>
      <c r="E2752">
        <v>10</v>
      </c>
      <c r="F2752">
        <v>33</v>
      </c>
      <c r="G2752">
        <v>66</v>
      </c>
      <c r="H2752">
        <v>16.79</v>
      </c>
    </row>
    <row r="2753" spans="1:8" x14ac:dyDescent="0.25">
      <c r="A2753">
        <v>16653703</v>
      </c>
      <c r="B2753">
        <v>69</v>
      </c>
      <c r="C2753">
        <v>0</v>
      </c>
      <c r="D2753">
        <v>1</v>
      </c>
      <c r="E2753">
        <v>12</v>
      </c>
      <c r="F2753">
        <v>46</v>
      </c>
      <c r="G2753">
        <v>82</v>
      </c>
      <c r="H2753">
        <v>24.69</v>
      </c>
    </row>
    <row r="2754" spans="1:8" x14ac:dyDescent="0.25">
      <c r="A2754">
        <v>16654357</v>
      </c>
      <c r="B2754">
        <v>18</v>
      </c>
      <c r="C2754">
        <v>0</v>
      </c>
      <c r="D2754">
        <v>0</v>
      </c>
      <c r="E2754">
        <v>1</v>
      </c>
      <c r="F2754">
        <v>1</v>
      </c>
      <c r="G2754">
        <v>13</v>
      </c>
      <c r="H2754">
        <v>0</v>
      </c>
    </row>
    <row r="2755" spans="1:8" x14ac:dyDescent="0.25">
      <c r="A2755">
        <v>16654358</v>
      </c>
      <c r="B2755">
        <v>5</v>
      </c>
      <c r="C2755">
        <v>0</v>
      </c>
      <c r="D2755">
        <v>2</v>
      </c>
      <c r="E2755">
        <v>3</v>
      </c>
      <c r="F2755">
        <v>7</v>
      </c>
      <c r="G2755">
        <v>12</v>
      </c>
      <c r="H2755">
        <v>150</v>
      </c>
    </row>
    <row r="2756" spans="1:8" x14ac:dyDescent="0.25">
      <c r="A2756">
        <v>16654359</v>
      </c>
      <c r="B2756">
        <v>13</v>
      </c>
      <c r="C2756">
        <v>0</v>
      </c>
      <c r="D2756">
        <v>0</v>
      </c>
      <c r="E2756">
        <v>2</v>
      </c>
      <c r="F2756">
        <v>5</v>
      </c>
      <c r="G2756">
        <v>21</v>
      </c>
      <c r="H2756">
        <v>0</v>
      </c>
    </row>
    <row r="2757" spans="1:8" x14ac:dyDescent="0.25">
      <c r="A2757">
        <v>16654360</v>
      </c>
      <c r="B2757">
        <v>11</v>
      </c>
      <c r="C2757">
        <v>0</v>
      </c>
      <c r="D2757">
        <v>1</v>
      </c>
      <c r="E2757">
        <v>3</v>
      </c>
      <c r="F2757">
        <v>6</v>
      </c>
      <c r="G2757">
        <v>8</v>
      </c>
      <c r="H2757">
        <v>849.99</v>
      </c>
    </row>
    <row r="2758" spans="1:8" x14ac:dyDescent="0.25">
      <c r="A2758">
        <v>16654361</v>
      </c>
      <c r="B2758">
        <v>17</v>
      </c>
      <c r="C2758">
        <v>0</v>
      </c>
      <c r="D2758">
        <v>0</v>
      </c>
      <c r="E2758">
        <v>-1</v>
      </c>
      <c r="F2758">
        <v>0</v>
      </c>
      <c r="G2758">
        <v>24</v>
      </c>
      <c r="H2758">
        <v>0</v>
      </c>
    </row>
    <row r="2759" spans="1:8" x14ac:dyDescent="0.25">
      <c r="A2759">
        <v>16654363</v>
      </c>
      <c r="B2759">
        <v>9</v>
      </c>
      <c r="C2759">
        <v>0</v>
      </c>
      <c r="D2759">
        <v>11</v>
      </c>
      <c r="E2759">
        <v>19</v>
      </c>
      <c r="F2759">
        <v>28</v>
      </c>
      <c r="G2759">
        <v>57</v>
      </c>
      <c r="H2759">
        <v>298.70359999999999</v>
      </c>
    </row>
    <row r="2760" spans="1:8" x14ac:dyDescent="0.25">
      <c r="A2760">
        <v>16654364</v>
      </c>
      <c r="B2760">
        <v>21</v>
      </c>
      <c r="C2760">
        <v>0</v>
      </c>
      <c r="D2760">
        <v>1</v>
      </c>
      <c r="E2760">
        <v>4</v>
      </c>
      <c r="F2760">
        <v>10</v>
      </c>
      <c r="G2760">
        <v>48</v>
      </c>
      <c r="H2760">
        <v>1979.99</v>
      </c>
    </row>
    <row r="2761" spans="1:8" x14ac:dyDescent="0.25">
      <c r="A2761">
        <v>16654365</v>
      </c>
      <c r="B2761">
        <v>0</v>
      </c>
      <c r="C2761">
        <v>0</v>
      </c>
      <c r="D2761">
        <v>0</v>
      </c>
      <c r="E2761">
        <v>0</v>
      </c>
      <c r="F2761">
        <v>1</v>
      </c>
      <c r="G2761">
        <v>1</v>
      </c>
      <c r="H2761">
        <v>0</v>
      </c>
    </row>
    <row r="2762" spans="1:8" x14ac:dyDescent="0.25">
      <c r="A2762">
        <v>16654366</v>
      </c>
      <c r="B2762">
        <v>19</v>
      </c>
      <c r="C2762">
        <v>0</v>
      </c>
      <c r="D2762">
        <v>0</v>
      </c>
      <c r="E2762">
        <v>0</v>
      </c>
      <c r="F2762">
        <v>5</v>
      </c>
      <c r="G2762">
        <v>14</v>
      </c>
      <c r="H2762">
        <v>0</v>
      </c>
    </row>
    <row r="2763" spans="1:8" x14ac:dyDescent="0.25">
      <c r="A2763">
        <v>16654367</v>
      </c>
      <c r="B2763">
        <v>75</v>
      </c>
      <c r="C2763">
        <v>0</v>
      </c>
      <c r="D2763">
        <v>4</v>
      </c>
      <c r="E2763">
        <v>17</v>
      </c>
      <c r="F2763">
        <v>42</v>
      </c>
      <c r="G2763">
        <v>129</v>
      </c>
      <c r="H2763">
        <v>1579.99</v>
      </c>
    </row>
    <row r="2764" spans="1:8" x14ac:dyDescent="0.25">
      <c r="A2764">
        <v>16654368</v>
      </c>
      <c r="B2764">
        <v>10</v>
      </c>
      <c r="C2764">
        <v>20</v>
      </c>
      <c r="D2764">
        <v>0</v>
      </c>
      <c r="E2764">
        <v>0</v>
      </c>
      <c r="F2764">
        <v>10</v>
      </c>
      <c r="G2764">
        <v>23</v>
      </c>
      <c r="H2764">
        <v>0</v>
      </c>
    </row>
    <row r="2765" spans="1:8" x14ac:dyDescent="0.25">
      <c r="A2765">
        <v>16654369</v>
      </c>
      <c r="B2765">
        <v>0</v>
      </c>
      <c r="C2765">
        <v>0</v>
      </c>
      <c r="D2765">
        <v>1</v>
      </c>
      <c r="E2765">
        <v>2</v>
      </c>
      <c r="F2765">
        <v>3</v>
      </c>
      <c r="G2765">
        <v>5</v>
      </c>
      <c r="H2765">
        <v>400</v>
      </c>
    </row>
    <row r="2766" spans="1:8" x14ac:dyDescent="0.25">
      <c r="A2766">
        <v>16654370</v>
      </c>
      <c r="B2766">
        <v>0</v>
      </c>
      <c r="C2766">
        <v>0</v>
      </c>
      <c r="D2766">
        <v>0</v>
      </c>
      <c r="E2766">
        <v>0</v>
      </c>
      <c r="F2766">
        <v>3</v>
      </c>
      <c r="G2766">
        <v>5</v>
      </c>
      <c r="H2766">
        <v>0</v>
      </c>
    </row>
    <row r="2767" spans="1:8" x14ac:dyDescent="0.25">
      <c r="A2767">
        <v>16654423</v>
      </c>
      <c r="B2767">
        <v>60</v>
      </c>
      <c r="C2767">
        <v>0</v>
      </c>
      <c r="D2767">
        <v>1</v>
      </c>
      <c r="E2767">
        <v>9</v>
      </c>
      <c r="F2767">
        <v>37</v>
      </c>
      <c r="G2767">
        <v>130</v>
      </c>
      <c r="H2767">
        <v>7.49</v>
      </c>
    </row>
    <row r="2768" spans="1:8" x14ac:dyDescent="0.25">
      <c r="A2768">
        <v>16654986</v>
      </c>
      <c r="B2768">
        <v>8</v>
      </c>
      <c r="C2768">
        <v>0</v>
      </c>
      <c r="D2768">
        <v>0</v>
      </c>
      <c r="E2768">
        <v>0</v>
      </c>
      <c r="F2768">
        <v>1</v>
      </c>
      <c r="G2768">
        <v>5</v>
      </c>
      <c r="H2768">
        <v>0</v>
      </c>
    </row>
    <row r="2769" spans="1:8" x14ac:dyDescent="0.25">
      <c r="A2769">
        <v>16658200</v>
      </c>
      <c r="B2769">
        <v>276</v>
      </c>
      <c r="C2769">
        <v>35</v>
      </c>
      <c r="D2769">
        <v>18</v>
      </c>
      <c r="E2769">
        <v>40</v>
      </c>
      <c r="F2769">
        <v>158</v>
      </c>
      <c r="G2769">
        <v>402</v>
      </c>
      <c r="H2769">
        <v>33.202800000000003</v>
      </c>
    </row>
    <row r="2770" spans="1:8" x14ac:dyDescent="0.25">
      <c r="A2770">
        <v>16658201</v>
      </c>
      <c r="B2770">
        <v>160</v>
      </c>
      <c r="C2770">
        <v>25</v>
      </c>
      <c r="D2770">
        <v>2</v>
      </c>
      <c r="E2770">
        <v>14</v>
      </c>
      <c r="F2770">
        <v>58</v>
      </c>
      <c r="G2770">
        <v>158</v>
      </c>
      <c r="H2770">
        <v>38.774999999999999</v>
      </c>
    </row>
    <row r="2771" spans="1:8" x14ac:dyDescent="0.25">
      <c r="A2771">
        <v>16658202</v>
      </c>
      <c r="B2771">
        <v>282</v>
      </c>
      <c r="C2771">
        <v>35</v>
      </c>
      <c r="D2771">
        <v>8</v>
      </c>
      <c r="E2771">
        <v>34</v>
      </c>
      <c r="F2771">
        <v>100</v>
      </c>
      <c r="G2771">
        <v>251</v>
      </c>
      <c r="H2771">
        <v>33.854999999999997</v>
      </c>
    </row>
    <row r="2772" spans="1:8" x14ac:dyDescent="0.25">
      <c r="A2772">
        <v>16658203</v>
      </c>
      <c r="B2772">
        <v>122</v>
      </c>
      <c r="C2772">
        <v>25</v>
      </c>
      <c r="D2772">
        <v>6</v>
      </c>
      <c r="E2772">
        <v>20</v>
      </c>
      <c r="F2772">
        <v>72</v>
      </c>
      <c r="G2772">
        <v>160</v>
      </c>
      <c r="H2772">
        <v>39.4283</v>
      </c>
    </row>
    <row r="2773" spans="1:8" x14ac:dyDescent="0.25">
      <c r="A2773">
        <v>16659246</v>
      </c>
      <c r="B2773">
        <v>2</v>
      </c>
      <c r="C2773">
        <v>0</v>
      </c>
      <c r="D2773">
        <v>0</v>
      </c>
      <c r="E2773">
        <v>0</v>
      </c>
      <c r="F2773">
        <v>0</v>
      </c>
      <c r="G2773">
        <v>7</v>
      </c>
      <c r="H2773">
        <v>0</v>
      </c>
    </row>
    <row r="2774" spans="1:8" x14ac:dyDescent="0.25">
      <c r="A2774">
        <v>16673614</v>
      </c>
      <c r="B2774">
        <v>263</v>
      </c>
      <c r="C2774">
        <v>5</v>
      </c>
      <c r="D2774">
        <v>34</v>
      </c>
      <c r="E2774">
        <v>88</v>
      </c>
      <c r="F2774">
        <v>225</v>
      </c>
      <c r="G2774">
        <v>912</v>
      </c>
      <c r="H2774">
        <v>181.54759999999999</v>
      </c>
    </row>
    <row r="2775" spans="1:8" x14ac:dyDescent="0.25">
      <c r="A2775">
        <v>16673615</v>
      </c>
      <c r="B2775">
        <v>14</v>
      </c>
      <c r="C2775">
        <v>0</v>
      </c>
      <c r="D2775">
        <v>0</v>
      </c>
      <c r="E2775">
        <v>2</v>
      </c>
      <c r="F2775">
        <v>9</v>
      </c>
      <c r="G2775">
        <v>33</v>
      </c>
      <c r="H2775">
        <v>0</v>
      </c>
    </row>
    <row r="2776" spans="1:8" x14ac:dyDescent="0.25">
      <c r="A2776">
        <v>16673616</v>
      </c>
      <c r="B2776">
        <v>283</v>
      </c>
      <c r="C2776">
        <v>0</v>
      </c>
      <c r="D2776">
        <v>22</v>
      </c>
      <c r="E2776">
        <v>41</v>
      </c>
      <c r="F2776">
        <v>133</v>
      </c>
      <c r="G2776">
        <v>581</v>
      </c>
      <c r="H2776">
        <v>183.55590000000001</v>
      </c>
    </row>
    <row r="2777" spans="1:8" x14ac:dyDescent="0.25">
      <c r="A2777">
        <v>16683229</v>
      </c>
      <c r="B2777">
        <v>240</v>
      </c>
      <c r="C2777">
        <v>0</v>
      </c>
      <c r="D2777">
        <v>9</v>
      </c>
      <c r="E2777">
        <v>39</v>
      </c>
      <c r="F2777">
        <v>105</v>
      </c>
      <c r="G2777">
        <v>271</v>
      </c>
      <c r="H2777">
        <v>139.2611</v>
      </c>
    </row>
    <row r="2778" spans="1:8" x14ac:dyDescent="0.25">
      <c r="A2778">
        <v>16683230</v>
      </c>
      <c r="B2778">
        <v>551</v>
      </c>
      <c r="C2778">
        <v>480</v>
      </c>
      <c r="D2778">
        <v>89</v>
      </c>
      <c r="E2778">
        <v>391</v>
      </c>
      <c r="F2778">
        <v>1256</v>
      </c>
      <c r="G2778">
        <v>2500</v>
      </c>
      <c r="H2778">
        <v>19.252700000000001</v>
      </c>
    </row>
    <row r="2779" spans="1:8" x14ac:dyDescent="0.25">
      <c r="A2779">
        <v>16683232</v>
      </c>
      <c r="B2779">
        <v>770</v>
      </c>
      <c r="C2779">
        <v>0</v>
      </c>
      <c r="D2779">
        <v>42</v>
      </c>
      <c r="E2779">
        <v>213</v>
      </c>
      <c r="F2779">
        <v>719</v>
      </c>
      <c r="G2779">
        <v>1676</v>
      </c>
      <c r="H2779">
        <v>51.681399999999996</v>
      </c>
    </row>
    <row r="2780" spans="1:8" x14ac:dyDescent="0.25">
      <c r="A2780">
        <v>16683233</v>
      </c>
      <c r="B2780">
        <v>311</v>
      </c>
      <c r="C2780">
        <v>0</v>
      </c>
      <c r="D2780">
        <v>22</v>
      </c>
      <c r="E2780">
        <v>58</v>
      </c>
      <c r="F2780">
        <v>242</v>
      </c>
      <c r="G2780">
        <v>617</v>
      </c>
      <c r="H2780">
        <v>95.626400000000004</v>
      </c>
    </row>
    <row r="2781" spans="1:8" x14ac:dyDescent="0.25">
      <c r="A2781">
        <v>16683234</v>
      </c>
      <c r="B2781">
        <v>72</v>
      </c>
      <c r="C2781">
        <v>0</v>
      </c>
      <c r="D2781">
        <v>5</v>
      </c>
      <c r="E2781">
        <v>20</v>
      </c>
      <c r="F2781">
        <v>98</v>
      </c>
      <c r="G2781">
        <v>214</v>
      </c>
      <c r="H2781">
        <v>402.24799999999999</v>
      </c>
    </row>
    <row r="2782" spans="1:8" x14ac:dyDescent="0.25">
      <c r="A2782">
        <v>16683235</v>
      </c>
      <c r="B2782">
        <v>24</v>
      </c>
      <c r="C2782">
        <v>0</v>
      </c>
      <c r="D2782">
        <v>1</v>
      </c>
      <c r="E2782">
        <v>3</v>
      </c>
      <c r="F2782">
        <v>18</v>
      </c>
      <c r="G2782">
        <v>36</v>
      </c>
      <c r="H2782">
        <v>609.99</v>
      </c>
    </row>
    <row r="2783" spans="1:8" x14ac:dyDescent="0.25">
      <c r="A2783">
        <v>16683236</v>
      </c>
      <c r="B2783">
        <v>168</v>
      </c>
      <c r="C2783">
        <v>0</v>
      </c>
      <c r="D2783">
        <v>6</v>
      </c>
      <c r="E2783">
        <v>27</v>
      </c>
      <c r="F2783">
        <v>140</v>
      </c>
      <c r="G2783">
        <v>404</v>
      </c>
      <c r="H2783">
        <v>149.57830000000001</v>
      </c>
    </row>
    <row r="2784" spans="1:8" x14ac:dyDescent="0.25">
      <c r="A2784">
        <v>16683237</v>
      </c>
      <c r="B2784">
        <v>159</v>
      </c>
      <c r="C2784">
        <v>0</v>
      </c>
      <c r="D2784">
        <v>20</v>
      </c>
      <c r="E2784">
        <v>57</v>
      </c>
      <c r="F2784">
        <v>157</v>
      </c>
      <c r="G2784">
        <v>642</v>
      </c>
      <c r="H2784">
        <v>132.398</v>
      </c>
    </row>
    <row r="2785" spans="1:8" x14ac:dyDescent="0.25">
      <c r="A2785">
        <v>16683238</v>
      </c>
      <c r="B2785">
        <v>12</v>
      </c>
      <c r="C2785">
        <v>0</v>
      </c>
      <c r="D2785">
        <v>8</v>
      </c>
      <c r="E2785">
        <v>32</v>
      </c>
      <c r="F2785">
        <v>135</v>
      </c>
      <c r="G2785">
        <v>295</v>
      </c>
      <c r="H2785">
        <v>131.34620000000001</v>
      </c>
    </row>
    <row r="2786" spans="1:8" x14ac:dyDescent="0.25">
      <c r="A2786">
        <v>16683365</v>
      </c>
      <c r="B2786">
        <v>36</v>
      </c>
      <c r="C2786">
        <v>22</v>
      </c>
      <c r="D2786">
        <v>6</v>
      </c>
      <c r="E2786">
        <v>15</v>
      </c>
      <c r="F2786">
        <v>34</v>
      </c>
      <c r="G2786">
        <v>70</v>
      </c>
      <c r="H2786">
        <v>32.99</v>
      </c>
    </row>
    <row r="2787" spans="1:8" x14ac:dyDescent="0.25">
      <c r="A2787">
        <v>16703844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1</v>
      </c>
      <c r="H2787">
        <v>0</v>
      </c>
    </row>
    <row r="2788" spans="1:8" x14ac:dyDescent="0.25">
      <c r="A2788">
        <v>16704570</v>
      </c>
      <c r="B2788">
        <v>560</v>
      </c>
      <c r="C2788">
        <v>16</v>
      </c>
      <c r="D2788">
        <v>28</v>
      </c>
      <c r="E2788">
        <v>99</v>
      </c>
      <c r="F2788">
        <v>301</v>
      </c>
      <c r="G2788">
        <v>574</v>
      </c>
      <c r="H2788">
        <v>42.329300000000003</v>
      </c>
    </row>
    <row r="2789" spans="1:8" x14ac:dyDescent="0.25">
      <c r="A2789">
        <v>16704571</v>
      </c>
      <c r="B2789">
        <v>523</v>
      </c>
      <c r="C2789">
        <v>40</v>
      </c>
      <c r="D2789">
        <v>17</v>
      </c>
      <c r="E2789">
        <v>56</v>
      </c>
      <c r="F2789">
        <v>150</v>
      </c>
      <c r="G2789">
        <v>334</v>
      </c>
      <c r="H2789">
        <v>49.715899999999998</v>
      </c>
    </row>
    <row r="2790" spans="1:8" x14ac:dyDescent="0.25">
      <c r="A2790">
        <v>16704572</v>
      </c>
      <c r="B2790">
        <v>54</v>
      </c>
      <c r="C2790">
        <v>3</v>
      </c>
      <c r="D2790">
        <v>2</v>
      </c>
      <c r="E2790">
        <v>14</v>
      </c>
      <c r="F2790">
        <v>36</v>
      </c>
      <c r="G2790">
        <v>86</v>
      </c>
      <c r="H2790">
        <v>129.99</v>
      </c>
    </row>
    <row r="2791" spans="1:8" x14ac:dyDescent="0.25">
      <c r="A2791">
        <v>16704573</v>
      </c>
      <c r="B2791">
        <v>795</v>
      </c>
      <c r="C2791">
        <v>60</v>
      </c>
      <c r="D2791">
        <v>20</v>
      </c>
      <c r="E2791">
        <v>86</v>
      </c>
      <c r="F2791">
        <v>287</v>
      </c>
      <c r="G2791">
        <v>611</v>
      </c>
      <c r="H2791">
        <v>16.718</v>
      </c>
    </row>
    <row r="2792" spans="1:8" x14ac:dyDescent="0.25">
      <c r="A2792">
        <v>16727507</v>
      </c>
      <c r="B2792">
        <v>1</v>
      </c>
      <c r="C2792">
        <v>0</v>
      </c>
      <c r="D2792">
        <v>0</v>
      </c>
      <c r="E2792">
        <v>0</v>
      </c>
      <c r="F2792">
        <v>1</v>
      </c>
      <c r="G2792">
        <v>5</v>
      </c>
      <c r="H2792">
        <v>0</v>
      </c>
    </row>
    <row r="2793" spans="1:8" x14ac:dyDescent="0.25">
      <c r="A2793">
        <v>16727718</v>
      </c>
      <c r="B2793">
        <v>50</v>
      </c>
      <c r="C2793">
        <v>4</v>
      </c>
      <c r="D2793">
        <v>1</v>
      </c>
      <c r="E2793">
        <v>7</v>
      </c>
      <c r="F2793">
        <v>30</v>
      </c>
      <c r="G2793">
        <v>88</v>
      </c>
      <c r="H2793">
        <v>144.99</v>
      </c>
    </row>
    <row r="2794" spans="1:8" x14ac:dyDescent="0.25">
      <c r="A2794">
        <v>16727720</v>
      </c>
      <c r="B2794">
        <v>131</v>
      </c>
      <c r="C2794">
        <v>6</v>
      </c>
      <c r="D2794">
        <v>4</v>
      </c>
      <c r="E2794">
        <v>20</v>
      </c>
      <c r="F2794">
        <v>68</v>
      </c>
      <c r="G2794">
        <v>174</v>
      </c>
      <c r="H2794">
        <v>112.01</v>
      </c>
    </row>
    <row r="2795" spans="1:8" x14ac:dyDescent="0.25">
      <c r="A2795">
        <v>16727722</v>
      </c>
      <c r="B2795">
        <v>161</v>
      </c>
      <c r="C2795">
        <v>15</v>
      </c>
      <c r="D2795">
        <v>5</v>
      </c>
      <c r="E2795">
        <v>33</v>
      </c>
      <c r="F2795">
        <v>102</v>
      </c>
      <c r="G2795">
        <v>216</v>
      </c>
      <c r="H2795">
        <v>37.99</v>
      </c>
    </row>
    <row r="2796" spans="1:8" x14ac:dyDescent="0.25">
      <c r="A2796">
        <v>16727723</v>
      </c>
      <c r="B2796">
        <v>89</v>
      </c>
      <c r="C2796">
        <v>0</v>
      </c>
      <c r="D2796">
        <v>4</v>
      </c>
      <c r="E2796">
        <v>10</v>
      </c>
      <c r="F2796">
        <v>63</v>
      </c>
      <c r="G2796">
        <v>160</v>
      </c>
      <c r="H2796">
        <v>66.594999999999999</v>
      </c>
    </row>
    <row r="2797" spans="1:8" x14ac:dyDescent="0.25">
      <c r="A2797">
        <v>16727724</v>
      </c>
      <c r="B2797">
        <v>50</v>
      </c>
      <c r="C2797">
        <v>4</v>
      </c>
      <c r="D2797">
        <v>2</v>
      </c>
      <c r="E2797">
        <v>4</v>
      </c>
      <c r="F2797">
        <v>15</v>
      </c>
      <c r="G2797">
        <v>47</v>
      </c>
      <c r="H2797">
        <v>92.91</v>
      </c>
    </row>
    <row r="2798" spans="1:8" x14ac:dyDescent="0.25">
      <c r="A2798">
        <v>16727726</v>
      </c>
      <c r="B2798">
        <v>21</v>
      </c>
      <c r="C2798">
        <v>0</v>
      </c>
      <c r="D2798">
        <v>0</v>
      </c>
      <c r="E2798">
        <v>5</v>
      </c>
      <c r="F2798">
        <v>18</v>
      </c>
      <c r="G2798">
        <v>57</v>
      </c>
      <c r="H2798">
        <v>0</v>
      </c>
    </row>
    <row r="2799" spans="1:8" x14ac:dyDescent="0.25">
      <c r="A2799">
        <v>16727728</v>
      </c>
      <c r="B2799">
        <v>0</v>
      </c>
      <c r="C2799">
        <v>0</v>
      </c>
      <c r="D2799">
        <v>0</v>
      </c>
      <c r="E2799">
        <v>0</v>
      </c>
      <c r="F2799">
        <v>6</v>
      </c>
      <c r="G2799">
        <v>9</v>
      </c>
      <c r="H2799">
        <v>0</v>
      </c>
    </row>
    <row r="2800" spans="1:8" x14ac:dyDescent="0.25">
      <c r="A2800">
        <v>16727729</v>
      </c>
      <c r="B2800">
        <v>42</v>
      </c>
      <c r="C2800">
        <v>1</v>
      </c>
      <c r="D2800">
        <v>2</v>
      </c>
      <c r="E2800">
        <v>5</v>
      </c>
      <c r="F2800">
        <v>20</v>
      </c>
      <c r="G2800">
        <v>60</v>
      </c>
      <c r="H2800">
        <v>380</v>
      </c>
    </row>
    <row r="2801" spans="1:8" x14ac:dyDescent="0.25">
      <c r="A2801">
        <v>16727730</v>
      </c>
      <c r="B2801">
        <v>50</v>
      </c>
      <c r="C2801">
        <v>0</v>
      </c>
      <c r="D2801">
        <v>1</v>
      </c>
      <c r="E2801">
        <v>3</v>
      </c>
      <c r="F2801">
        <v>19</v>
      </c>
      <c r="G2801">
        <v>54</v>
      </c>
      <c r="H2801">
        <v>135</v>
      </c>
    </row>
    <row r="2802" spans="1:8" x14ac:dyDescent="0.25">
      <c r="A2802">
        <v>16727731</v>
      </c>
      <c r="B2802">
        <v>12</v>
      </c>
      <c r="C2802">
        <v>2</v>
      </c>
      <c r="D2802">
        <v>1</v>
      </c>
      <c r="E2802">
        <v>2</v>
      </c>
      <c r="F2802">
        <v>13</v>
      </c>
      <c r="G2802">
        <v>34</v>
      </c>
      <c r="H2802">
        <v>294.99</v>
      </c>
    </row>
    <row r="2803" spans="1:8" x14ac:dyDescent="0.25">
      <c r="A2803">
        <v>16727732</v>
      </c>
      <c r="B2803">
        <v>21</v>
      </c>
      <c r="C2803">
        <v>0</v>
      </c>
      <c r="D2803">
        <v>0</v>
      </c>
      <c r="E2803">
        <v>0</v>
      </c>
      <c r="F2803">
        <v>1</v>
      </c>
      <c r="G2803">
        <v>8</v>
      </c>
      <c r="H2803">
        <v>0</v>
      </c>
    </row>
    <row r="2804" spans="1:8" x14ac:dyDescent="0.25">
      <c r="A2804">
        <v>16727733</v>
      </c>
      <c r="B2804">
        <v>32</v>
      </c>
      <c r="C2804">
        <v>6</v>
      </c>
      <c r="D2804">
        <v>2</v>
      </c>
      <c r="E2804">
        <v>7</v>
      </c>
      <c r="F2804">
        <v>30</v>
      </c>
      <c r="G2804">
        <v>72</v>
      </c>
      <c r="H2804">
        <v>364.995</v>
      </c>
    </row>
    <row r="2805" spans="1:8" x14ac:dyDescent="0.25">
      <c r="A2805">
        <v>16732829</v>
      </c>
      <c r="B2805">
        <v>1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</row>
    <row r="2806" spans="1:8" x14ac:dyDescent="0.25">
      <c r="A2806">
        <v>16747425</v>
      </c>
      <c r="B2806">
        <v>130</v>
      </c>
      <c r="C2806">
        <v>12</v>
      </c>
      <c r="D2806">
        <v>5</v>
      </c>
      <c r="E2806">
        <v>35</v>
      </c>
      <c r="F2806">
        <v>105</v>
      </c>
      <c r="G2806">
        <v>320</v>
      </c>
      <c r="H2806">
        <v>357.64400000000001</v>
      </c>
    </row>
    <row r="2807" spans="1:8" x14ac:dyDescent="0.25">
      <c r="A2807">
        <v>16747426</v>
      </c>
      <c r="B2807">
        <v>129</v>
      </c>
      <c r="C2807">
        <v>11</v>
      </c>
      <c r="D2807">
        <v>1</v>
      </c>
      <c r="E2807">
        <v>15</v>
      </c>
      <c r="F2807">
        <v>52</v>
      </c>
      <c r="G2807">
        <v>200</v>
      </c>
      <c r="H2807">
        <v>359</v>
      </c>
    </row>
    <row r="2808" spans="1:8" x14ac:dyDescent="0.25">
      <c r="A2808">
        <v>16752466</v>
      </c>
      <c r="B2808">
        <v>125</v>
      </c>
      <c r="C2808">
        <v>0</v>
      </c>
      <c r="D2808">
        <v>0</v>
      </c>
      <c r="E2808">
        <v>4</v>
      </c>
      <c r="F2808">
        <v>26</v>
      </c>
      <c r="G2808">
        <v>89</v>
      </c>
      <c r="H2808">
        <v>0</v>
      </c>
    </row>
    <row r="2809" spans="1:8" x14ac:dyDescent="0.25">
      <c r="A2809">
        <v>16752467</v>
      </c>
      <c r="B2809">
        <v>167</v>
      </c>
      <c r="C2809">
        <v>0</v>
      </c>
      <c r="D2809">
        <v>2</v>
      </c>
      <c r="E2809">
        <v>7</v>
      </c>
      <c r="F2809">
        <v>57</v>
      </c>
      <c r="G2809">
        <v>159</v>
      </c>
      <c r="H2809">
        <v>168.29499999999999</v>
      </c>
    </row>
    <row r="2810" spans="1:8" x14ac:dyDescent="0.25">
      <c r="A2810">
        <v>16752468</v>
      </c>
      <c r="B2810">
        <v>26</v>
      </c>
      <c r="C2810">
        <v>0</v>
      </c>
      <c r="D2810">
        <v>0</v>
      </c>
      <c r="E2810">
        <v>0</v>
      </c>
      <c r="F2810">
        <v>4</v>
      </c>
      <c r="G2810">
        <v>26</v>
      </c>
      <c r="H2810">
        <v>0</v>
      </c>
    </row>
    <row r="2811" spans="1:8" x14ac:dyDescent="0.25">
      <c r="A2811">
        <v>16752469</v>
      </c>
      <c r="B2811">
        <v>37</v>
      </c>
      <c r="C2811">
        <v>4</v>
      </c>
      <c r="D2811">
        <v>2</v>
      </c>
      <c r="E2811">
        <v>8</v>
      </c>
      <c r="F2811">
        <v>30</v>
      </c>
      <c r="G2811">
        <v>73</v>
      </c>
      <c r="H2811">
        <v>299</v>
      </c>
    </row>
    <row r="2812" spans="1:8" x14ac:dyDescent="0.25">
      <c r="A2812">
        <v>16762401</v>
      </c>
      <c r="B2812">
        <v>733</v>
      </c>
      <c r="C2812">
        <v>0</v>
      </c>
      <c r="D2812">
        <v>27</v>
      </c>
      <c r="E2812">
        <v>68</v>
      </c>
      <c r="F2812">
        <v>224</v>
      </c>
      <c r="G2812">
        <v>1396</v>
      </c>
      <c r="H2812">
        <v>124.4144</v>
      </c>
    </row>
    <row r="2813" spans="1:8" x14ac:dyDescent="0.25">
      <c r="A2813">
        <v>16763164</v>
      </c>
      <c r="B2813">
        <v>3</v>
      </c>
      <c r="C2813">
        <v>0</v>
      </c>
      <c r="D2813">
        <v>0</v>
      </c>
      <c r="E2813">
        <v>0</v>
      </c>
      <c r="F2813">
        <v>0</v>
      </c>
      <c r="G2813">
        <v>2</v>
      </c>
      <c r="H2813">
        <v>0</v>
      </c>
    </row>
    <row r="2814" spans="1:8" x14ac:dyDescent="0.25">
      <c r="A2814">
        <v>16763166</v>
      </c>
      <c r="B2814">
        <v>4</v>
      </c>
      <c r="C2814">
        <v>0</v>
      </c>
      <c r="D2814">
        <v>0</v>
      </c>
      <c r="E2814">
        <v>0</v>
      </c>
      <c r="F2814">
        <v>0</v>
      </c>
      <c r="G2814">
        <v>4</v>
      </c>
      <c r="H2814">
        <v>0</v>
      </c>
    </row>
    <row r="2815" spans="1:8" x14ac:dyDescent="0.25">
      <c r="A2815">
        <v>16763167</v>
      </c>
      <c r="B2815">
        <v>2</v>
      </c>
      <c r="C2815">
        <v>0</v>
      </c>
      <c r="D2815">
        <v>0</v>
      </c>
      <c r="E2815">
        <v>0</v>
      </c>
      <c r="F2815">
        <v>0</v>
      </c>
      <c r="G2815">
        <v>7</v>
      </c>
      <c r="H2815">
        <v>0</v>
      </c>
    </row>
    <row r="2816" spans="1:8" x14ac:dyDescent="0.25">
      <c r="A2816">
        <v>16763168</v>
      </c>
      <c r="B2816">
        <v>1</v>
      </c>
      <c r="C2816">
        <v>0</v>
      </c>
      <c r="D2816">
        <v>0</v>
      </c>
      <c r="E2816">
        <v>0</v>
      </c>
      <c r="F2816">
        <v>0</v>
      </c>
      <c r="G2816">
        <v>1</v>
      </c>
      <c r="H2816">
        <v>0</v>
      </c>
    </row>
    <row r="2817" spans="1:8" x14ac:dyDescent="0.25">
      <c r="A2817">
        <v>16763169</v>
      </c>
      <c r="B2817">
        <v>8</v>
      </c>
      <c r="C2817">
        <v>0</v>
      </c>
      <c r="D2817">
        <v>0</v>
      </c>
      <c r="E2817">
        <v>1</v>
      </c>
      <c r="F2817">
        <v>4</v>
      </c>
      <c r="G2817">
        <v>7</v>
      </c>
      <c r="H2817">
        <v>0</v>
      </c>
    </row>
    <row r="2818" spans="1:8" x14ac:dyDescent="0.25">
      <c r="A2818">
        <v>16763170</v>
      </c>
      <c r="B2818">
        <v>6</v>
      </c>
      <c r="C2818">
        <v>0</v>
      </c>
      <c r="D2818">
        <v>0</v>
      </c>
      <c r="E2818">
        <v>0</v>
      </c>
      <c r="F2818">
        <v>1</v>
      </c>
      <c r="G2818">
        <v>1</v>
      </c>
      <c r="H2818">
        <v>0</v>
      </c>
    </row>
    <row r="2819" spans="1:8" x14ac:dyDescent="0.25">
      <c r="A2819">
        <v>16763171</v>
      </c>
      <c r="B2819">
        <v>1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</row>
    <row r="2820" spans="1:8" x14ac:dyDescent="0.25">
      <c r="A2820">
        <v>16763172</v>
      </c>
      <c r="B2820">
        <v>813</v>
      </c>
      <c r="C2820">
        <v>93</v>
      </c>
      <c r="D2820">
        <v>61</v>
      </c>
      <c r="E2820">
        <v>237</v>
      </c>
      <c r="F2820">
        <v>1044</v>
      </c>
      <c r="G2820">
        <v>2721</v>
      </c>
      <c r="H2820">
        <v>120.8411</v>
      </c>
    </row>
    <row r="2821" spans="1:8" x14ac:dyDescent="0.25">
      <c r="A2821">
        <v>16763173</v>
      </c>
      <c r="B2821">
        <v>86</v>
      </c>
      <c r="C2821">
        <v>3</v>
      </c>
      <c r="D2821">
        <v>1</v>
      </c>
      <c r="E2821">
        <v>2</v>
      </c>
      <c r="F2821">
        <v>23</v>
      </c>
      <c r="G2821">
        <v>68</v>
      </c>
      <c r="H2821">
        <v>299</v>
      </c>
    </row>
    <row r="2822" spans="1:8" x14ac:dyDescent="0.25">
      <c r="A2822">
        <v>16763174</v>
      </c>
      <c r="B2822">
        <v>193</v>
      </c>
      <c r="C2822">
        <v>18</v>
      </c>
      <c r="D2822">
        <v>5</v>
      </c>
      <c r="E2822">
        <v>33</v>
      </c>
      <c r="F2822">
        <v>119</v>
      </c>
      <c r="G2822">
        <v>248</v>
      </c>
      <c r="H2822">
        <v>281.49</v>
      </c>
    </row>
    <row r="2823" spans="1:8" x14ac:dyDescent="0.25">
      <c r="A2823">
        <v>16763175</v>
      </c>
      <c r="B2823">
        <v>88</v>
      </c>
      <c r="C2823">
        <v>1</v>
      </c>
      <c r="D2823">
        <v>0</v>
      </c>
      <c r="E2823">
        <v>7</v>
      </c>
      <c r="F2823">
        <v>21</v>
      </c>
      <c r="G2823">
        <v>75</v>
      </c>
      <c r="H2823">
        <v>0</v>
      </c>
    </row>
    <row r="2824" spans="1:8" x14ac:dyDescent="0.25">
      <c r="A2824">
        <v>16763176</v>
      </c>
      <c r="B2824">
        <v>212</v>
      </c>
      <c r="C2824">
        <v>19</v>
      </c>
      <c r="D2824">
        <v>12</v>
      </c>
      <c r="E2824">
        <v>33</v>
      </c>
      <c r="F2824">
        <v>134</v>
      </c>
      <c r="G2824">
        <v>304</v>
      </c>
      <c r="H2824">
        <v>331.25749999999999</v>
      </c>
    </row>
    <row r="2825" spans="1:8" x14ac:dyDescent="0.25">
      <c r="A2825">
        <v>16763500</v>
      </c>
      <c r="B2825">
        <v>6</v>
      </c>
      <c r="C2825">
        <v>0</v>
      </c>
      <c r="D2825">
        <v>0</v>
      </c>
      <c r="E2825">
        <v>1</v>
      </c>
      <c r="F2825">
        <v>1</v>
      </c>
      <c r="G2825">
        <v>5</v>
      </c>
      <c r="H2825">
        <v>0</v>
      </c>
    </row>
    <row r="2826" spans="1:8" x14ac:dyDescent="0.25">
      <c r="A2826">
        <v>16763501</v>
      </c>
      <c r="B2826">
        <v>3</v>
      </c>
      <c r="C2826">
        <v>0</v>
      </c>
      <c r="D2826">
        <v>0</v>
      </c>
      <c r="E2826">
        <v>0</v>
      </c>
      <c r="F2826">
        <v>0</v>
      </c>
      <c r="G2826">
        <v>1</v>
      </c>
      <c r="H2826">
        <v>0</v>
      </c>
    </row>
    <row r="2827" spans="1:8" x14ac:dyDescent="0.25">
      <c r="A2827">
        <v>16763502</v>
      </c>
      <c r="B2827">
        <v>6</v>
      </c>
      <c r="C2827">
        <v>0</v>
      </c>
      <c r="D2827">
        <v>0</v>
      </c>
      <c r="E2827">
        <v>0</v>
      </c>
      <c r="F2827">
        <v>1</v>
      </c>
      <c r="G2827">
        <v>9</v>
      </c>
      <c r="H2827">
        <v>0</v>
      </c>
    </row>
    <row r="2828" spans="1:8" x14ac:dyDescent="0.25">
      <c r="A2828">
        <v>16763503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</row>
    <row r="2829" spans="1:8" x14ac:dyDescent="0.25">
      <c r="A2829">
        <v>16763504</v>
      </c>
      <c r="B2829">
        <v>8</v>
      </c>
      <c r="C2829">
        <v>0</v>
      </c>
      <c r="D2829">
        <v>0</v>
      </c>
      <c r="E2829">
        <v>0</v>
      </c>
      <c r="F2829">
        <v>1</v>
      </c>
      <c r="G2829">
        <v>3</v>
      </c>
      <c r="H2829">
        <v>0</v>
      </c>
    </row>
    <row r="2830" spans="1:8" x14ac:dyDescent="0.25">
      <c r="A2830">
        <v>16763505</v>
      </c>
      <c r="B2830">
        <v>7</v>
      </c>
      <c r="C2830">
        <v>0</v>
      </c>
      <c r="D2830">
        <v>0</v>
      </c>
      <c r="E2830">
        <v>1</v>
      </c>
      <c r="F2830">
        <v>2</v>
      </c>
      <c r="G2830">
        <v>8</v>
      </c>
      <c r="H2830">
        <v>0</v>
      </c>
    </row>
    <row r="2831" spans="1:8" x14ac:dyDescent="0.25">
      <c r="A2831">
        <v>16763819</v>
      </c>
      <c r="B2831">
        <v>35</v>
      </c>
      <c r="C2831">
        <v>0</v>
      </c>
      <c r="D2831">
        <v>6</v>
      </c>
      <c r="E2831">
        <v>27</v>
      </c>
      <c r="F2831">
        <v>148</v>
      </c>
      <c r="G2831">
        <v>1621</v>
      </c>
      <c r="H2831">
        <v>19.97</v>
      </c>
    </row>
    <row r="2832" spans="1:8" x14ac:dyDescent="0.25">
      <c r="A2832">
        <v>16765460</v>
      </c>
      <c r="B2832">
        <v>58</v>
      </c>
      <c r="C2832">
        <v>1</v>
      </c>
      <c r="D2832">
        <v>3</v>
      </c>
      <c r="E2832">
        <v>11</v>
      </c>
      <c r="F2832">
        <v>37</v>
      </c>
      <c r="G2832">
        <v>93</v>
      </c>
      <c r="H2832">
        <v>789.99</v>
      </c>
    </row>
    <row r="2833" spans="1:8" x14ac:dyDescent="0.25">
      <c r="A2833">
        <v>16777372</v>
      </c>
      <c r="B2833">
        <v>9</v>
      </c>
      <c r="C2833">
        <v>0</v>
      </c>
      <c r="D2833">
        <v>0</v>
      </c>
      <c r="E2833">
        <v>0</v>
      </c>
      <c r="F2833">
        <v>5</v>
      </c>
      <c r="G2833">
        <v>39</v>
      </c>
      <c r="H2833">
        <v>0</v>
      </c>
    </row>
    <row r="2834" spans="1:8" x14ac:dyDescent="0.25">
      <c r="A2834">
        <v>16777373</v>
      </c>
      <c r="B2834">
        <v>54</v>
      </c>
      <c r="C2834">
        <v>6</v>
      </c>
      <c r="D2834">
        <v>1</v>
      </c>
      <c r="E2834">
        <v>7</v>
      </c>
      <c r="F2834">
        <v>37</v>
      </c>
      <c r="G2834">
        <v>79</v>
      </c>
      <c r="H2834">
        <v>104.99</v>
      </c>
    </row>
    <row r="2835" spans="1:8" x14ac:dyDescent="0.25">
      <c r="A2835">
        <v>16777374</v>
      </c>
      <c r="B2835">
        <v>14</v>
      </c>
      <c r="C2835">
        <v>0</v>
      </c>
      <c r="D2835">
        <v>0</v>
      </c>
      <c r="E2835">
        <v>0</v>
      </c>
      <c r="F2835">
        <v>19</v>
      </c>
      <c r="G2835">
        <v>81</v>
      </c>
      <c r="H2835">
        <v>0</v>
      </c>
    </row>
    <row r="2836" spans="1:8" x14ac:dyDescent="0.25">
      <c r="A2836">
        <v>16777375</v>
      </c>
      <c r="B2836">
        <v>0</v>
      </c>
      <c r="C2836">
        <v>0</v>
      </c>
      <c r="D2836">
        <v>0</v>
      </c>
      <c r="E2836">
        <v>0</v>
      </c>
      <c r="F2836">
        <v>6</v>
      </c>
      <c r="G2836">
        <v>15</v>
      </c>
      <c r="H2836">
        <v>0</v>
      </c>
    </row>
    <row r="2837" spans="1:8" x14ac:dyDescent="0.25">
      <c r="A2837">
        <v>16777376</v>
      </c>
      <c r="B2837">
        <v>3</v>
      </c>
      <c r="C2837">
        <v>0</v>
      </c>
      <c r="D2837">
        <v>2</v>
      </c>
      <c r="E2837">
        <v>4</v>
      </c>
      <c r="F2837">
        <v>17</v>
      </c>
      <c r="G2837">
        <v>54</v>
      </c>
      <c r="H2837">
        <v>9.67</v>
      </c>
    </row>
    <row r="2838" spans="1:8" x14ac:dyDescent="0.25">
      <c r="A2838">
        <v>16777377</v>
      </c>
      <c r="B2838">
        <v>3</v>
      </c>
      <c r="C2838">
        <v>0</v>
      </c>
      <c r="D2838">
        <v>2</v>
      </c>
      <c r="E2838">
        <v>11</v>
      </c>
      <c r="F2838">
        <v>64</v>
      </c>
      <c r="G2838">
        <v>104</v>
      </c>
      <c r="H2838">
        <v>9.9700000000000006</v>
      </c>
    </row>
    <row r="2839" spans="1:8" x14ac:dyDescent="0.25">
      <c r="A2839">
        <v>16777378</v>
      </c>
      <c r="B2839">
        <v>0</v>
      </c>
      <c r="C2839">
        <v>0</v>
      </c>
      <c r="D2839">
        <v>0</v>
      </c>
      <c r="E2839">
        <v>0</v>
      </c>
      <c r="F2839">
        <v>2</v>
      </c>
      <c r="G2839">
        <v>21</v>
      </c>
      <c r="H2839">
        <v>0</v>
      </c>
    </row>
    <row r="2840" spans="1:8" x14ac:dyDescent="0.25">
      <c r="A2840">
        <v>16777379</v>
      </c>
      <c r="B2840">
        <v>8</v>
      </c>
      <c r="C2840">
        <v>0</v>
      </c>
      <c r="D2840">
        <v>0</v>
      </c>
      <c r="E2840">
        <v>1</v>
      </c>
      <c r="F2840">
        <v>23</v>
      </c>
      <c r="G2840">
        <v>47</v>
      </c>
      <c r="H2840">
        <v>0</v>
      </c>
    </row>
    <row r="2841" spans="1:8" x14ac:dyDescent="0.25">
      <c r="A2841">
        <v>16777380</v>
      </c>
      <c r="B2841">
        <v>25</v>
      </c>
      <c r="C2841">
        <v>0</v>
      </c>
      <c r="D2841">
        <v>1</v>
      </c>
      <c r="E2841">
        <v>7</v>
      </c>
      <c r="F2841">
        <v>37</v>
      </c>
      <c r="G2841">
        <v>144</v>
      </c>
      <c r="H2841">
        <v>71.959999999999994</v>
      </c>
    </row>
    <row r="2842" spans="1:8" x14ac:dyDescent="0.25">
      <c r="A2842">
        <v>16777381</v>
      </c>
      <c r="B2842">
        <v>5</v>
      </c>
      <c r="C2842">
        <v>0</v>
      </c>
      <c r="D2842">
        <v>0</v>
      </c>
      <c r="E2842">
        <v>0</v>
      </c>
      <c r="F2842">
        <v>0</v>
      </c>
      <c r="G2842">
        <v>12</v>
      </c>
      <c r="H2842">
        <v>0</v>
      </c>
    </row>
    <row r="2843" spans="1:8" x14ac:dyDescent="0.25">
      <c r="A2843">
        <v>16777382</v>
      </c>
      <c r="B2843">
        <v>1</v>
      </c>
      <c r="C2843">
        <v>0</v>
      </c>
      <c r="D2843">
        <v>0</v>
      </c>
      <c r="E2843">
        <v>0</v>
      </c>
      <c r="F2843">
        <v>0</v>
      </c>
      <c r="G2843">
        <v>5</v>
      </c>
      <c r="H2843">
        <v>0</v>
      </c>
    </row>
    <row r="2844" spans="1:8" x14ac:dyDescent="0.25">
      <c r="A2844">
        <v>16777383</v>
      </c>
      <c r="B2844">
        <v>410</v>
      </c>
      <c r="C2844">
        <v>120</v>
      </c>
      <c r="D2844">
        <v>4</v>
      </c>
      <c r="E2844">
        <v>30</v>
      </c>
      <c r="F2844">
        <v>146</v>
      </c>
      <c r="G2844">
        <v>513</v>
      </c>
      <c r="H2844">
        <v>14.99</v>
      </c>
    </row>
    <row r="2845" spans="1:8" x14ac:dyDescent="0.25">
      <c r="A2845">
        <v>16777384</v>
      </c>
      <c r="B2845">
        <v>32</v>
      </c>
      <c r="C2845">
        <v>88</v>
      </c>
      <c r="D2845">
        <v>7</v>
      </c>
      <c r="E2845">
        <v>41</v>
      </c>
      <c r="F2845">
        <v>162</v>
      </c>
      <c r="G2845">
        <v>392</v>
      </c>
      <c r="H2845">
        <v>17.517099999999999</v>
      </c>
    </row>
    <row r="2846" spans="1:8" x14ac:dyDescent="0.25">
      <c r="A2846">
        <v>16777699</v>
      </c>
      <c r="B2846">
        <v>81</v>
      </c>
      <c r="C2846">
        <v>0</v>
      </c>
      <c r="D2846">
        <v>5</v>
      </c>
      <c r="E2846">
        <v>17</v>
      </c>
      <c r="F2846">
        <v>78</v>
      </c>
      <c r="G2846">
        <v>282</v>
      </c>
      <c r="H2846">
        <v>19.838000000000001</v>
      </c>
    </row>
    <row r="2847" spans="1:8" x14ac:dyDescent="0.25">
      <c r="A2847">
        <v>16778057</v>
      </c>
      <c r="B2847">
        <v>595</v>
      </c>
      <c r="C2847">
        <v>252</v>
      </c>
      <c r="D2847">
        <v>66</v>
      </c>
      <c r="E2847">
        <v>242</v>
      </c>
      <c r="F2847">
        <v>739</v>
      </c>
      <c r="G2847">
        <v>1400</v>
      </c>
      <c r="H2847">
        <v>36.838900000000002</v>
      </c>
    </row>
    <row r="2848" spans="1:8" x14ac:dyDescent="0.25">
      <c r="A2848">
        <v>16778058</v>
      </c>
      <c r="B2848">
        <v>517</v>
      </c>
      <c r="C2848">
        <v>54</v>
      </c>
      <c r="D2848">
        <v>5</v>
      </c>
      <c r="E2848">
        <v>47</v>
      </c>
      <c r="F2848">
        <v>178</v>
      </c>
      <c r="G2848">
        <v>456</v>
      </c>
      <c r="H2848">
        <v>55.54</v>
      </c>
    </row>
    <row r="2849" spans="1:8" x14ac:dyDescent="0.25">
      <c r="A2849">
        <v>16778059</v>
      </c>
      <c r="B2849">
        <v>474</v>
      </c>
      <c r="C2849">
        <v>48</v>
      </c>
      <c r="D2849">
        <v>20</v>
      </c>
      <c r="E2849">
        <v>91</v>
      </c>
      <c r="F2849">
        <v>287</v>
      </c>
      <c r="G2849">
        <v>665</v>
      </c>
      <c r="H2849">
        <v>52.226999999999997</v>
      </c>
    </row>
    <row r="2850" spans="1:8" x14ac:dyDescent="0.25">
      <c r="A2850">
        <v>16778060</v>
      </c>
      <c r="B2850">
        <v>253</v>
      </c>
      <c r="C2850">
        <v>24</v>
      </c>
      <c r="D2850">
        <v>10</v>
      </c>
      <c r="E2850">
        <v>36</v>
      </c>
      <c r="F2850">
        <v>161</v>
      </c>
      <c r="G2850">
        <v>389</v>
      </c>
      <c r="H2850">
        <v>17.475999999999999</v>
      </c>
    </row>
    <row r="2851" spans="1:8" x14ac:dyDescent="0.25">
      <c r="A2851">
        <v>16778061</v>
      </c>
      <c r="B2851">
        <v>308</v>
      </c>
      <c r="C2851">
        <v>24</v>
      </c>
      <c r="D2851">
        <v>16</v>
      </c>
      <c r="E2851">
        <v>42</v>
      </c>
      <c r="F2851">
        <v>159</v>
      </c>
      <c r="G2851">
        <v>339</v>
      </c>
      <c r="H2851">
        <v>17.016200000000001</v>
      </c>
    </row>
    <row r="2852" spans="1:8" x14ac:dyDescent="0.25">
      <c r="A2852">
        <v>16782824</v>
      </c>
      <c r="B2852">
        <v>4</v>
      </c>
      <c r="C2852">
        <v>0</v>
      </c>
      <c r="D2852">
        <v>0</v>
      </c>
      <c r="E2852">
        <v>1</v>
      </c>
      <c r="F2852">
        <v>4</v>
      </c>
      <c r="G2852">
        <v>20</v>
      </c>
      <c r="H2852">
        <v>0</v>
      </c>
    </row>
    <row r="2853" spans="1:8" x14ac:dyDescent="0.25">
      <c r="A2853">
        <v>16782829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</row>
    <row r="2854" spans="1:8" x14ac:dyDescent="0.25">
      <c r="A2854">
        <v>16782830</v>
      </c>
      <c r="B2854">
        <v>2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</row>
    <row r="2855" spans="1:8" x14ac:dyDescent="0.25">
      <c r="A2855">
        <v>16782831</v>
      </c>
      <c r="B2855">
        <v>2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</row>
    <row r="2856" spans="1:8" x14ac:dyDescent="0.25">
      <c r="A2856">
        <v>16782833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</row>
    <row r="2857" spans="1:8" x14ac:dyDescent="0.25">
      <c r="A2857">
        <v>16782834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1</v>
      </c>
      <c r="H2857">
        <v>0</v>
      </c>
    </row>
    <row r="2858" spans="1:8" x14ac:dyDescent="0.25">
      <c r="A2858">
        <v>16782837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1</v>
      </c>
      <c r="H2858">
        <v>0</v>
      </c>
    </row>
    <row r="2859" spans="1:8" x14ac:dyDescent="0.25">
      <c r="A2859">
        <v>16782845</v>
      </c>
      <c r="B2859">
        <v>2</v>
      </c>
      <c r="C2859">
        <v>0</v>
      </c>
      <c r="D2859">
        <v>0</v>
      </c>
      <c r="E2859">
        <v>0</v>
      </c>
      <c r="F2859">
        <v>1</v>
      </c>
      <c r="G2859">
        <v>2</v>
      </c>
      <c r="H2859">
        <v>0</v>
      </c>
    </row>
    <row r="2860" spans="1:8" x14ac:dyDescent="0.25">
      <c r="A2860">
        <v>16782846</v>
      </c>
      <c r="B2860">
        <v>2</v>
      </c>
      <c r="C2860">
        <v>0</v>
      </c>
      <c r="D2860">
        <v>0</v>
      </c>
      <c r="E2860">
        <v>0</v>
      </c>
      <c r="F2860">
        <v>0</v>
      </c>
      <c r="G2860">
        <v>2</v>
      </c>
      <c r="H2860">
        <v>0</v>
      </c>
    </row>
    <row r="2861" spans="1:8" x14ac:dyDescent="0.25">
      <c r="A2861">
        <v>16782849</v>
      </c>
      <c r="B2861">
        <v>1</v>
      </c>
      <c r="C2861">
        <v>0</v>
      </c>
      <c r="D2861">
        <v>0</v>
      </c>
      <c r="E2861">
        <v>1</v>
      </c>
      <c r="F2861">
        <v>1</v>
      </c>
      <c r="G2861">
        <v>1</v>
      </c>
      <c r="H2861">
        <v>0</v>
      </c>
    </row>
    <row r="2862" spans="1:8" x14ac:dyDescent="0.25">
      <c r="A2862">
        <v>16782851</v>
      </c>
      <c r="B2862">
        <v>1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</row>
    <row r="2863" spans="1:8" x14ac:dyDescent="0.25">
      <c r="A2863">
        <v>16782861</v>
      </c>
      <c r="B2863">
        <v>8</v>
      </c>
      <c r="C2863">
        <v>0</v>
      </c>
      <c r="D2863">
        <v>0</v>
      </c>
      <c r="E2863">
        <v>1</v>
      </c>
      <c r="F2863">
        <v>1</v>
      </c>
      <c r="G2863">
        <v>67</v>
      </c>
      <c r="H2863">
        <v>0</v>
      </c>
    </row>
    <row r="2864" spans="1:8" x14ac:dyDescent="0.25">
      <c r="A2864">
        <v>16782862</v>
      </c>
      <c r="B2864">
        <v>3</v>
      </c>
      <c r="C2864">
        <v>0</v>
      </c>
      <c r="D2864">
        <v>0</v>
      </c>
      <c r="E2864">
        <v>0</v>
      </c>
      <c r="F2864">
        <v>0</v>
      </c>
      <c r="G2864">
        <v>55</v>
      </c>
      <c r="H2864">
        <v>0</v>
      </c>
    </row>
    <row r="2865" spans="1:8" x14ac:dyDescent="0.25">
      <c r="A2865">
        <v>16782863</v>
      </c>
      <c r="B2865">
        <v>4</v>
      </c>
      <c r="C2865">
        <v>0</v>
      </c>
      <c r="D2865">
        <v>0</v>
      </c>
      <c r="E2865">
        <v>0</v>
      </c>
      <c r="F2865">
        <v>0</v>
      </c>
      <c r="G2865">
        <v>21</v>
      </c>
      <c r="H2865">
        <v>0</v>
      </c>
    </row>
    <row r="2866" spans="1:8" x14ac:dyDescent="0.25">
      <c r="A2866">
        <v>16782864</v>
      </c>
      <c r="B2866">
        <v>2</v>
      </c>
      <c r="C2866">
        <v>0</v>
      </c>
      <c r="D2866">
        <v>0</v>
      </c>
      <c r="E2866">
        <v>0</v>
      </c>
      <c r="F2866">
        <v>1</v>
      </c>
      <c r="G2866">
        <v>30</v>
      </c>
      <c r="H2866">
        <v>0</v>
      </c>
    </row>
    <row r="2867" spans="1:8" x14ac:dyDescent="0.25">
      <c r="A2867">
        <v>16782865</v>
      </c>
      <c r="B2867">
        <v>4</v>
      </c>
      <c r="C2867">
        <v>0</v>
      </c>
      <c r="D2867">
        <v>0</v>
      </c>
      <c r="E2867">
        <v>0</v>
      </c>
      <c r="F2867">
        <v>1</v>
      </c>
      <c r="G2867">
        <v>50</v>
      </c>
      <c r="H2867">
        <v>0</v>
      </c>
    </row>
    <row r="2868" spans="1:8" x14ac:dyDescent="0.25">
      <c r="A2868">
        <v>16782866</v>
      </c>
      <c r="B2868">
        <v>7</v>
      </c>
      <c r="C2868">
        <v>0</v>
      </c>
      <c r="D2868">
        <v>0</v>
      </c>
      <c r="E2868">
        <v>0</v>
      </c>
      <c r="F2868">
        <v>0</v>
      </c>
      <c r="G2868">
        <v>16</v>
      </c>
      <c r="H2868">
        <v>0</v>
      </c>
    </row>
    <row r="2869" spans="1:8" x14ac:dyDescent="0.25">
      <c r="A2869">
        <v>16782867</v>
      </c>
      <c r="B2869">
        <v>2</v>
      </c>
      <c r="C2869">
        <v>0</v>
      </c>
      <c r="D2869">
        <v>0</v>
      </c>
      <c r="E2869">
        <v>0</v>
      </c>
      <c r="F2869">
        <v>1</v>
      </c>
      <c r="G2869">
        <v>25</v>
      </c>
      <c r="H2869">
        <v>0</v>
      </c>
    </row>
    <row r="2870" spans="1:8" x14ac:dyDescent="0.25">
      <c r="A2870">
        <v>16782868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10</v>
      </c>
      <c r="H2870">
        <v>0</v>
      </c>
    </row>
    <row r="2871" spans="1:8" x14ac:dyDescent="0.25">
      <c r="A2871">
        <v>16799118</v>
      </c>
      <c r="B2871">
        <v>694</v>
      </c>
      <c r="C2871">
        <v>40</v>
      </c>
      <c r="D2871">
        <v>30</v>
      </c>
      <c r="E2871">
        <v>86</v>
      </c>
      <c r="F2871">
        <v>260</v>
      </c>
      <c r="G2871">
        <v>576</v>
      </c>
      <c r="H2871">
        <v>29.4437</v>
      </c>
    </row>
    <row r="2872" spans="1:8" x14ac:dyDescent="0.25">
      <c r="A2872">
        <v>16799119</v>
      </c>
      <c r="B2872">
        <v>694</v>
      </c>
      <c r="C2872">
        <v>40</v>
      </c>
      <c r="D2872">
        <v>51</v>
      </c>
      <c r="E2872">
        <v>178</v>
      </c>
      <c r="F2872">
        <v>547</v>
      </c>
      <c r="G2872">
        <v>1395</v>
      </c>
      <c r="H2872">
        <v>9.9809999999999999</v>
      </c>
    </row>
    <row r="2873" spans="1:8" x14ac:dyDescent="0.25">
      <c r="A2873">
        <v>16799120</v>
      </c>
      <c r="B2873">
        <v>719</v>
      </c>
      <c r="C2873">
        <v>120</v>
      </c>
      <c r="D2873">
        <v>73</v>
      </c>
      <c r="E2873">
        <v>258</v>
      </c>
      <c r="F2873">
        <v>794</v>
      </c>
      <c r="G2873">
        <v>1545</v>
      </c>
      <c r="H2873">
        <v>14.541499999999999</v>
      </c>
    </row>
    <row r="2874" spans="1:8" x14ac:dyDescent="0.25">
      <c r="A2874">
        <v>16799121</v>
      </c>
      <c r="B2874">
        <v>348</v>
      </c>
      <c r="C2874">
        <v>0</v>
      </c>
      <c r="D2874">
        <v>16</v>
      </c>
      <c r="E2874">
        <v>54</v>
      </c>
      <c r="F2874">
        <v>184</v>
      </c>
      <c r="G2874">
        <v>430</v>
      </c>
      <c r="H2874">
        <v>19.699400000000001</v>
      </c>
    </row>
    <row r="2875" spans="1:8" x14ac:dyDescent="0.25">
      <c r="A2875">
        <v>16799122</v>
      </c>
      <c r="B2875">
        <v>749</v>
      </c>
      <c r="C2875">
        <v>80</v>
      </c>
      <c r="D2875">
        <v>23</v>
      </c>
      <c r="E2875">
        <v>102</v>
      </c>
      <c r="F2875">
        <v>408</v>
      </c>
      <c r="G2875">
        <v>905</v>
      </c>
      <c r="H2875">
        <v>9.5922000000000001</v>
      </c>
    </row>
    <row r="2876" spans="1:8" x14ac:dyDescent="0.25">
      <c r="A2876">
        <v>16799123</v>
      </c>
      <c r="B2876">
        <v>269</v>
      </c>
      <c r="C2876">
        <v>0</v>
      </c>
      <c r="D2876">
        <v>5</v>
      </c>
      <c r="E2876">
        <v>37</v>
      </c>
      <c r="F2876">
        <v>155</v>
      </c>
      <c r="G2876">
        <v>421</v>
      </c>
      <c r="H2876">
        <v>18.47</v>
      </c>
    </row>
    <row r="2877" spans="1:8" x14ac:dyDescent="0.25">
      <c r="A2877">
        <v>16799143</v>
      </c>
      <c r="B2877">
        <v>267</v>
      </c>
      <c r="C2877">
        <v>240</v>
      </c>
      <c r="D2877">
        <v>64</v>
      </c>
      <c r="E2877">
        <v>257</v>
      </c>
      <c r="F2877">
        <v>884</v>
      </c>
      <c r="G2877">
        <v>1742</v>
      </c>
      <c r="H2877">
        <v>9.8452000000000002</v>
      </c>
    </row>
    <row r="2878" spans="1:8" x14ac:dyDescent="0.25">
      <c r="A2878">
        <v>16799144</v>
      </c>
      <c r="B2878">
        <v>316</v>
      </c>
      <c r="C2878">
        <v>264</v>
      </c>
      <c r="D2878">
        <v>68</v>
      </c>
      <c r="E2878">
        <v>269</v>
      </c>
      <c r="F2878">
        <v>888</v>
      </c>
      <c r="G2878">
        <v>1875</v>
      </c>
      <c r="H2878">
        <v>12.062799999999999</v>
      </c>
    </row>
    <row r="2879" spans="1:8" x14ac:dyDescent="0.25">
      <c r="A2879">
        <v>16799145</v>
      </c>
      <c r="B2879">
        <v>14</v>
      </c>
      <c r="C2879">
        <v>0</v>
      </c>
      <c r="D2879">
        <v>0</v>
      </c>
      <c r="E2879">
        <v>5</v>
      </c>
      <c r="F2879">
        <v>19</v>
      </c>
      <c r="G2879">
        <v>63</v>
      </c>
      <c r="H2879">
        <v>0</v>
      </c>
    </row>
    <row r="2880" spans="1:8" x14ac:dyDescent="0.25">
      <c r="A2880">
        <v>16799146</v>
      </c>
      <c r="B2880">
        <v>155</v>
      </c>
      <c r="C2880">
        <v>180</v>
      </c>
      <c r="D2880">
        <v>28</v>
      </c>
      <c r="E2880">
        <v>154</v>
      </c>
      <c r="F2880">
        <v>545</v>
      </c>
      <c r="G2880">
        <v>1149</v>
      </c>
      <c r="H2880">
        <v>12.7568</v>
      </c>
    </row>
    <row r="2881" spans="1:8" x14ac:dyDescent="0.25">
      <c r="A2881">
        <v>16799147</v>
      </c>
      <c r="B2881">
        <v>225</v>
      </c>
      <c r="C2881">
        <v>48</v>
      </c>
      <c r="D2881">
        <v>26</v>
      </c>
      <c r="E2881">
        <v>104</v>
      </c>
      <c r="F2881">
        <v>360</v>
      </c>
      <c r="G2881">
        <v>795</v>
      </c>
      <c r="H2881">
        <v>14.599600000000001</v>
      </c>
    </row>
    <row r="2882" spans="1:8" x14ac:dyDescent="0.25">
      <c r="A2882">
        <v>16799148</v>
      </c>
      <c r="B2882">
        <v>141</v>
      </c>
      <c r="C2882">
        <v>204</v>
      </c>
      <c r="D2882">
        <v>18</v>
      </c>
      <c r="E2882">
        <v>143</v>
      </c>
      <c r="F2882">
        <v>647</v>
      </c>
      <c r="G2882">
        <v>1276</v>
      </c>
      <c r="H2882">
        <v>14.5822</v>
      </c>
    </row>
    <row r="2883" spans="1:8" x14ac:dyDescent="0.25">
      <c r="A2883">
        <v>16799149</v>
      </c>
      <c r="B2883">
        <v>228</v>
      </c>
      <c r="C2883">
        <v>180</v>
      </c>
      <c r="D2883">
        <v>45</v>
      </c>
      <c r="E2883">
        <v>208</v>
      </c>
      <c r="F2883">
        <v>729</v>
      </c>
      <c r="G2883">
        <v>1506</v>
      </c>
      <c r="H2883">
        <v>14.665100000000001</v>
      </c>
    </row>
    <row r="2884" spans="1:8" x14ac:dyDescent="0.25">
      <c r="A2884">
        <v>16799150</v>
      </c>
      <c r="B2884">
        <v>41</v>
      </c>
      <c r="C2884">
        <v>0</v>
      </c>
      <c r="D2884">
        <v>1</v>
      </c>
      <c r="E2884">
        <v>3</v>
      </c>
      <c r="F2884">
        <v>19</v>
      </c>
      <c r="G2884">
        <v>63</v>
      </c>
      <c r="H2884">
        <v>17.989999999999998</v>
      </c>
    </row>
    <row r="2885" spans="1:8" x14ac:dyDescent="0.25">
      <c r="A2885">
        <v>16799151</v>
      </c>
      <c r="B2885">
        <v>7</v>
      </c>
      <c r="C2885">
        <v>0</v>
      </c>
      <c r="D2885">
        <v>0</v>
      </c>
      <c r="E2885">
        <v>1</v>
      </c>
      <c r="F2885">
        <v>2</v>
      </c>
      <c r="G2885">
        <v>11</v>
      </c>
      <c r="H2885">
        <v>0</v>
      </c>
    </row>
    <row r="2886" spans="1:8" x14ac:dyDescent="0.25">
      <c r="A2886">
        <v>16799152</v>
      </c>
      <c r="B2886">
        <v>197</v>
      </c>
      <c r="C2886">
        <v>108</v>
      </c>
      <c r="D2886">
        <v>35</v>
      </c>
      <c r="E2886">
        <v>131</v>
      </c>
      <c r="F2886">
        <v>407</v>
      </c>
      <c r="G2886">
        <v>861</v>
      </c>
      <c r="H2886">
        <v>22.566600000000001</v>
      </c>
    </row>
    <row r="2887" spans="1:8" x14ac:dyDescent="0.25">
      <c r="A2887">
        <v>16799153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7</v>
      </c>
      <c r="H2887">
        <v>0</v>
      </c>
    </row>
    <row r="2888" spans="1:8" x14ac:dyDescent="0.25">
      <c r="A2888">
        <v>16799154</v>
      </c>
      <c r="B2888">
        <v>14</v>
      </c>
      <c r="C2888">
        <v>0</v>
      </c>
      <c r="D2888">
        <v>0</v>
      </c>
      <c r="E2888">
        <v>4</v>
      </c>
      <c r="F2888">
        <v>17</v>
      </c>
      <c r="G2888">
        <v>250</v>
      </c>
      <c r="H2888">
        <v>0</v>
      </c>
    </row>
    <row r="2889" spans="1:8" x14ac:dyDescent="0.25">
      <c r="A2889">
        <v>16799155</v>
      </c>
      <c r="B2889">
        <v>167</v>
      </c>
      <c r="C2889">
        <v>60</v>
      </c>
      <c r="D2889">
        <v>15</v>
      </c>
      <c r="E2889">
        <v>59</v>
      </c>
      <c r="F2889">
        <v>217</v>
      </c>
      <c r="G2889">
        <v>521</v>
      </c>
      <c r="H2889">
        <v>27.704699999999999</v>
      </c>
    </row>
    <row r="2890" spans="1:8" x14ac:dyDescent="0.25">
      <c r="A2890">
        <v>16799157</v>
      </c>
      <c r="B2890">
        <v>36</v>
      </c>
      <c r="C2890">
        <v>0</v>
      </c>
      <c r="D2890">
        <v>0</v>
      </c>
      <c r="E2890">
        <v>4</v>
      </c>
      <c r="F2890">
        <v>11</v>
      </c>
      <c r="G2890">
        <v>51</v>
      </c>
      <c r="H2890">
        <v>0</v>
      </c>
    </row>
    <row r="2891" spans="1:8" x14ac:dyDescent="0.25">
      <c r="A2891">
        <v>16799158</v>
      </c>
      <c r="B2891">
        <v>9</v>
      </c>
      <c r="C2891">
        <v>0</v>
      </c>
      <c r="D2891">
        <v>0</v>
      </c>
      <c r="E2891">
        <v>0</v>
      </c>
      <c r="F2891">
        <v>0</v>
      </c>
      <c r="G2891">
        <v>25</v>
      </c>
      <c r="H2891">
        <v>0</v>
      </c>
    </row>
    <row r="2892" spans="1:8" x14ac:dyDescent="0.25">
      <c r="A2892">
        <v>16799159</v>
      </c>
      <c r="B2892">
        <v>90</v>
      </c>
      <c r="C2892">
        <v>0</v>
      </c>
      <c r="D2892">
        <v>6</v>
      </c>
      <c r="E2892">
        <v>19</v>
      </c>
      <c r="F2892">
        <v>102</v>
      </c>
      <c r="G2892">
        <v>340</v>
      </c>
      <c r="H2892">
        <v>77.408299999999997</v>
      </c>
    </row>
    <row r="2893" spans="1:8" x14ac:dyDescent="0.25">
      <c r="A2893">
        <v>16799160</v>
      </c>
      <c r="B2893">
        <v>355</v>
      </c>
      <c r="C2893">
        <v>144</v>
      </c>
      <c r="D2893">
        <v>31</v>
      </c>
      <c r="E2893">
        <v>106</v>
      </c>
      <c r="F2893">
        <v>320</v>
      </c>
      <c r="G2893">
        <v>654</v>
      </c>
      <c r="H2893">
        <v>22.4803</v>
      </c>
    </row>
    <row r="2894" spans="1:8" x14ac:dyDescent="0.25">
      <c r="A2894">
        <v>16799161</v>
      </c>
      <c r="B2894">
        <v>83</v>
      </c>
      <c r="C2894">
        <v>0</v>
      </c>
      <c r="D2894">
        <v>2</v>
      </c>
      <c r="E2894">
        <v>13</v>
      </c>
      <c r="F2894">
        <v>45</v>
      </c>
      <c r="G2894">
        <v>116</v>
      </c>
      <c r="H2894">
        <v>99.99</v>
      </c>
    </row>
    <row r="2895" spans="1:8" x14ac:dyDescent="0.25">
      <c r="A2895">
        <v>16799162</v>
      </c>
      <c r="B2895">
        <v>173</v>
      </c>
      <c r="C2895">
        <v>60</v>
      </c>
      <c r="D2895">
        <v>23</v>
      </c>
      <c r="E2895">
        <v>85</v>
      </c>
      <c r="F2895">
        <v>262</v>
      </c>
      <c r="G2895">
        <v>560</v>
      </c>
      <c r="H2895">
        <v>27.584800000000001</v>
      </c>
    </row>
    <row r="2896" spans="1:8" x14ac:dyDescent="0.25">
      <c r="A2896">
        <v>16802965</v>
      </c>
      <c r="B2896">
        <v>330</v>
      </c>
      <c r="C2896">
        <v>45</v>
      </c>
      <c r="D2896">
        <v>41</v>
      </c>
      <c r="E2896">
        <v>132</v>
      </c>
      <c r="F2896">
        <v>399</v>
      </c>
      <c r="G2896">
        <v>1123</v>
      </c>
      <c r="H2896">
        <v>66.735399999999998</v>
      </c>
    </row>
    <row r="2897" spans="1:8" x14ac:dyDescent="0.25">
      <c r="A2897">
        <v>16802966</v>
      </c>
      <c r="B2897">
        <v>306</v>
      </c>
      <c r="C2897">
        <v>0</v>
      </c>
      <c r="D2897">
        <v>7</v>
      </c>
      <c r="E2897">
        <v>52</v>
      </c>
      <c r="F2897">
        <v>191</v>
      </c>
      <c r="G2897">
        <v>611</v>
      </c>
      <c r="H2897">
        <v>65.704300000000003</v>
      </c>
    </row>
    <row r="2898" spans="1:8" x14ac:dyDescent="0.25">
      <c r="A2898">
        <v>16802967</v>
      </c>
      <c r="B2898">
        <v>248</v>
      </c>
      <c r="C2898">
        <v>19</v>
      </c>
      <c r="D2898">
        <v>18</v>
      </c>
      <c r="E2898">
        <v>50</v>
      </c>
      <c r="F2898">
        <v>181</v>
      </c>
      <c r="G2898">
        <v>563</v>
      </c>
      <c r="H2898">
        <v>67.079400000000007</v>
      </c>
    </row>
    <row r="2899" spans="1:8" x14ac:dyDescent="0.25">
      <c r="A2899">
        <v>16803154</v>
      </c>
      <c r="B2899">
        <v>1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</row>
    <row r="2900" spans="1:8" x14ac:dyDescent="0.25">
      <c r="A2900">
        <v>16803155</v>
      </c>
      <c r="B2900">
        <v>1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</row>
    <row r="2901" spans="1:8" x14ac:dyDescent="0.25">
      <c r="A2901">
        <v>16803166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2</v>
      </c>
      <c r="H2901">
        <v>0</v>
      </c>
    </row>
    <row r="2902" spans="1:8" x14ac:dyDescent="0.25">
      <c r="A2902">
        <v>16803168</v>
      </c>
      <c r="B2902">
        <v>1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</row>
    <row r="2903" spans="1:8" x14ac:dyDescent="0.25">
      <c r="A2903">
        <v>16803170</v>
      </c>
      <c r="B2903">
        <v>0</v>
      </c>
      <c r="C2903">
        <v>0</v>
      </c>
      <c r="D2903">
        <v>0</v>
      </c>
      <c r="E2903">
        <v>0</v>
      </c>
      <c r="F2903">
        <v>1</v>
      </c>
      <c r="G2903">
        <v>1</v>
      </c>
      <c r="H2903">
        <v>0</v>
      </c>
    </row>
    <row r="2904" spans="1:8" x14ac:dyDescent="0.25">
      <c r="A2904">
        <v>16803172</v>
      </c>
      <c r="B2904">
        <v>1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</row>
    <row r="2905" spans="1:8" x14ac:dyDescent="0.25">
      <c r="A2905">
        <v>16803174</v>
      </c>
      <c r="B2905">
        <v>1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</row>
    <row r="2906" spans="1:8" x14ac:dyDescent="0.25">
      <c r="A2906">
        <v>16803175</v>
      </c>
      <c r="B2906">
        <v>1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</row>
    <row r="2907" spans="1:8" x14ac:dyDescent="0.25">
      <c r="A2907">
        <v>16803185</v>
      </c>
      <c r="B2907">
        <v>1</v>
      </c>
      <c r="C2907">
        <v>0</v>
      </c>
      <c r="D2907">
        <v>0</v>
      </c>
      <c r="E2907">
        <v>0</v>
      </c>
      <c r="F2907">
        <v>0</v>
      </c>
      <c r="G2907">
        <v>1</v>
      </c>
      <c r="H2907">
        <v>0</v>
      </c>
    </row>
    <row r="2908" spans="1:8" x14ac:dyDescent="0.25">
      <c r="A2908">
        <v>16803194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1</v>
      </c>
      <c r="H2908">
        <v>0</v>
      </c>
    </row>
    <row r="2909" spans="1:8" x14ac:dyDescent="0.25">
      <c r="A2909">
        <v>16803196</v>
      </c>
      <c r="B2909">
        <v>2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</row>
    <row r="2910" spans="1:8" x14ac:dyDescent="0.25">
      <c r="A2910">
        <v>16803212</v>
      </c>
      <c r="B2910">
        <v>-1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</row>
    <row r="2911" spans="1:8" x14ac:dyDescent="0.25">
      <c r="A2911">
        <v>16803323</v>
      </c>
      <c r="B2911">
        <v>7</v>
      </c>
      <c r="C2911">
        <v>0</v>
      </c>
      <c r="D2911">
        <v>0</v>
      </c>
      <c r="E2911">
        <v>1</v>
      </c>
      <c r="F2911">
        <v>5</v>
      </c>
      <c r="G2911">
        <v>13</v>
      </c>
      <c r="H2911">
        <v>0</v>
      </c>
    </row>
    <row r="2912" spans="1:8" x14ac:dyDescent="0.25">
      <c r="A2912">
        <v>16803324</v>
      </c>
      <c r="B2912">
        <v>13</v>
      </c>
      <c r="C2912">
        <v>0</v>
      </c>
      <c r="D2912">
        <v>2</v>
      </c>
      <c r="E2912">
        <v>2</v>
      </c>
      <c r="F2912">
        <v>7</v>
      </c>
      <c r="G2912">
        <v>37</v>
      </c>
      <c r="H2912">
        <v>38.76</v>
      </c>
    </row>
    <row r="2913" spans="1:8" x14ac:dyDescent="0.25">
      <c r="A2913">
        <v>16803325</v>
      </c>
      <c r="B2913">
        <v>32</v>
      </c>
      <c r="C2913">
        <v>0</v>
      </c>
      <c r="D2913">
        <v>0</v>
      </c>
      <c r="E2913">
        <v>2</v>
      </c>
      <c r="F2913">
        <v>9</v>
      </c>
      <c r="G2913">
        <v>34</v>
      </c>
      <c r="H2913">
        <v>0</v>
      </c>
    </row>
    <row r="2914" spans="1:8" x14ac:dyDescent="0.25">
      <c r="A2914">
        <v>16803326</v>
      </c>
      <c r="B2914">
        <v>14</v>
      </c>
      <c r="C2914">
        <v>0</v>
      </c>
      <c r="D2914">
        <v>0</v>
      </c>
      <c r="E2914">
        <v>1</v>
      </c>
      <c r="F2914">
        <v>3</v>
      </c>
      <c r="G2914">
        <v>27</v>
      </c>
      <c r="H2914">
        <v>0</v>
      </c>
    </row>
    <row r="2915" spans="1:8" x14ac:dyDescent="0.25">
      <c r="A2915">
        <v>16803327</v>
      </c>
      <c r="B2915">
        <v>12</v>
      </c>
      <c r="C2915">
        <v>0</v>
      </c>
      <c r="D2915">
        <v>0</v>
      </c>
      <c r="E2915">
        <v>2</v>
      </c>
      <c r="F2915">
        <v>3</v>
      </c>
      <c r="G2915">
        <v>9</v>
      </c>
      <c r="H2915">
        <v>0</v>
      </c>
    </row>
    <row r="2916" spans="1:8" x14ac:dyDescent="0.25">
      <c r="A2916">
        <v>16803328</v>
      </c>
      <c r="B2916">
        <v>24</v>
      </c>
      <c r="C2916">
        <v>0</v>
      </c>
      <c r="D2916">
        <v>0</v>
      </c>
      <c r="E2916">
        <v>0</v>
      </c>
      <c r="F2916">
        <v>4</v>
      </c>
      <c r="G2916">
        <v>14</v>
      </c>
      <c r="H2916">
        <v>0</v>
      </c>
    </row>
    <row r="2917" spans="1:8" x14ac:dyDescent="0.25">
      <c r="A2917">
        <v>16803329</v>
      </c>
      <c r="B2917">
        <v>18</v>
      </c>
      <c r="C2917">
        <v>0</v>
      </c>
      <c r="D2917">
        <v>1</v>
      </c>
      <c r="E2917">
        <v>3</v>
      </c>
      <c r="F2917">
        <v>6</v>
      </c>
      <c r="G2917">
        <v>14</v>
      </c>
      <c r="H2917">
        <v>37.229999999999997</v>
      </c>
    </row>
    <row r="2918" spans="1:8" x14ac:dyDescent="0.25">
      <c r="A2918">
        <v>16803330</v>
      </c>
      <c r="B2918">
        <v>30</v>
      </c>
      <c r="C2918">
        <v>0</v>
      </c>
      <c r="D2918">
        <v>0</v>
      </c>
      <c r="E2918">
        <v>1</v>
      </c>
      <c r="F2918">
        <v>3</v>
      </c>
      <c r="G2918">
        <v>17</v>
      </c>
      <c r="H2918">
        <v>0</v>
      </c>
    </row>
    <row r="2919" spans="1:8" x14ac:dyDescent="0.25">
      <c r="A2919">
        <v>16807550</v>
      </c>
      <c r="B2919">
        <v>974</v>
      </c>
      <c r="C2919">
        <v>0</v>
      </c>
      <c r="D2919">
        <v>31</v>
      </c>
      <c r="E2919">
        <v>167</v>
      </c>
      <c r="F2919">
        <v>759</v>
      </c>
      <c r="G2919">
        <v>2129</v>
      </c>
      <c r="H2919">
        <v>47.890599999999999</v>
      </c>
    </row>
    <row r="2920" spans="1:8" x14ac:dyDescent="0.25">
      <c r="A2920">
        <v>16807551</v>
      </c>
      <c r="B2920">
        <v>16</v>
      </c>
      <c r="C2920">
        <v>0</v>
      </c>
      <c r="D2920">
        <v>3</v>
      </c>
      <c r="E2920">
        <v>6</v>
      </c>
      <c r="F2920">
        <v>6</v>
      </c>
      <c r="G2920">
        <v>16</v>
      </c>
      <c r="H2920">
        <v>38.99</v>
      </c>
    </row>
    <row r="2921" spans="1:8" x14ac:dyDescent="0.25">
      <c r="A2921">
        <v>16807552</v>
      </c>
      <c r="B2921">
        <v>865</v>
      </c>
      <c r="C2921">
        <v>60</v>
      </c>
      <c r="D2921">
        <v>56</v>
      </c>
      <c r="E2921">
        <v>251</v>
      </c>
      <c r="F2921">
        <v>792</v>
      </c>
      <c r="G2921">
        <v>1653</v>
      </c>
      <c r="H2921">
        <v>60.8352</v>
      </c>
    </row>
    <row r="2922" spans="1:8" x14ac:dyDescent="0.25">
      <c r="A2922">
        <v>16807553</v>
      </c>
      <c r="B2922">
        <v>567</v>
      </c>
      <c r="C2922">
        <v>18</v>
      </c>
      <c r="D2922">
        <v>29</v>
      </c>
      <c r="E2922">
        <v>114</v>
      </c>
      <c r="F2922">
        <v>373</v>
      </c>
      <c r="G2922">
        <v>785</v>
      </c>
      <c r="H2922">
        <v>59.232799999999997</v>
      </c>
    </row>
    <row r="2923" spans="1:8" x14ac:dyDescent="0.25">
      <c r="A2923">
        <v>16807554</v>
      </c>
      <c r="B2923">
        <v>1</v>
      </c>
      <c r="C2923">
        <v>0</v>
      </c>
      <c r="D2923">
        <v>6</v>
      </c>
      <c r="E2923">
        <v>8</v>
      </c>
      <c r="F2923">
        <v>15</v>
      </c>
      <c r="G2923">
        <v>26</v>
      </c>
      <c r="H2923">
        <v>59.99</v>
      </c>
    </row>
    <row r="2924" spans="1:8" x14ac:dyDescent="0.25">
      <c r="A2924">
        <v>16807555</v>
      </c>
      <c r="B2924">
        <v>403</v>
      </c>
      <c r="C2924">
        <v>0</v>
      </c>
      <c r="D2924">
        <v>14</v>
      </c>
      <c r="E2924">
        <v>49</v>
      </c>
      <c r="F2924">
        <v>161</v>
      </c>
      <c r="G2924">
        <v>402</v>
      </c>
      <c r="H2924">
        <v>292.25569999999999</v>
      </c>
    </row>
    <row r="2925" spans="1:8" x14ac:dyDescent="0.25">
      <c r="A2925">
        <v>16818726</v>
      </c>
      <c r="B2925">
        <v>335</v>
      </c>
      <c r="C2925">
        <v>70</v>
      </c>
      <c r="D2925">
        <v>23</v>
      </c>
      <c r="E2925">
        <v>82</v>
      </c>
      <c r="F2925">
        <v>275</v>
      </c>
      <c r="G2925">
        <v>603</v>
      </c>
      <c r="H2925">
        <v>26.525700000000001</v>
      </c>
    </row>
    <row r="2926" spans="1:8" x14ac:dyDescent="0.25">
      <c r="A2926">
        <v>16818727</v>
      </c>
      <c r="B2926">
        <v>228</v>
      </c>
      <c r="C2926">
        <v>52</v>
      </c>
      <c r="D2926">
        <v>17</v>
      </c>
      <c r="E2926">
        <v>55</v>
      </c>
      <c r="F2926">
        <v>157</v>
      </c>
      <c r="G2926">
        <v>366</v>
      </c>
      <c r="H2926">
        <v>28.872900000000001</v>
      </c>
    </row>
    <row r="2927" spans="1:8" x14ac:dyDescent="0.25">
      <c r="A2927">
        <v>16818728</v>
      </c>
      <c r="B2927">
        <v>245</v>
      </c>
      <c r="C2927">
        <v>0</v>
      </c>
      <c r="D2927">
        <v>13</v>
      </c>
      <c r="E2927">
        <v>47</v>
      </c>
      <c r="F2927">
        <v>152</v>
      </c>
      <c r="G2927">
        <v>361</v>
      </c>
      <c r="H2927">
        <v>54.605400000000003</v>
      </c>
    </row>
    <row r="2928" spans="1:8" x14ac:dyDescent="0.25">
      <c r="A2928">
        <v>16818729</v>
      </c>
      <c r="B2928">
        <v>250</v>
      </c>
      <c r="C2928">
        <v>26</v>
      </c>
      <c r="D2928">
        <v>11</v>
      </c>
      <c r="E2928">
        <v>46</v>
      </c>
      <c r="F2928">
        <v>144</v>
      </c>
      <c r="G2928">
        <v>289</v>
      </c>
      <c r="H2928">
        <v>59.1036</v>
      </c>
    </row>
    <row r="2929" spans="1:8" x14ac:dyDescent="0.25">
      <c r="A2929">
        <v>16818730</v>
      </c>
      <c r="B2929">
        <v>204</v>
      </c>
      <c r="C2929">
        <v>72</v>
      </c>
      <c r="D2929">
        <v>11</v>
      </c>
      <c r="E2929">
        <v>53</v>
      </c>
      <c r="F2929">
        <v>139</v>
      </c>
      <c r="G2929">
        <v>274</v>
      </c>
      <c r="H2929">
        <v>81.585499999999996</v>
      </c>
    </row>
    <row r="2930" spans="1:8" x14ac:dyDescent="0.25">
      <c r="A2930">
        <v>16818731</v>
      </c>
      <c r="B2930">
        <v>216</v>
      </c>
      <c r="C2930">
        <v>20</v>
      </c>
      <c r="D2930">
        <v>4</v>
      </c>
      <c r="E2930">
        <v>25</v>
      </c>
      <c r="F2930">
        <v>73</v>
      </c>
      <c r="G2930">
        <v>196</v>
      </c>
      <c r="H2930">
        <v>119.19750000000001</v>
      </c>
    </row>
    <row r="2931" spans="1:8" x14ac:dyDescent="0.25">
      <c r="A2931">
        <v>16818732</v>
      </c>
      <c r="B2931">
        <v>426</v>
      </c>
      <c r="C2931">
        <v>14</v>
      </c>
      <c r="D2931">
        <v>14</v>
      </c>
      <c r="E2931">
        <v>74</v>
      </c>
      <c r="F2931">
        <v>293</v>
      </c>
      <c r="G2931">
        <v>674</v>
      </c>
      <c r="H2931">
        <v>21.347899999999999</v>
      </c>
    </row>
    <row r="2932" spans="1:8" x14ac:dyDescent="0.25">
      <c r="A2932">
        <v>16818733</v>
      </c>
      <c r="B2932">
        <v>373</v>
      </c>
      <c r="C2932">
        <v>60</v>
      </c>
      <c r="D2932">
        <v>11</v>
      </c>
      <c r="E2932">
        <v>69</v>
      </c>
      <c r="F2932">
        <v>248</v>
      </c>
      <c r="G2932">
        <v>628</v>
      </c>
      <c r="H2932">
        <v>21.856400000000001</v>
      </c>
    </row>
    <row r="2933" spans="1:8" x14ac:dyDescent="0.25">
      <c r="A2933">
        <v>16832938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1</v>
      </c>
      <c r="H2933">
        <v>0</v>
      </c>
    </row>
    <row r="2934" spans="1:8" x14ac:dyDescent="0.25">
      <c r="A2934">
        <v>16833395</v>
      </c>
      <c r="B2934">
        <v>256</v>
      </c>
      <c r="C2934">
        <v>0</v>
      </c>
      <c r="D2934">
        <v>2</v>
      </c>
      <c r="E2934">
        <v>10</v>
      </c>
      <c r="F2934">
        <v>47</v>
      </c>
      <c r="G2934">
        <v>133</v>
      </c>
      <c r="H2934">
        <v>19.53</v>
      </c>
    </row>
    <row r="2935" spans="1:8" x14ac:dyDescent="0.25">
      <c r="A2935">
        <v>16833396</v>
      </c>
      <c r="B2935">
        <v>127</v>
      </c>
      <c r="C2935">
        <v>0</v>
      </c>
      <c r="D2935">
        <v>1</v>
      </c>
      <c r="E2935">
        <v>3</v>
      </c>
      <c r="F2935">
        <v>9</v>
      </c>
      <c r="G2935">
        <v>39</v>
      </c>
      <c r="H2935">
        <v>19.97</v>
      </c>
    </row>
    <row r="2936" spans="1:8" x14ac:dyDescent="0.25">
      <c r="A2936">
        <v>16833397</v>
      </c>
      <c r="B2936">
        <v>1</v>
      </c>
      <c r="C2936">
        <v>0</v>
      </c>
      <c r="D2936">
        <v>0</v>
      </c>
      <c r="E2936">
        <v>0</v>
      </c>
      <c r="F2936">
        <v>1</v>
      </c>
      <c r="G2936">
        <v>4</v>
      </c>
      <c r="H2936">
        <v>0</v>
      </c>
    </row>
    <row r="2937" spans="1:8" x14ac:dyDescent="0.25">
      <c r="A2937">
        <v>16833398</v>
      </c>
      <c r="B2937">
        <v>0</v>
      </c>
      <c r="C2937">
        <v>0</v>
      </c>
      <c r="D2937">
        <v>0</v>
      </c>
      <c r="E2937">
        <v>0</v>
      </c>
      <c r="F2937">
        <v>6</v>
      </c>
      <c r="G2937">
        <v>17</v>
      </c>
      <c r="H2937">
        <v>0</v>
      </c>
    </row>
    <row r="2938" spans="1:8" x14ac:dyDescent="0.25">
      <c r="A2938">
        <v>16847375</v>
      </c>
      <c r="B2938">
        <v>-3</v>
      </c>
      <c r="C2938">
        <v>0</v>
      </c>
      <c r="D2938">
        <v>0</v>
      </c>
      <c r="E2938">
        <v>0</v>
      </c>
      <c r="F2938">
        <v>6</v>
      </c>
      <c r="G2938">
        <v>18</v>
      </c>
      <c r="H2938">
        <v>0</v>
      </c>
    </row>
    <row r="2939" spans="1:8" x14ac:dyDescent="0.25">
      <c r="A2939">
        <v>16847376</v>
      </c>
      <c r="B2939">
        <v>-2</v>
      </c>
      <c r="C2939">
        <v>0</v>
      </c>
      <c r="D2939">
        <v>0</v>
      </c>
      <c r="E2939">
        <v>0</v>
      </c>
      <c r="F2939">
        <v>0</v>
      </c>
      <c r="G2939">
        <v>6</v>
      </c>
      <c r="H2939">
        <v>0</v>
      </c>
    </row>
    <row r="2940" spans="1:8" x14ac:dyDescent="0.25">
      <c r="A2940">
        <v>16847377</v>
      </c>
      <c r="B2940">
        <v>49</v>
      </c>
      <c r="C2940">
        <v>0</v>
      </c>
      <c r="D2940">
        <v>15</v>
      </c>
      <c r="E2940">
        <v>55</v>
      </c>
      <c r="F2940">
        <v>408</v>
      </c>
      <c r="G2940">
        <v>1006</v>
      </c>
      <c r="H2940">
        <v>5.3993000000000002</v>
      </c>
    </row>
    <row r="2941" spans="1:8" x14ac:dyDescent="0.25">
      <c r="A2941">
        <v>16847378</v>
      </c>
      <c r="B2941">
        <v>-4</v>
      </c>
      <c r="C2941">
        <v>0</v>
      </c>
      <c r="D2941">
        <v>0</v>
      </c>
      <c r="E2941">
        <v>0</v>
      </c>
      <c r="F2941">
        <v>9</v>
      </c>
      <c r="G2941">
        <v>9</v>
      </c>
      <c r="H2941">
        <v>0</v>
      </c>
    </row>
    <row r="2942" spans="1:8" x14ac:dyDescent="0.25">
      <c r="A2942">
        <v>16847379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3</v>
      </c>
      <c r="H2942">
        <v>0</v>
      </c>
    </row>
    <row r="2943" spans="1:8" x14ac:dyDescent="0.25">
      <c r="A2943">
        <v>16847381</v>
      </c>
      <c r="B2943">
        <v>69</v>
      </c>
      <c r="C2943">
        <v>0</v>
      </c>
      <c r="D2943">
        <v>3</v>
      </c>
      <c r="E2943">
        <v>61</v>
      </c>
      <c r="F2943">
        <v>299</v>
      </c>
      <c r="G2943">
        <v>660</v>
      </c>
      <c r="H2943">
        <v>2.6633</v>
      </c>
    </row>
    <row r="2944" spans="1:8" x14ac:dyDescent="0.25">
      <c r="A2944">
        <v>16847382</v>
      </c>
      <c r="B2944">
        <v>0</v>
      </c>
      <c r="C2944">
        <v>0</v>
      </c>
      <c r="D2944">
        <v>0</v>
      </c>
      <c r="E2944">
        <v>2</v>
      </c>
      <c r="F2944">
        <v>29</v>
      </c>
      <c r="G2944">
        <v>35</v>
      </c>
      <c r="H2944">
        <v>0</v>
      </c>
    </row>
    <row r="2945" spans="1:8" x14ac:dyDescent="0.25">
      <c r="A2945">
        <v>16857579</v>
      </c>
      <c r="B2945">
        <v>26</v>
      </c>
      <c r="C2945">
        <v>0</v>
      </c>
      <c r="D2945">
        <v>0</v>
      </c>
      <c r="E2945">
        <v>2</v>
      </c>
      <c r="F2945">
        <v>8</v>
      </c>
      <c r="G2945">
        <v>26</v>
      </c>
      <c r="H2945">
        <v>0</v>
      </c>
    </row>
    <row r="2946" spans="1:8" x14ac:dyDescent="0.25">
      <c r="A2946">
        <v>16857580</v>
      </c>
      <c r="B2946">
        <v>24</v>
      </c>
      <c r="C2946">
        <v>0</v>
      </c>
      <c r="D2946">
        <v>0</v>
      </c>
      <c r="E2946">
        <v>0</v>
      </c>
      <c r="F2946">
        <v>5</v>
      </c>
      <c r="G2946">
        <v>26</v>
      </c>
      <c r="H2946">
        <v>0</v>
      </c>
    </row>
    <row r="2947" spans="1:8" x14ac:dyDescent="0.25">
      <c r="A2947">
        <v>16857581</v>
      </c>
      <c r="B2947">
        <v>10</v>
      </c>
      <c r="C2947">
        <v>0</v>
      </c>
      <c r="D2947">
        <v>0</v>
      </c>
      <c r="E2947">
        <v>0</v>
      </c>
      <c r="F2947">
        <v>3</v>
      </c>
      <c r="G2947">
        <v>7</v>
      </c>
      <c r="H2947">
        <v>0</v>
      </c>
    </row>
    <row r="2948" spans="1:8" x14ac:dyDescent="0.25">
      <c r="A2948">
        <v>16857596</v>
      </c>
      <c r="B2948">
        <v>-1</v>
      </c>
      <c r="C2948">
        <v>0</v>
      </c>
      <c r="D2948">
        <v>0</v>
      </c>
      <c r="E2948">
        <v>0</v>
      </c>
      <c r="F2948">
        <v>1</v>
      </c>
      <c r="G2948">
        <v>1</v>
      </c>
      <c r="H2948">
        <v>0</v>
      </c>
    </row>
    <row r="2949" spans="1:8" x14ac:dyDescent="0.25">
      <c r="A2949">
        <v>16857599</v>
      </c>
      <c r="B2949">
        <v>1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</row>
    <row r="2950" spans="1:8" x14ac:dyDescent="0.25">
      <c r="A2950">
        <v>16857601</v>
      </c>
      <c r="B2950">
        <v>1</v>
      </c>
      <c r="C2950">
        <v>0</v>
      </c>
      <c r="D2950">
        <v>0</v>
      </c>
      <c r="E2950">
        <v>0</v>
      </c>
      <c r="F2950">
        <v>2</v>
      </c>
      <c r="G2950">
        <v>3</v>
      </c>
      <c r="H2950">
        <v>0</v>
      </c>
    </row>
    <row r="2951" spans="1:8" x14ac:dyDescent="0.25">
      <c r="A2951">
        <v>16857602</v>
      </c>
      <c r="B2951">
        <v>1</v>
      </c>
      <c r="C2951">
        <v>0</v>
      </c>
      <c r="D2951">
        <v>0</v>
      </c>
      <c r="E2951">
        <v>0</v>
      </c>
      <c r="F2951">
        <v>1</v>
      </c>
      <c r="G2951">
        <v>2</v>
      </c>
      <c r="H2951">
        <v>0</v>
      </c>
    </row>
    <row r="2952" spans="1:8" x14ac:dyDescent="0.25">
      <c r="A2952">
        <v>16857604</v>
      </c>
      <c r="B2952">
        <v>3</v>
      </c>
      <c r="C2952">
        <v>0</v>
      </c>
      <c r="D2952">
        <v>0</v>
      </c>
      <c r="E2952">
        <v>1</v>
      </c>
      <c r="F2952">
        <v>2</v>
      </c>
      <c r="G2952">
        <v>3</v>
      </c>
      <c r="H2952">
        <v>0</v>
      </c>
    </row>
    <row r="2953" spans="1:8" x14ac:dyDescent="0.25">
      <c r="A2953">
        <v>16857605</v>
      </c>
      <c r="B2953">
        <v>0</v>
      </c>
      <c r="C2953">
        <v>0</v>
      </c>
      <c r="D2953">
        <v>0</v>
      </c>
      <c r="E2953">
        <v>0</v>
      </c>
      <c r="F2953">
        <v>6</v>
      </c>
      <c r="G2953">
        <v>7</v>
      </c>
      <c r="H2953">
        <v>0</v>
      </c>
    </row>
    <row r="2954" spans="1:8" x14ac:dyDescent="0.25">
      <c r="A2954">
        <v>16857606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4</v>
      </c>
      <c r="H2954">
        <v>0</v>
      </c>
    </row>
    <row r="2955" spans="1:8" x14ac:dyDescent="0.25">
      <c r="A2955">
        <v>16857607</v>
      </c>
      <c r="B2955">
        <v>2</v>
      </c>
      <c r="C2955">
        <v>0</v>
      </c>
      <c r="D2955">
        <v>0</v>
      </c>
      <c r="E2955">
        <v>0</v>
      </c>
      <c r="F2955">
        <v>3</v>
      </c>
      <c r="G2955">
        <v>10</v>
      </c>
      <c r="H2955">
        <v>0</v>
      </c>
    </row>
    <row r="2956" spans="1:8" x14ac:dyDescent="0.25">
      <c r="A2956">
        <v>16857608</v>
      </c>
      <c r="B2956">
        <v>0</v>
      </c>
      <c r="C2956">
        <v>0</v>
      </c>
      <c r="D2956">
        <v>0</v>
      </c>
      <c r="E2956">
        <v>0</v>
      </c>
      <c r="F2956">
        <v>5</v>
      </c>
      <c r="G2956">
        <v>6</v>
      </c>
      <c r="H2956">
        <v>0</v>
      </c>
    </row>
    <row r="2957" spans="1:8" x14ac:dyDescent="0.25">
      <c r="A2957">
        <v>16857611</v>
      </c>
      <c r="B2957">
        <v>29</v>
      </c>
      <c r="C2957">
        <v>0</v>
      </c>
      <c r="D2957">
        <v>1</v>
      </c>
      <c r="E2957">
        <v>6</v>
      </c>
      <c r="F2957">
        <v>37</v>
      </c>
      <c r="G2957">
        <v>96</v>
      </c>
      <c r="H2957">
        <v>1599.99</v>
      </c>
    </row>
    <row r="2958" spans="1:8" x14ac:dyDescent="0.25">
      <c r="A2958">
        <v>16857613</v>
      </c>
      <c r="B2958">
        <v>-1</v>
      </c>
      <c r="C2958">
        <v>0</v>
      </c>
      <c r="D2958">
        <v>0</v>
      </c>
      <c r="E2958">
        <v>1</v>
      </c>
      <c r="F2958">
        <v>7</v>
      </c>
      <c r="G2958">
        <v>16</v>
      </c>
      <c r="H2958">
        <v>0</v>
      </c>
    </row>
    <row r="2959" spans="1:8" x14ac:dyDescent="0.25">
      <c r="A2959">
        <v>16857614</v>
      </c>
      <c r="B2959">
        <v>45</v>
      </c>
      <c r="C2959">
        <v>0</v>
      </c>
      <c r="D2959">
        <v>2</v>
      </c>
      <c r="E2959">
        <v>15</v>
      </c>
      <c r="F2959">
        <v>37</v>
      </c>
      <c r="G2959">
        <v>67</v>
      </c>
      <c r="H2959">
        <v>1248.4849999999999</v>
      </c>
    </row>
    <row r="2960" spans="1:8" x14ac:dyDescent="0.25">
      <c r="A2960">
        <v>16857616</v>
      </c>
      <c r="B2960">
        <v>1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</row>
    <row r="2961" spans="1:8" x14ac:dyDescent="0.25">
      <c r="A2961">
        <v>16857617</v>
      </c>
      <c r="B2961">
        <v>23</v>
      </c>
      <c r="C2961">
        <v>0</v>
      </c>
      <c r="D2961">
        <v>0</v>
      </c>
      <c r="E2961">
        <v>1</v>
      </c>
      <c r="F2961">
        <v>15</v>
      </c>
      <c r="G2961">
        <v>67</v>
      </c>
      <c r="H2961">
        <v>0</v>
      </c>
    </row>
    <row r="2962" spans="1:8" x14ac:dyDescent="0.25">
      <c r="A2962">
        <v>16857620</v>
      </c>
      <c r="B2962">
        <v>0</v>
      </c>
      <c r="C2962">
        <v>0</v>
      </c>
      <c r="D2962">
        <v>0</v>
      </c>
      <c r="E2962">
        <v>1</v>
      </c>
      <c r="F2962">
        <v>1</v>
      </c>
      <c r="G2962">
        <v>2</v>
      </c>
      <c r="H2962">
        <v>0</v>
      </c>
    </row>
    <row r="2963" spans="1:8" x14ac:dyDescent="0.25">
      <c r="A2963">
        <v>16857622</v>
      </c>
      <c r="B2963">
        <v>1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</row>
    <row r="2964" spans="1:8" x14ac:dyDescent="0.25">
      <c r="A2964">
        <v>16857623</v>
      </c>
      <c r="B2964">
        <v>1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</row>
    <row r="2965" spans="1:8" x14ac:dyDescent="0.25">
      <c r="A2965">
        <v>16857624</v>
      </c>
      <c r="B2965">
        <v>0</v>
      </c>
      <c r="C2965">
        <v>0</v>
      </c>
      <c r="D2965">
        <v>0</v>
      </c>
      <c r="E2965">
        <v>1</v>
      </c>
      <c r="F2965">
        <v>6</v>
      </c>
      <c r="G2965">
        <v>9</v>
      </c>
      <c r="H2965">
        <v>0</v>
      </c>
    </row>
    <row r="2966" spans="1:8" x14ac:dyDescent="0.25">
      <c r="A2966">
        <v>16857625</v>
      </c>
      <c r="B2966">
        <v>-2</v>
      </c>
      <c r="C2966">
        <v>0</v>
      </c>
      <c r="D2966">
        <v>1</v>
      </c>
      <c r="E2966">
        <v>1</v>
      </c>
      <c r="F2966">
        <v>5</v>
      </c>
      <c r="G2966">
        <v>12</v>
      </c>
      <c r="H2966">
        <v>1524.98</v>
      </c>
    </row>
    <row r="2967" spans="1:8" x14ac:dyDescent="0.25">
      <c r="A2967">
        <v>16857627</v>
      </c>
      <c r="B2967">
        <v>10</v>
      </c>
      <c r="C2967">
        <v>0</v>
      </c>
      <c r="D2967">
        <v>0</v>
      </c>
      <c r="E2967">
        <v>-1</v>
      </c>
      <c r="F2967">
        <v>4</v>
      </c>
      <c r="G2967">
        <v>17</v>
      </c>
      <c r="H2967">
        <v>0</v>
      </c>
    </row>
    <row r="2968" spans="1:8" x14ac:dyDescent="0.25">
      <c r="A2968">
        <v>16857932</v>
      </c>
      <c r="B2968">
        <v>6</v>
      </c>
      <c r="C2968">
        <v>0</v>
      </c>
      <c r="D2968">
        <v>0</v>
      </c>
      <c r="E2968">
        <v>0</v>
      </c>
      <c r="F2968">
        <v>0</v>
      </c>
      <c r="G2968">
        <v>2</v>
      </c>
      <c r="H2968">
        <v>0</v>
      </c>
    </row>
    <row r="2969" spans="1:8" x14ac:dyDescent="0.25">
      <c r="A2969">
        <v>16857934</v>
      </c>
      <c r="B2969">
        <v>0</v>
      </c>
      <c r="C2969">
        <v>0</v>
      </c>
      <c r="D2969">
        <v>0</v>
      </c>
      <c r="E2969">
        <v>0</v>
      </c>
      <c r="F2969">
        <v>2</v>
      </c>
      <c r="G2969">
        <v>4</v>
      </c>
      <c r="H2969">
        <v>0</v>
      </c>
    </row>
    <row r="2970" spans="1:8" x14ac:dyDescent="0.25">
      <c r="A2970">
        <v>16857936</v>
      </c>
      <c r="B2970">
        <v>25</v>
      </c>
      <c r="C2970">
        <v>0</v>
      </c>
      <c r="D2970">
        <v>1</v>
      </c>
      <c r="E2970">
        <v>1</v>
      </c>
      <c r="F2970">
        <v>6</v>
      </c>
      <c r="G2970">
        <v>24</v>
      </c>
      <c r="H2970">
        <v>84.99</v>
      </c>
    </row>
    <row r="2971" spans="1:8" x14ac:dyDescent="0.25">
      <c r="A2971">
        <v>16857938</v>
      </c>
      <c r="B2971">
        <v>399</v>
      </c>
      <c r="C2971">
        <v>102</v>
      </c>
      <c r="D2971">
        <v>51</v>
      </c>
      <c r="E2971">
        <v>198</v>
      </c>
      <c r="F2971">
        <v>637</v>
      </c>
      <c r="G2971">
        <v>1204</v>
      </c>
      <c r="H2971">
        <v>23.932200000000002</v>
      </c>
    </row>
    <row r="2972" spans="1:8" x14ac:dyDescent="0.25">
      <c r="A2972">
        <v>16858568</v>
      </c>
      <c r="B2972">
        <v>5</v>
      </c>
      <c r="C2972">
        <v>0</v>
      </c>
      <c r="D2972">
        <v>0</v>
      </c>
      <c r="E2972">
        <v>0</v>
      </c>
      <c r="F2972">
        <v>1</v>
      </c>
      <c r="G2972">
        <v>6</v>
      </c>
      <c r="H2972">
        <v>0</v>
      </c>
    </row>
    <row r="2973" spans="1:8" x14ac:dyDescent="0.25">
      <c r="A2973">
        <v>16858569</v>
      </c>
      <c r="B2973">
        <v>29</v>
      </c>
      <c r="C2973">
        <v>0</v>
      </c>
      <c r="D2973">
        <v>0</v>
      </c>
      <c r="E2973">
        <v>2</v>
      </c>
      <c r="F2973">
        <v>5</v>
      </c>
      <c r="G2973">
        <v>17</v>
      </c>
      <c r="H2973">
        <v>0</v>
      </c>
    </row>
    <row r="2974" spans="1:8" x14ac:dyDescent="0.25">
      <c r="A2974">
        <v>16858688</v>
      </c>
      <c r="B2974">
        <v>10</v>
      </c>
      <c r="C2974">
        <v>0</v>
      </c>
      <c r="D2974">
        <v>0</v>
      </c>
      <c r="E2974">
        <v>1</v>
      </c>
      <c r="F2974">
        <v>3</v>
      </c>
      <c r="G2974">
        <v>11</v>
      </c>
      <c r="H2974">
        <v>0</v>
      </c>
    </row>
    <row r="2975" spans="1:8" x14ac:dyDescent="0.25">
      <c r="A2975">
        <v>16862504</v>
      </c>
      <c r="B2975">
        <v>3</v>
      </c>
      <c r="C2975">
        <v>0</v>
      </c>
      <c r="D2975">
        <v>0</v>
      </c>
      <c r="E2975">
        <v>1</v>
      </c>
      <c r="F2975">
        <v>6</v>
      </c>
      <c r="G2975">
        <v>14</v>
      </c>
      <c r="H2975">
        <v>0</v>
      </c>
    </row>
    <row r="2976" spans="1:8" x14ac:dyDescent="0.25">
      <c r="A2976">
        <v>16862506</v>
      </c>
      <c r="B2976">
        <v>13</v>
      </c>
      <c r="C2976">
        <v>0</v>
      </c>
      <c r="D2976">
        <v>0</v>
      </c>
      <c r="E2976">
        <v>0</v>
      </c>
      <c r="F2976">
        <v>3</v>
      </c>
      <c r="G2976">
        <v>16</v>
      </c>
      <c r="H2976">
        <v>0</v>
      </c>
    </row>
    <row r="2977" spans="1:8" x14ac:dyDescent="0.25">
      <c r="A2977">
        <v>16862507</v>
      </c>
      <c r="B2977">
        <v>3</v>
      </c>
      <c r="C2977">
        <v>0</v>
      </c>
      <c r="D2977">
        <v>0</v>
      </c>
      <c r="E2977">
        <v>2</v>
      </c>
      <c r="F2977">
        <v>9</v>
      </c>
      <c r="G2977">
        <v>43</v>
      </c>
      <c r="H2977">
        <v>0</v>
      </c>
    </row>
    <row r="2978" spans="1:8" x14ac:dyDescent="0.25">
      <c r="A2978">
        <v>16862509</v>
      </c>
      <c r="B2978">
        <v>7</v>
      </c>
      <c r="C2978">
        <v>0</v>
      </c>
      <c r="D2978">
        <v>0</v>
      </c>
      <c r="E2978">
        <v>0</v>
      </c>
      <c r="F2978">
        <v>1</v>
      </c>
      <c r="G2978">
        <v>26</v>
      </c>
      <c r="H2978">
        <v>0</v>
      </c>
    </row>
    <row r="2979" spans="1:8" x14ac:dyDescent="0.25">
      <c r="A2979">
        <v>17027671</v>
      </c>
      <c r="B2979">
        <v>240</v>
      </c>
      <c r="C2979">
        <v>46</v>
      </c>
      <c r="D2979">
        <v>16</v>
      </c>
      <c r="E2979">
        <v>69</v>
      </c>
      <c r="F2979">
        <v>212</v>
      </c>
      <c r="G2979">
        <v>551</v>
      </c>
      <c r="H2979">
        <v>48.277500000000003</v>
      </c>
    </row>
    <row r="2980" spans="1:8" x14ac:dyDescent="0.25">
      <c r="A2980">
        <v>17033077</v>
      </c>
      <c r="B2980">
        <v>337</v>
      </c>
      <c r="C2980">
        <v>120</v>
      </c>
      <c r="D2980">
        <v>18</v>
      </c>
      <c r="E2980">
        <v>72</v>
      </c>
      <c r="F2980">
        <v>250</v>
      </c>
      <c r="G2980">
        <v>570</v>
      </c>
      <c r="H2980">
        <v>23.3994</v>
      </c>
    </row>
    <row r="2981" spans="1:8" x14ac:dyDescent="0.25">
      <c r="A2981">
        <v>17078268</v>
      </c>
      <c r="B2981">
        <v>14</v>
      </c>
      <c r="C2981">
        <v>0</v>
      </c>
      <c r="D2981">
        <v>1</v>
      </c>
      <c r="E2981">
        <v>1</v>
      </c>
      <c r="F2981">
        <v>1</v>
      </c>
      <c r="G2981">
        <v>7</v>
      </c>
      <c r="H2981">
        <v>343.04</v>
      </c>
    </row>
    <row r="2982" spans="1:8" x14ac:dyDescent="0.25">
      <c r="A2982">
        <v>17078269</v>
      </c>
      <c r="B2982">
        <v>5</v>
      </c>
      <c r="C2982">
        <v>0</v>
      </c>
      <c r="D2982">
        <v>2</v>
      </c>
      <c r="E2982">
        <v>3</v>
      </c>
      <c r="F2982">
        <v>3</v>
      </c>
      <c r="G2982">
        <v>11</v>
      </c>
      <c r="H2982">
        <v>403.61500000000001</v>
      </c>
    </row>
    <row r="2983" spans="1:8" x14ac:dyDescent="0.25">
      <c r="A2983">
        <v>17078270</v>
      </c>
      <c r="B2983">
        <v>15</v>
      </c>
      <c r="C2983">
        <v>0</v>
      </c>
      <c r="D2983">
        <v>0</v>
      </c>
      <c r="E2983">
        <v>2</v>
      </c>
      <c r="F2983">
        <v>3</v>
      </c>
      <c r="G2983">
        <v>11</v>
      </c>
      <c r="H2983">
        <v>0</v>
      </c>
    </row>
    <row r="2984" spans="1:8" x14ac:dyDescent="0.25">
      <c r="A2984">
        <v>17078687</v>
      </c>
      <c r="B2984">
        <v>53</v>
      </c>
      <c r="C2984">
        <v>12</v>
      </c>
      <c r="D2984">
        <v>6</v>
      </c>
      <c r="E2984">
        <v>10</v>
      </c>
      <c r="F2984">
        <v>40</v>
      </c>
      <c r="G2984">
        <v>100</v>
      </c>
      <c r="H2984">
        <v>179.99</v>
      </c>
    </row>
    <row r="2985" spans="1:8" x14ac:dyDescent="0.25">
      <c r="A2985">
        <v>17087864</v>
      </c>
      <c r="B2985">
        <v>1</v>
      </c>
      <c r="C2985">
        <v>0</v>
      </c>
      <c r="D2985">
        <v>0</v>
      </c>
      <c r="E2985">
        <v>0</v>
      </c>
      <c r="F2985">
        <v>3</v>
      </c>
      <c r="G2985">
        <v>5</v>
      </c>
      <c r="H2985">
        <v>0</v>
      </c>
    </row>
    <row r="2986" spans="1:8" x14ac:dyDescent="0.25">
      <c r="A2986">
        <v>17087865</v>
      </c>
      <c r="B2986">
        <v>30</v>
      </c>
      <c r="C2986">
        <v>0</v>
      </c>
      <c r="D2986">
        <v>0</v>
      </c>
      <c r="E2986">
        <v>-1</v>
      </c>
      <c r="F2986">
        <v>12</v>
      </c>
      <c r="G2986">
        <v>63</v>
      </c>
      <c r="H2986">
        <v>0</v>
      </c>
    </row>
    <row r="2987" spans="1:8" x14ac:dyDescent="0.25">
      <c r="A2987">
        <v>17090028</v>
      </c>
      <c r="B2987">
        <v>46</v>
      </c>
      <c r="C2987">
        <v>6</v>
      </c>
      <c r="D2987">
        <v>1</v>
      </c>
      <c r="E2987">
        <v>3</v>
      </c>
      <c r="F2987">
        <v>14</v>
      </c>
      <c r="G2987">
        <v>36</v>
      </c>
      <c r="H2987">
        <v>14.99</v>
      </c>
    </row>
    <row r="2988" spans="1:8" x14ac:dyDescent="0.25">
      <c r="A2988">
        <v>17090029</v>
      </c>
      <c r="B2988">
        <v>42</v>
      </c>
      <c r="C2988">
        <v>6</v>
      </c>
      <c r="D2988">
        <v>0</v>
      </c>
      <c r="E2988">
        <v>6</v>
      </c>
      <c r="F2988">
        <v>27</v>
      </c>
      <c r="G2988">
        <v>61</v>
      </c>
      <c r="H2988">
        <v>0</v>
      </c>
    </row>
    <row r="2989" spans="1:8" x14ac:dyDescent="0.25">
      <c r="A2989">
        <v>17090030</v>
      </c>
      <c r="B2989">
        <v>52</v>
      </c>
      <c r="C2989">
        <v>29</v>
      </c>
      <c r="D2989">
        <v>6</v>
      </c>
      <c r="E2989">
        <v>17</v>
      </c>
      <c r="F2989">
        <v>65</v>
      </c>
      <c r="G2989">
        <v>128</v>
      </c>
      <c r="H2989">
        <v>27.966699999999999</v>
      </c>
    </row>
    <row r="2990" spans="1:8" x14ac:dyDescent="0.25">
      <c r="A2990">
        <v>17124625</v>
      </c>
      <c r="B2990">
        <v>4</v>
      </c>
      <c r="C2990">
        <v>0</v>
      </c>
      <c r="D2990">
        <v>0</v>
      </c>
      <c r="E2990">
        <v>1</v>
      </c>
      <c r="F2990">
        <v>1</v>
      </c>
      <c r="G2990">
        <v>2</v>
      </c>
      <c r="H2990">
        <v>0</v>
      </c>
    </row>
    <row r="2991" spans="1:8" x14ac:dyDescent="0.25">
      <c r="A2991">
        <v>17124627</v>
      </c>
      <c r="B2991">
        <v>23</v>
      </c>
      <c r="C2991">
        <v>0</v>
      </c>
      <c r="D2991">
        <v>1</v>
      </c>
      <c r="E2991">
        <v>2</v>
      </c>
      <c r="F2991">
        <v>6</v>
      </c>
      <c r="G2991">
        <v>11</v>
      </c>
      <c r="H2991">
        <v>1799.99</v>
      </c>
    </row>
    <row r="2992" spans="1:8" x14ac:dyDescent="0.25">
      <c r="A2992">
        <v>17138357</v>
      </c>
      <c r="B2992">
        <v>13</v>
      </c>
      <c r="C2992">
        <v>16</v>
      </c>
      <c r="D2992">
        <v>3</v>
      </c>
      <c r="E2992">
        <v>7</v>
      </c>
      <c r="F2992">
        <v>41</v>
      </c>
      <c r="G2992">
        <v>94</v>
      </c>
      <c r="H2992">
        <v>179.99</v>
      </c>
    </row>
    <row r="2993" spans="1:8" x14ac:dyDescent="0.25">
      <c r="A2993">
        <v>17138358</v>
      </c>
      <c r="B2993">
        <v>0</v>
      </c>
      <c r="C2993">
        <v>0</v>
      </c>
      <c r="D2993">
        <v>0</v>
      </c>
      <c r="E2993">
        <v>0</v>
      </c>
      <c r="F2993">
        <v>1</v>
      </c>
      <c r="G2993">
        <v>1</v>
      </c>
      <c r="H2993">
        <v>0</v>
      </c>
    </row>
    <row r="2994" spans="1:8" x14ac:dyDescent="0.25">
      <c r="A2994">
        <v>17138362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1</v>
      </c>
      <c r="H2994">
        <v>0</v>
      </c>
    </row>
    <row r="2995" spans="1:8" x14ac:dyDescent="0.25">
      <c r="A2995">
        <v>17138363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1</v>
      </c>
      <c r="H2995">
        <v>0</v>
      </c>
    </row>
    <row r="2996" spans="1:8" x14ac:dyDescent="0.25">
      <c r="A2996">
        <v>17138450</v>
      </c>
      <c r="B2996">
        <v>1</v>
      </c>
      <c r="C2996">
        <v>0</v>
      </c>
      <c r="D2996">
        <v>0</v>
      </c>
      <c r="E2996">
        <v>0</v>
      </c>
      <c r="F2996">
        <v>0</v>
      </c>
      <c r="G2996">
        <v>9</v>
      </c>
      <c r="H2996">
        <v>0</v>
      </c>
    </row>
    <row r="2997" spans="1:8" x14ac:dyDescent="0.25">
      <c r="A2997">
        <v>17138489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</row>
    <row r="2998" spans="1:8" x14ac:dyDescent="0.25">
      <c r="A2998">
        <v>17138490</v>
      </c>
      <c r="B2998">
        <v>198</v>
      </c>
      <c r="C2998">
        <v>0</v>
      </c>
      <c r="D2998">
        <v>2</v>
      </c>
      <c r="E2998">
        <v>10</v>
      </c>
      <c r="F2998">
        <v>52</v>
      </c>
      <c r="G2998">
        <v>453</v>
      </c>
      <c r="H2998">
        <v>40.5</v>
      </c>
    </row>
    <row r="2999" spans="1:8" x14ac:dyDescent="0.25">
      <c r="A2999">
        <v>17143818</v>
      </c>
      <c r="B2999">
        <v>1</v>
      </c>
      <c r="C2999">
        <v>0</v>
      </c>
      <c r="D2999">
        <v>0</v>
      </c>
      <c r="E2999">
        <v>1</v>
      </c>
      <c r="F2999">
        <v>13</v>
      </c>
      <c r="G2999">
        <v>84</v>
      </c>
      <c r="H2999">
        <v>0</v>
      </c>
    </row>
    <row r="3000" spans="1:8" x14ac:dyDescent="0.25">
      <c r="A3000">
        <v>17148195</v>
      </c>
      <c r="B3000">
        <v>11</v>
      </c>
      <c r="C3000">
        <v>0</v>
      </c>
      <c r="D3000">
        <v>0</v>
      </c>
      <c r="E3000">
        <v>0</v>
      </c>
      <c r="F3000">
        <v>8</v>
      </c>
      <c r="G3000">
        <v>16</v>
      </c>
      <c r="H3000">
        <v>0</v>
      </c>
    </row>
    <row r="3001" spans="1:8" x14ac:dyDescent="0.25">
      <c r="A3001">
        <v>17155471</v>
      </c>
      <c r="B3001">
        <v>1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</row>
    <row r="3002" spans="1:8" x14ac:dyDescent="0.25">
      <c r="A3002">
        <v>17155492</v>
      </c>
      <c r="B3002">
        <v>31</v>
      </c>
      <c r="C3002">
        <v>0</v>
      </c>
      <c r="D3002">
        <v>0</v>
      </c>
      <c r="E3002">
        <v>1</v>
      </c>
      <c r="F3002">
        <v>5</v>
      </c>
      <c r="G3002">
        <v>10</v>
      </c>
      <c r="H3002">
        <v>0</v>
      </c>
    </row>
    <row r="3003" spans="1:8" x14ac:dyDescent="0.25">
      <c r="A3003">
        <v>17173942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1</v>
      </c>
      <c r="H3003">
        <v>0</v>
      </c>
    </row>
    <row r="3004" spans="1:8" x14ac:dyDescent="0.25">
      <c r="A3004">
        <v>17174689</v>
      </c>
      <c r="B3004">
        <v>329</v>
      </c>
      <c r="C3004">
        <v>0</v>
      </c>
      <c r="D3004">
        <v>7</v>
      </c>
      <c r="E3004">
        <v>16</v>
      </c>
      <c r="F3004">
        <v>38</v>
      </c>
      <c r="G3004">
        <v>92</v>
      </c>
      <c r="H3004">
        <v>94.99</v>
      </c>
    </row>
    <row r="3005" spans="1:8" x14ac:dyDescent="0.25">
      <c r="A3005">
        <v>17174690</v>
      </c>
      <c r="B3005">
        <v>619</v>
      </c>
      <c r="C3005">
        <v>0</v>
      </c>
      <c r="D3005">
        <v>59</v>
      </c>
      <c r="E3005">
        <v>180</v>
      </c>
      <c r="F3005">
        <v>538</v>
      </c>
      <c r="G3005">
        <v>1146</v>
      </c>
      <c r="H3005">
        <v>32.741900000000001</v>
      </c>
    </row>
    <row r="3006" spans="1:8" x14ac:dyDescent="0.25">
      <c r="A3006">
        <v>17174691</v>
      </c>
      <c r="B3006">
        <v>9</v>
      </c>
      <c r="C3006">
        <v>0</v>
      </c>
      <c r="D3006">
        <v>0</v>
      </c>
      <c r="E3006">
        <v>1</v>
      </c>
      <c r="F3006">
        <v>25</v>
      </c>
      <c r="G3006">
        <v>66</v>
      </c>
      <c r="H3006">
        <v>0</v>
      </c>
    </row>
    <row r="3007" spans="1:8" x14ac:dyDescent="0.25">
      <c r="A3007">
        <v>17174692</v>
      </c>
      <c r="B3007">
        <v>422</v>
      </c>
      <c r="C3007">
        <v>0</v>
      </c>
      <c r="D3007">
        <v>18</v>
      </c>
      <c r="E3007">
        <v>111</v>
      </c>
      <c r="F3007">
        <v>351</v>
      </c>
      <c r="G3007">
        <v>665</v>
      </c>
      <c r="H3007">
        <v>58.1</v>
      </c>
    </row>
    <row r="3008" spans="1:8" x14ac:dyDescent="0.25">
      <c r="A3008">
        <v>17174693</v>
      </c>
      <c r="B3008">
        <v>440</v>
      </c>
      <c r="C3008">
        <v>24</v>
      </c>
      <c r="D3008">
        <v>18</v>
      </c>
      <c r="E3008">
        <v>132</v>
      </c>
      <c r="F3008">
        <v>360</v>
      </c>
      <c r="G3008">
        <v>658</v>
      </c>
      <c r="H3008">
        <v>96.853300000000004</v>
      </c>
    </row>
    <row r="3009" spans="1:8" x14ac:dyDescent="0.25">
      <c r="A3009">
        <v>17174694</v>
      </c>
      <c r="B3009">
        <v>242</v>
      </c>
      <c r="C3009">
        <v>184</v>
      </c>
      <c r="D3009">
        <v>14</v>
      </c>
      <c r="E3009">
        <v>63</v>
      </c>
      <c r="F3009">
        <v>216</v>
      </c>
      <c r="G3009">
        <v>416</v>
      </c>
      <c r="H3009">
        <v>85.883600000000001</v>
      </c>
    </row>
    <row r="3010" spans="1:8" x14ac:dyDescent="0.25">
      <c r="A3010">
        <v>17175645</v>
      </c>
      <c r="B3010">
        <v>-1</v>
      </c>
      <c r="C3010">
        <v>0</v>
      </c>
      <c r="D3010">
        <v>0</v>
      </c>
      <c r="E3010">
        <v>0</v>
      </c>
      <c r="F3010">
        <v>3</v>
      </c>
      <c r="G3010">
        <v>10</v>
      </c>
      <c r="H3010">
        <v>0</v>
      </c>
    </row>
    <row r="3011" spans="1:8" x14ac:dyDescent="0.25">
      <c r="A3011">
        <v>17175646</v>
      </c>
      <c r="B3011">
        <v>0</v>
      </c>
      <c r="C3011">
        <v>0</v>
      </c>
      <c r="D3011">
        <v>0</v>
      </c>
      <c r="E3011">
        <v>1</v>
      </c>
      <c r="F3011">
        <v>1</v>
      </c>
      <c r="G3011">
        <v>1</v>
      </c>
      <c r="H3011">
        <v>0</v>
      </c>
    </row>
    <row r="3012" spans="1:8" x14ac:dyDescent="0.25">
      <c r="A3012">
        <v>17175686</v>
      </c>
      <c r="B3012">
        <v>-1</v>
      </c>
      <c r="C3012">
        <v>0</v>
      </c>
      <c r="D3012">
        <v>1</v>
      </c>
      <c r="E3012">
        <v>1</v>
      </c>
      <c r="F3012">
        <v>1</v>
      </c>
      <c r="G3012">
        <v>10</v>
      </c>
      <c r="H3012">
        <v>190.73</v>
      </c>
    </row>
    <row r="3013" spans="1:8" x14ac:dyDescent="0.25">
      <c r="A3013">
        <v>17175687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7</v>
      </c>
      <c r="H3013">
        <v>0</v>
      </c>
    </row>
    <row r="3014" spans="1:8" x14ac:dyDescent="0.25">
      <c r="A3014">
        <v>17177662</v>
      </c>
      <c r="B3014">
        <v>63</v>
      </c>
      <c r="C3014">
        <v>8</v>
      </c>
      <c r="D3014">
        <v>4</v>
      </c>
      <c r="E3014">
        <v>29</v>
      </c>
      <c r="F3014">
        <v>89</v>
      </c>
      <c r="G3014">
        <v>158</v>
      </c>
      <c r="H3014">
        <v>123.9975</v>
      </c>
    </row>
    <row r="3015" spans="1:8" x14ac:dyDescent="0.25">
      <c r="A3015">
        <v>17177663</v>
      </c>
      <c r="B3015">
        <v>122</v>
      </c>
      <c r="C3015">
        <v>20</v>
      </c>
      <c r="D3015">
        <v>11</v>
      </c>
      <c r="E3015">
        <v>37</v>
      </c>
      <c r="F3015">
        <v>115</v>
      </c>
      <c r="G3015">
        <v>242</v>
      </c>
      <c r="H3015">
        <v>75.196399999999997</v>
      </c>
    </row>
    <row r="3016" spans="1:8" x14ac:dyDescent="0.25">
      <c r="A3016">
        <v>17177664</v>
      </c>
      <c r="B3016">
        <v>170</v>
      </c>
      <c r="C3016">
        <v>30</v>
      </c>
      <c r="D3016">
        <v>8</v>
      </c>
      <c r="E3016">
        <v>24</v>
      </c>
      <c r="F3016">
        <v>73</v>
      </c>
      <c r="G3016">
        <v>166</v>
      </c>
      <c r="H3016">
        <v>53.813699999999997</v>
      </c>
    </row>
    <row r="3017" spans="1:8" x14ac:dyDescent="0.25">
      <c r="A3017">
        <v>17177665</v>
      </c>
      <c r="B3017">
        <v>35</v>
      </c>
      <c r="C3017">
        <v>0</v>
      </c>
      <c r="D3017">
        <v>13</v>
      </c>
      <c r="E3017">
        <v>34</v>
      </c>
      <c r="F3017">
        <v>136</v>
      </c>
      <c r="G3017">
        <v>352</v>
      </c>
      <c r="H3017">
        <v>17.586200000000002</v>
      </c>
    </row>
    <row r="3018" spans="1:8" x14ac:dyDescent="0.25">
      <c r="A3018">
        <v>17177666</v>
      </c>
      <c r="B3018">
        <v>8</v>
      </c>
      <c r="C3018">
        <v>0</v>
      </c>
      <c r="D3018">
        <v>0</v>
      </c>
      <c r="E3018">
        <v>1</v>
      </c>
      <c r="F3018">
        <v>13</v>
      </c>
      <c r="G3018">
        <v>26</v>
      </c>
      <c r="H3018">
        <v>0</v>
      </c>
    </row>
    <row r="3019" spans="1:8" x14ac:dyDescent="0.25">
      <c r="A3019">
        <v>17177667</v>
      </c>
      <c r="B3019">
        <v>8</v>
      </c>
      <c r="C3019">
        <v>0</v>
      </c>
      <c r="D3019">
        <v>0</v>
      </c>
      <c r="E3019">
        <v>3</v>
      </c>
      <c r="F3019">
        <v>9</v>
      </c>
      <c r="G3019">
        <v>30</v>
      </c>
      <c r="H3019">
        <v>0</v>
      </c>
    </row>
    <row r="3020" spans="1:8" x14ac:dyDescent="0.25">
      <c r="A3020">
        <v>17177668</v>
      </c>
      <c r="B3020">
        <v>3</v>
      </c>
      <c r="C3020">
        <v>0</v>
      </c>
      <c r="D3020">
        <v>2</v>
      </c>
      <c r="E3020">
        <v>2</v>
      </c>
      <c r="F3020">
        <v>10</v>
      </c>
      <c r="G3020">
        <v>60</v>
      </c>
      <c r="H3020">
        <v>35.97</v>
      </c>
    </row>
    <row r="3021" spans="1:8" x14ac:dyDescent="0.25">
      <c r="A3021">
        <v>17177669</v>
      </c>
      <c r="B3021">
        <v>13</v>
      </c>
      <c r="C3021">
        <v>0</v>
      </c>
      <c r="D3021">
        <v>0</v>
      </c>
      <c r="E3021">
        <v>4</v>
      </c>
      <c r="F3021">
        <v>13</v>
      </c>
      <c r="G3021">
        <v>44</v>
      </c>
      <c r="H3021">
        <v>0</v>
      </c>
    </row>
    <row r="3022" spans="1:8" x14ac:dyDescent="0.25">
      <c r="A3022">
        <v>17177670</v>
      </c>
      <c r="B3022">
        <v>29</v>
      </c>
      <c r="C3022">
        <v>5</v>
      </c>
      <c r="D3022">
        <v>12</v>
      </c>
      <c r="E3022">
        <v>32</v>
      </c>
      <c r="F3022">
        <v>98</v>
      </c>
      <c r="G3022">
        <v>230</v>
      </c>
      <c r="H3022">
        <v>46.528300000000002</v>
      </c>
    </row>
    <row r="3023" spans="1:8" x14ac:dyDescent="0.25">
      <c r="A3023">
        <v>17177671</v>
      </c>
      <c r="B3023">
        <v>41</v>
      </c>
      <c r="C3023">
        <v>10</v>
      </c>
      <c r="D3023">
        <v>4</v>
      </c>
      <c r="E3023">
        <v>19</v>
      </c>
      <c r="F3023">
        <v>62</v>
      </c>
      <c r="G3023">
        <v>118</v>
      </c>
      <c r="H3023">
        <v>67.989999999999995</v>
      </c>
    </row>
    <row r="3024" spans="1:8" x14ac:dyDescent="0.25">
      <c r="A3024">
        <v>17177672</v>
      </c>
      <c r="B3024">
        <v>7</v>
      </c>
      <c r="C3024">
        <v>0</v>
      </c>
      <c r="D3024">
        <v>1</v>
      </c>
      <c r="E3024">
        <v>3</v>
      </c>
      <c r="F3024">
        <v>25</v>
      </c>
      <c r="G3024">
        <v>48</v>
      </c>
      <c r="H3024">
        <v>35.97</v>
      </c>
    </row>
    <row r="3025" spans="1:8" x14ac:dyDescent="0.25">
      <c r="A3025">
        <v>17177673</v>
      </c>
      <c r="B3025">
        <v>16</v>
      </c>
      <c r="C3025">
        <v>0</v>
      </c>
      <c r="D3025">
        <v>0</v>
      </c>
      <c r="E3025">
        <v>0</v>
      </c>
      <c r="F3025">
        <v>0</v>
      </c>
      <c r="G3025">
        <v>1</v>
      </c>
      <c r="H3025">
        <v>0</v>
      </c>
    </row>
    <row r="3026" spans="1:8" x14ac:dyDescent="0.25">
      <c r="A3026">
        <v>17177674</v>
      </c>
      <c r="B3026">
        <v>17</v>
      </c>
      <c r="C3026">
        <v>0</v>
      </c>
      <c r="D3026">
        <v>1</v>
      </c>
      <c r="E3026">
        <v>1</v>
      </c>
      <c r="F3026">
        <v>1</v>
      </c>
      <c r="G3026">
        <v>1</v>
      </c>
      <c r="H3026">
        <v>49.99</v>
      </c>
    </row>
    <row r="3027" spans="1:8" x14ac:dyDescent="0.25">
      <c r="A3027">
        <v>17177677</v>
      </c>
      <c r="B3027">
        <v>87</v>
      </c>
      <c r="C3027">
        <v>0</v>
      </c>
      <c r="D3027">
        <v>12</v>
      </c>
      <c r="E3027">
        <v>51</v>
      </c>
      <c r="F3027">
        <v>145</v>
      </c>
      <c r="G3027">
        <v>297</v>
      </c>
      <c r="H3027">
        <v>37.672499999999999</v>
      </c>
    </row>
    <row r="3028" spans="1:8" x14ac:dyDescent="0.25">
      <c r="A3028">
        <v>17177678</v>
      </c>
      <c r="B3028">
        <v>13</v>
      </c>
      <c r="C3028">
        <v>0</v>
      </c>
      <c r="D3028">
        <v>0</v>
      </c>
      <c r="E3028">
        <v>1</v>
      </c>
      <c r="F3028">
        <v>2</v>
      </c>
      <c r="G3028">
        <v>5</v>
      </c>
      <c r="H3028">
        <v>0</v>
      </c>
    </row>
    <row r="3029" spans="1:8" x14ac:dyDescent="0.25">
      <c r="A3029">
        <v>17183699</v>
      </c>
      <c r="B3029">
        <v>-1</v>
      </c>
      <c r="C3029">
        <v>0</v>
      </c>
      <c r="D3029">
        <v>0</v>
      </c>
      <c r="E3029">
        <v>0</v>
      </c>
      <c r="F3029">
        <v>0</v>
      </c>
      <c r="G3029">
        <v>3</v>
      </c>
      <c r="H3029">
        <v>0</v>
      </c>
    </row>
    <row r="3030" spans="1:8" x14ac:dyDescent="0.25">
      <c r="A3030">
        <v>17183700</v>
      </c>
      <c r="B3030">
        <v>1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</row>
    <row r="3031" spans="1:8" x14ac:dyDescent="0.25">
      <c r="A3031">
        <v>17183701</v>
      </c>
      <c r="B3031">
        <v>2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</row>
    <row r="3032" spans="1:8" x14ac:dyDescent="0.25">
      <c r="A3032">
        <v>17184649</v>
      </c>
      <c r="B3032">
        <v>1</v>
      </c>
      <c r="C3032">
        <v>0</v>
      </c>
      <c r="D3032">
        <v>0</v>
      </c>
      <c r="E3032">
        <v>0</v>
      </c>
      <c r="F3032">
        <v>0</v>
      </c>
      <c r="G3032">
        <v>4</v>
      </c>
      <c r="H3032">
        <v>0</v>
      </c>
    </row>
    <row r="3033" spans="1:8" x14ac:dyDescent="0.25">
      <c r="A3033">
        <v>17184650</v>
      </c>
      <c r="B3033">
        <v>-3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</row>
    <row r="3034" spans="1:8" x14ac:dyDescent="0.25">
      <c r="A3034">
        <v>17184695</v>
      </c>
      <c r="B3034">
        <v>4</v>
      </c>
      <c r="C3034">
        <v>0</v>
      </c>
      <c r="D3034">
        <v>0</v>
      </c>
      <c r="E3034">
        <v>0</v>
      </c>
      <c r="F3034">
        <v>0</v>
      </c>
      <c r="G3034">
        <v>8</v>
      </c>
      <c r="H3034">
        <v>0</v>
      </c>
    </row>
    <row r="3035" spans="1:8" x14ac:dyDescent="0.25">
      <c r="A3035">
        <v>17197501</v>
      </c>
      <c r="B3035">
        <v>133</v>
      </c>
      <c r="C3035">
        <v>3</v>
      </c>
      <c r="D3035">
        <v>1</v>
      </c>
      <c r="E3035">
        <v>7</v>
      </c>
      <c r="F3035">
        <v>33</v>
      </c>
      <c r="G3035">
        <v>61</v>
      </c>
      <c r="H3035">
        <v>16.989999999999998</v>
      </c>
    </row>
    <row r="3036" spans="1:8" x14ac:dyDescent="0.25">
      <c r="A3036">
        <v>17197504</v>
      </c>
      <c r="B3036">
        <v>16</v>
      </c>
      <c r="C3036">
        <v>0</v>
      </c>
      <c r="D3036">
        <v>0</v>
      </c>
      <c r="E3036">
        <v>2</v>
      </c>
      <c r="F3036">
        <v>5</v>
      </c>
      <c r="G3036">
        <v>9</v>
      </c>
      <c r="H3036">
        <v>0</v>
      </c>
    </row>
    <row r="3037" spans="1:8" x14ac:dyDescent="0.25">
      <c r="A3037">
        <v>17197505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7</v>
      </c>
      <c r="H3037">
        <v>0</v>
      </c>
    </row>
    <row r="3038" spans="1:8" x14ac:dyDescent="0.25">
      <c r="A3038">
        <v>17198189</v>
      </c>
      <c r="B3038">
        <v>1</v>
      </c>
      <c r="C3038">
        <v>0</v>
      </c>
      <c r="D3038">
        <v>0</v>
      </c>
      <c r="E3038">
        <v>0</v>
      </c>
      <c r="F3038">
        <v>1</v>
      </c>
      <c r="G3038">
        <v>2</v>
      </c>
      <c r="H3038">
        <v>0</v>
      </c>
    </row>
    <row r="3039" spans="1:8" x14ac:dyDescent="0.25">
      <c r="A3039">
        <v>17198190</v>
      </c>
      <c r="B3039">
        <v>159</v>
      </c>
      <c r="C3039">
        <v>0</v>
      </c>
      <c r="D3039">
        <v>2</v>
      </c>
      <c r="E3039">
        <v>102</v>
      </c>
      <c r="F3039">
        <v>708</v>
      </c>
      <c r="G3039">
        <v>946</v>
      </c>
      <c r="H3039">
        <v>30.475000000000001</v>
      </c>
    </row>
    <row r="3040" spans="1:8" x14ac:dyDescent="0.25">
      <c r="A3040">
        <v>17198191</v>
      </c>
      <c r="B3040">
        <v>2</v>
      </c>
      <c r="C3040">
        <v>0</v>
      </c>
      <c r="D3040">
        <v>0</v>
      </c>
      <c r="E3040">
        <v>0</v>
      </c>
      <c r="F3040">
        <v>11</v>
      </c>
      <c r="G3040">
        <v>58</v>
      </c>
      <c r="H3040">
        <v>0</v>
      </c>
    </row>
    <row r="3041" spans="1:8" x14ac:dyDescent="0.25">
      <c r="A3041">
        <v>17198192</v>
      </c>
      <c r="B3041">
        <v>46</v>
      </c>
      <c r="C3041">
        <v>0</v>
      </c>
      <c r="D3041">
        <v>0</v>
      </c>
      <c r="E3041">
        <v>5</v>
      </c>
      <c r="F3041">
        <v>98</v>
      </c>
      <c r="G3041">
        <v>138</v>
      </c>
      <c r="H3041">
        <v>0</v>
      </c>
    </row>
    <row r="3042" spans="1:8" x14ac:dyDescent="0.25">
      <c r="A3042">
        <v>17202753</v>
      </c>
      <c r="B3042">
        <v>-78</v>
      </c>
      <c r="C3042">
        <v>0</v>
      </c>
      <c r="D3042">
        <v>0</v>
      </c>
      <c r="E3042">
        <v>0</v>
      </c>
      <c r="F3042">
        <v>0</v>
      </c>
      <c r="G3042">
        <v>78</v>
      </c>
      <c r="H3042">
        <v>0</v>
      </c>
    </row>
    <row r="3043" spans="1:8" x14ac:dyDescent="0.25">
      <c r="A3043">
        <v>17203005</v>
      </c>
      <c r="B3043">
        <v>321</v>
      </c>
      <c r="C3043">
        <v>0</v>
      </c>
      <c r="D3043">
        <v>7</v>
      </c>
      <c r="E3043">
        <v>36</v>
      </c>
      <c r="F3043">
        <v>77</v>
      </c>
      <c r="G3043">
        <v>255</v>
      </c>
      <c r="H3043">
        <v>165.22710000000001</v>
      </c>
    </row>
    <row r="3044" spans="1:8" x14ac:dyDescent="0.25">
      <c r="A3044">
        <v>17203006</v>
      </c>
      <c r="B3044">
        <v>62</v>
      </c>
      <c r="C3044">
        <v>0</v>
      </c>
      <c r="D3044">
        <v>0</v>
      </c>
      <c r="E3044">
        <v>2</v>
      </c>
      <c r="F3044">
        <v>19</v>
      </c>
      <c r="G3044">
        <v>79</v>
      </c>
      <c r="H3044">
        <v>0</v>
      </c>
    </row>
    <row r="3045" spans="1:8" x14ac:dyDescent="0.25">
      <c r="A3045">
        <v>17203080</v>
      </c>
      <c r="B3045">
        <v>36</v>
      </c>
      <c r="C3045">
        <v>0</v>
      </c>
      <c r="D3045">
        <v>1</v>
      </c>
      <c r="E3045">
        <v>4</v>
      </c>
      <c r="F3045">
        <v>9</v>
      </c>
      <c r="G3045">
        <v>58</v>
      </c>
      <c r="H3045">
        <v>9.9700000000000006</v>
      </c>
    </row>
    <row r="3046" spans="1:8" x14ac:dyDescent="0.25">
      <c r="A3046">
        <v>17203081</v>
      </c>
      <c r="B3046">
        <v>235</v>
      </c>
      <c r="C3046">
        <v>66</v>
      </c>
      <c r="D3046">
        <v>14</v>
      </c>
      <c r="E3046">
        <v>133</v>
      </c>
      <c r="F3046">
        <v>352</v>
      </c>
      <c r="G3046">
        <v>693</v>
      </c>
      <c r="H3046">
        <v>59.148600000000002</v>
      </c>
    </row>
    <row r="3047" spans="1:8" x14ac:dyDescent="0.25">
      <c r="A3047">
        <v>17203082</v>
      </c>
      <c r="B3047">
        <v>58</v>
      </c>
      <c r="C3047">
        <v>48</v>
      </c>
      <c r="D3047">
        <v>10</v>
      </c>
      <c r="E3047">
        <v>77</v>
      </c>
      <c r="F3047">
        <v>184</v>
      </c>
      <c r="G3047">
        <v>293</v>
      </c>
      <c r="H3047">
        <v>59.845999999999997</v>
      </c>
    </row>
    <row r="3048" spans="1:8" x14ac:dyDescent="0.25">
      <c r="A3048">
        <v>17203083</v>
      </c>
      <c r="B3048">
        <v>5</v>
      </c>
      <c r="C3048">
        <v>0</v>
      </c>
      <c r="D3048">
        <v>0</v>
      </c>
      <c r="E3048">
        <v>0</v>
      </c>
      <c r="F3048">
        <v>0</v>
      </c>
      <c r="G3048">
        <v>13</v>
      </c>
      <c r="H3048">
        <v>0</v>
      </c>
    </row>
    <row r="3049" spans="1:8" x14ac:dyDescent="0.25">
      <c r="A3049">
        <v>17203525</v>
      </c>
      <c r="B3049">
        <v>39</v>
      </c>
      <c r="C3049">
        <v>3</v>
      </c>
      <c r="D3049">
        <v>4</v>
      </c>
      <c r="E3049">
        <v>13</v>
      </c>
      <c r="F3049">
        <v>34</v>
      </c>
      <c r="G3049">
        <v>69</v>
      </c>
      <c r="H3049">
        <v>46.622500000000002</v>
      </c>
    </row>
    <row r="3050" spans="1:8" x14ac:dyDescent="0.25">
      <c r="A3050">
        <v>17203714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4</v>
      </c>
      <c r="H3050">
        <v>0</v>
      </c>
    </row>
    <row r="3051" spans="1:8" x14ac:dyDescent="0.25">
      <c r="A3051">
        <v>17205036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</row>
    <row r="3052" spans="1:8" x14ac:dyDescent="0.25">
      <c r="A3052">
        <v>17208674</v>
      </c>
      <c r="B3052">
        <v>3</v>
      </c>
      <c r="C3052">
        <v>0</v>
      </c>
      <c r="D3052">
        <v>0</v>
      </c>
      <c r="E3052">
        <v>1</v>
      </c>
      <c r="F3052">
        <v>11</v>
      </c>
      <c r="G3052">
        <v>96</v>
      </c>
      <c r="H3052">
        <v>0</v>
      </c>
    </row>
    <row r="3053" spans="1:8" x14ac:dyDescent="0.25">
      <c r="A3053">
        <v>17208675</v>
      </c>
      <c r="B3053">
        <v>13</v>
      </c>
      <c r="C3053">
        <v>0</v>
      </c>
      <c r="D3053">
        <v>0</v>
      </c>
      <c r="E3053">
        <v>0</v>
      </c>
      <c r="F3053">
        <v>16</v>
      </c>
      <c r="G3053">
        <v>66</v>
      </c>
      <c r="H3053">
        <v>0</v>
      </c>
    </row>
    <row r="3054" spans="1:8" x14ac:dyDescent="0.25">
      <c r="A3054">
        <v>17208676</v>
      </c>
      <c r="B3054">
        <v>10</v>
      </c>
      <c r="C3054">
        <v>0</v>
      </c>
      <c r="D3054">
        <v>0</v>
      </c>
      <c r="E3054">
        <v>0</v>
      </c>
      <c r="F3054">
        <v>13</v>
      </c>
      <c r="G3054">
        <v>77</v>
      </c>
      <c r="H3054">
        <v>0</v>
      </c>
    </row>
    <row r="3055" spans="1:8" x14ac:dyDescent="0.25">
      <c r="A3055">
        <v>17208677</v>
      </c>
      <c r="B3055">
        <v>16</v>
      </c>
      <c r="C3055">
        <v>0</v>
      </c>
      <c r="D3055">
        <v>0</v>
      </c>
      <c r="E3055">
        <v>0</v>
      </c>
      <c r="F3055">
        <v>4</v>
      </c>
      <c r="G3055">
        <v>40</v>
      </c>
      <c r="H3055">
        <v>0</v>
      </c>
    </row>
    <row r="3056" spans="1:8" x14ac:dyDescent="0.25">
      <c r="A3056">
        <v>17208678</v>
      </c>
      <c r="B3056">
        <v>-5</v>
      </c>
      <c r="C3056">
        <v>0</v>
      </c>
      <c r="D3056">
        <v>0</v>
      </c>
      <c r="E3056">
        <v>0</v>
      </c>
      <c r="F3056">
        <v>6</v>
      </c>
      <c r="G3056">
        <v>51</v>
      </c>
      <c r="H3056">
        <v>0</v>
      </c>
    </row>
    <row r="3057" spans="1:8" x14ac:dyDescent="0.25">
      <c r="A3057">
        <v>17208679</v>
      </c>
      <c r="B3057">
        <v>4</v>
      </c>
      <c r="C3057">
        <v>0</v>
      </c>
      <c r="D3057">
        <v>0</v>
      </c>
      <c r="E3057">
        <v>0</v>
      </c>
      <c r="F3057">
        <v>7</v>
      </c>
      <c r="G3057">
        <v>56</v>
      </c>
      <c r="H3057">
        <v>0</v>
      </c>
    </row>
    <row r="3058" spans="1:8" x14ac:dyDescent="0.25">
      <c r="A3058">
        <v>17208680</v>
      </c>
      <c r="B3058">
        <v>10</v>
      </c>
      <c r="C3058">
        <v>0</v>
      </c>
      <c r="D3058">
        <v>0</v>
      </c>
      <c r="E3058">
        <v>0</v>
      </c>
      <c r="F3058">
        <v>9</v>
      </c>
      <c r="G3058">
        <v>47</v>
      </c>
      <c r="H3058">
        <v>0</v>
      </c>
    </row>
    <row r="3059" spans="1:8" x14ac:dyDescent="0.25">
      <c r="A3059">
        <v>17208681</v>
      </c>
      <c r="B3059">
        <v>3</v>
      </c>
      <c r="C3059">
        <v>0</v>
      </c>
      <c r="D3059">
        <v>0</v>
      </c>
      <c r="E3059">
        <v>0</v>
      </c>
      <c r="F3059">
        <v>9</v>
      </c>
      <c r="G3059">
        <v>58</v>
      </c>
      <c r="H3059">
        <v>0</v>
      </c>
    </row>
    <row r="3060" spans="1:8" x14ac:dyDescent="0.25">
      <c r="A3060">
        <v>17208682</v>
      </c>
      <c r="B3060">
        <v>6</v>
      </c>
      <c r="C3060">
        <v>0</v>
      </c>
      <c r="D3060">
        <v>0</v>
      </c>
      <c r="E3060">
        <v>0</v>
      </c>
      <c r="F3060">
        <v>12</v>
      </c>
      <c r="G3060">
        <v>59</v>
      </c>
      <c r="H3060">
        <v>0</v>
      </c>
    </row>
    <row r="3061" spans="1:8" x14ac:dyDescent="0.25">
      <c r="A3061">
        <v>17214208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</row>
    <row r="3062" spans="1:8" x14ac:dyDescent="0.25">
      <c r="A3062">
        <v>17227659</v>
      </c>
      <c r="B3062">
        <v>9708</v>
      </c>
      <c r="C3062">
        <v>540</v>
      </c>
      <c r="D3062">
        <v>953</v>
      </c>
      <c r="E3062">
        <v>4063</v>
      </c>
      <c r="F3062">
        <v>13002</v>
      </c>
      <c r="G3062">
        <v>24656</v>
      </c>
      <c r="H3062">
        <v>19.478200000000001</v>
      </c>
    </row>
    <row r="3063" spans="1:8" x14ac:dyDescent="0.25">
      <c r="A3063">
        <v>17227661</v>
      </c>
      <c r="B3063">
        <v>3</v>
      </c>
      <c r="C3063">
        <v>0</v>
      </c>
      <c r="D3063">
        <v>0</v>
      </c>
      <c r="E3063">
        <v>0</v>
      </c>
      <c r="F3063">
        <v>4</v>
      </c>
      <c r="G3063">
        <v>7</v>
      </c>
      <c r="H3063">
        <v>0</v>
      </c>
    </row>
    <row r="3064" spans="1:8" x14ac:dyDescent="0.25">
      <c r="A3064">
        <v>17228576</v>
      </c>
      <c r="B3064">
        <v>182</v>
      </c>
      <c r="C3064">
        <v>36</v>
      </c>
      <c r="D3064">
        <v>5</v>
      </c>
      <c r="E3064">
        <v>38</v>
      </c>
      <c r="F3064">
        <v>112</v>
      </c>
      <c r="G3064">
        <v>251</v>
      </c>
      <c r="H3064">
        <v>167.99</v>
      </c>
    </row>
    <row r="3065" spans="1:8" x14ac:dyDescent="0.25">
      <c r="A3065">
        <v>17228703</v>
      </c>
      <c r="B3065">
        <v>1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</row>
    <row r="3066" spans="1:8" x14ac:dyDescent="0.25">
      <c r="A3066">
        <v>17228704</v>
      </c>
      <c r="B3066">
        <v>28</v>
      </c>
      <c r="C3066">
        <v>0</v>
      </c>
      <c r="D3066">
        <v>2</v>
      </c>
      <c r="E3066">
        <v>9</v>
      </c>
      <c r="F3066">
        <v>137</v>
      </c>
      <c r="G3066">
        <v>797</v>
      </c>
      <c r="H3066">
        <v>104.99</v>
      </c>
    </row>
    <row r="3067" spans="1:8" x14ac:dyDescent="0.25">
      <c r="A3067">
        <v>17228710</v>
      </c>
      <c r="B3067">
        <v>310</v>
      </c>
      <c r="C3067">
        <v>40</v>
      </c>
      <c r="D3067">
        <v>30</v>
      </c>
      <c r="E3067">
        <v>82</v>
      </c>
      <c r="F3067">
        <v>290</v>
      </c>
      <c r="G3067">
        <v>705</v>
      </c>
      <c r="H3067">
        <v>110.97799999999999</v>
      </c>
    </row>
    <row r="3068" spans="1:8" x14ac:dyDescent="0.25">
      <c r="A3068">
        <v>17228711</v>
      </c>
      <c r="B3068">
        <v>-2</v>
      </c>
      <c r="C3068">
        <v>0</v>
      </c>
      <c r="D3068">
        <v>0</v>
      </c>
      <c r="E3068">
        <v>1</v>
      </c>
      <c r="F3068">
        <v>12</v>
      </c>
      <c r="G3068">
        <v>19</v>
      </c>
      <c r="H3068">
        <v>0</v>
      </c>
    </row>
    <row r="3069" spans="1:8" x14ac:dyDescent="0.25">
      <c r="A3069">
        <v>17228712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4</v>
      </c>
      <c r="H3069">
        <v>0</v>
      </c>
    </row>
    <row r="3070" spans="1:8" x14ac:dyDescent="0.25">
      <c r="A3070">
        <v>17228713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1</v>
      </c>
      <c r="H3070">
        <v>0</v>
      </c>
    </row>
    <row r="3071" spans="1:8" x14ac:dyDescent="0.25">
      <c r="A3071">
        <v>17232805</v>
      </c>
      <c r="B3071">
        <v>500</v>
      </c>
      <c r="C3071">
        <v>144</v>
      </c>
      <c r="D3071">
        <v>38</v>
      </c>
      <c r="E3071">
        <v>157</v>
      </c>
      <c r="F3071">
        <v>531</v>
      </c>
      <c r="G3071">
        <v>1035</v>
      </c>
      <c r="H3071">
        <v>5.9070999999999998</v>
      </c>
    </row>
    <row r="3072" spans="1:8" x14ac:dyDescent="0.25">
      <c r="A3072">
        <v>17232806</v>
      </c>
      <c r="B3072">
        <v>342</v>
      </c>
      <c r="C3072">
        <v>192</v>
      </c>
      <c r="D3072">
        <v>60</v>
      </c>
      <c r="E3072">
        <v>261</v>
      </c>
      <c r="F3072">
        <v>650</v>
      </c>
      <c r="G3072">
        <v>1393</v>
      </c>
      <c r="H3072">
        <v>14.368</v>
      </c>
    </row>
    <row r="3073" spans="1:8" x14ac:dyDescent="0.25">
      <c r="A3073">
        <v>17232808</v>
      </c>
      <c r="B3073">
        <v>332</v>
      </c>
      <c r="C3073">
        <v>240</v>
      </c>
      <c r="D3073">
        <v>38</v>
      </c>
      <c r="E3073">
        <v>141</v>
      </c>
      <c r="F3073">
        <v>407</v>
      </c>
      <c r="G3073">
        <v>910</v>
      </c>
      <c r="H3073">
        <v>11.051600000000001</v>
      </c>
    </row>
    <row r="3074" spans="1:8" x14ac:dyDescent="0.25">
      <c r="A3074">
        <v>17232809</v>
      </c>
      <c r="B3074">
        <v>471</v>
      </c>
      <c r="C3074">
        <v>0</v>
      </c>
      <c r="D3074">
        <v>32</v>
      </c>
      <c r="E3074">
        <v>116</v>
      </c>
      <c r="F3074">
        <v>304</v>
      </c>
      <c r="G3074">
        <v>633</v>
      </c>
      <c r="H3074">
        <v>7.5774999999999997</v>
      </c>
    </row>
    <row r="3075" spans="1:8" x14ac:dyDescent="0.25">
      <c r="A3075">
        <v>17239545</v>
      </c>
      <c r="B3075">
        <v>6</v>
      </c>
      <c r="C3075">
        <v>0</v>
      </c>
      <c r="D3075">
        <v>0</v>
      </c>
      <c r="E3075">
        <v>1</v>
      </c>
      <c r="F3075">
        <v>3</v>
      </c>
      <c r="G3075">
        <v>63</v>
      </c>
      <c r="H3075">
        <v>0</v>
      </c>
    </row>
    <row r="3076" spans="1:8" x14ac:dyDescent="0.25">
      <c r="A3076">
        <v>17239637</v>
      </c>
      <c r="B3076">
        <v>149</v>
      </c>
      <c r="C3076">
        <v>0</v>
      </c>
      <c r="D3076">
        <v>15</v>
      </c>
      <c r="E3076">
        <v>52</v>
      </c>
      <c r="F3076">
        <v>195</v>
      </c>
      <c r="G3076">
        <v>818</v>
      </c>
      <c r="H3076">
        <v>102.848</v>
      </c>
    </row>
    <row r="3077" spans="1:8" x14ac:dyDescent="0.25">
      <c r="A3077">
        <v>17241015</v>
      </c>
      <c r="B3077">
        <v>7</v>
      </c>
      <c r="C3077">
        <v>0</v>
      </c>
      <c r="D3077">
        <v>0</v>
      </c>
      <c r="E3077">
        <v>1</v>
      </c>
      <c r="F3077">
        <v>1</v>
      </c>
      <c r="G3077">
        <v>3</v>
      </c>
      <c r="H3077">
        <v>0</v>
      </c>
    </row>
    <row r="3078" spans="1:8" x14ac:dyDescent="0.25">
      <c r="A3078">
        <v>17241016</v>
      </c>
      <c r="B3078">
        <v>5</v>
      </c>
      <c r="C3078">
        <v>0</v>
      </c>
      <c r="D3078">
        <v>0</v>
      </c>
      <c r="E3078">
        <v>0</v>
      </c>
      <c r="F3078">
        <v>0</v>
      </c>
      <c r="G3078">
        <v>4</v>
      </c>
      <c r="H3078">
        <v>0</v>
      </c>
    </row>
    <row r="3079" spans="1:8" x14ac:dyDescent="0.25">
      <c r="A3079">
        <v>17257803</v>
      </c>
      <c r="B3079">
        <v>291</v>
      </c>
      <c r="C3079">
        <v>12</v>
      </c>
      <c r="D3079">
        <v>17</v>
      </c>
      <c r="E3079">
        <v>64</v>
      </c>
      <c r="F3079">
        <v>143</v>
      </c>
      <c r="G3079">
        <v>282</v>
      </c>
      <c r="H3079">
        <v>370.20409999999998</v>
      </c>
    </row>
    <row r="3080" spans="1:8" x14ac:dyDescent="0.25">
      <c r="A3080">
        <v>17257804</v>
      </c>
      <c r="B3080">
        <v>183</v>
      </c>
      <c r="C3080">
        <v>0</v>
      </c>
      <c r="D3080">
        <v>6</v>
      </c>
      <c r="E3080">
        <v>27</v>
      </c>
      <c r="F3080">
        <v>87</v>
      </c>
      <c r="G3080">
        <v>312</v>
      </c>
      <c r="H3080">
        <v>215.30500000000001</v>
      </c>
    </row>
    <row r="3081" spans="1:8" x14ac:dyDescent="0.25">
      <c r="A3081">
        <v>17257805</v>
      </c>
      <c r="B3081">
        <v>136</v>
      </c>
      <c r="C3081">
        <v>0</v>
      </c>
      <c r="D3081">
        <v>7</v>
      </c>
      <c r="E3081">
        <v>23</v>
      </c>
      <c r="F3081">
        <v>77</v>
      </c>
      <c r="G3081">
        <v>148</v>
      </c>
      <c r="H3081">
        <v>89.887100000000004</v>
      </c>
    </row>
    <row r="3082" spans="1:8" x14ac:dyDescent="0.25">
      <c r="A3082">
        <v>17257806</v>
      </c>
      <c r="B3082">
        <v>0</v>
      </c>
      <c r="C3082">
        <v>0</v>
      </c>
      <c r="D3082">
        <v>0</v>
      </c>
      <c r="E3082">
        <v>0</v>
      </c>
      <c r="F3082">
        <v>1</v>
      </c>
      <c r="G3082">
        <v>3</v>
      </c>
      <c r="H3082">
        <v>0</v>
      </c>
    </row>
    <row r="3083" spans="1:8" x14ac:dyDescent="0.25">
      <c r="A3083">
        <v>17257807</v>
      </c>
      <c r="B3083">
        <v>3</v>
      </c>
      <c r="C3083">
        <v>0</v>
      </c>
      <c r="D3083">
        <v>0</v>
      </c>
      <c r="E3083">
        <v>0</v>
      </c>
      <c r="F3083">
        <v>0</v>
      </c>
      <c r="G3083">
        <v>1</v>
      </c>
      <c r="H3083">
        <v>0</v>
      </c>
    </row>
    <row r="3084" spans="1:8" x14ac:dyDescent="0.25">
      <c r="A3084">
        <v>17257808</v>
      </c>
      <c r="B3084">
        <v>205</v>
      </c>
      <c r="C3084">
        <v>12</v>
      </c>
      <c r="D3084">
        <v>3</v>
      </c>
      <c r="E3084">
        <v>11</v>
      </c>
      <c r="F3084">
        <v>44</v>
      </c>
      <c r="G3084">
        <v>156</v>
      </c>
      <c r="H3084">
        <v>18.1433</v>
      </c>
    </row>
    <row r="3085" spans="1:8" x14ac:dyDescent="0.25">
      <c r="A3085">
        <v>17257809</v>
      </c>
      <c r="B3085">
        <v>3</v>
      </c>
      <c r="C3085">
        <v>0</v>
      </c>
      <c r="D3085">
        <v>0</v>
      </c>
      <c r="E3085">
        <v>0</v>
      </c>
      <c r="F3085">
        <v>0</v>
      </c>
      <c r="G3085">
        <v>3</v>
      </c>
      <c r="H3085">
        <v>0</v>
      </c>
    </row>
    <row r="3086" spans="1:8" x14ac:dyDescent="0.25">
      <c r="A3086">
        <v>17257810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4</v>
      </c>
      <c r="H3086">
        <v>0</v>
      </c>
    </row>
    <row r="3087" spans="1:8" x14ac:dyDescent="0.25">
      <c r="A3087">
        <v>17258500</v>
      </c>
      <c r="B3087">
        <v>1</v>
      </c>
      <c r="C3087">
        <v>0</v>
      </c>
      <c r="D3087">
        <v>0</v>
      </c>
      <c r="E3087">
        <v>0</v>
      </c>
      <c r="F3087">
        <v>0</v>
      </c>
      <c r="G3087">
        <v>2</v>
      </c>
      <c r="H3087">
        <v>0</v>
      </c>
    </row>
    <row r="3088" spans="1:8" x14ac:dyDescent="0.25">
      <c r="A3088">
        <v>17258501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5</v>
      </c>
      <c r="H3088">
        <v>0</v>
      </c>
    </row>
    <row r="3089" spans="1:8" x14ac:dyDescent="0.25">
      <c r="A3089">
        <v>17258502</v>
      </c>
      <c r="B3089">
        <v>11</v>
      </c>
      <c r="C3089">
        <v>0</v>
      </c>
      <c r="D3089">
        <v>0</v>
      </c>
      <c r="E3089">
        <v>2</v>
      </c>
      <c r="F3089">
        <v>6</v>
      </c>
      <c r="G3089">
        <v>34</v>
      </c>
      <c r="H3089">
        <v>0</v>
      </c>
    </row>
    <row r="3090" spans="1:8" x14ac:dyDescent="0.25">
      <c r="A3090">
        <v>17258503</v>
      </c>
      <c r="B3090">
        <v>32</v>
      </c>
      <c r="C3090">
        <v>0</v>
      </c>
      <c r="D3090">
        <v>1</v>
      </c>
      <c r="E3090">
        <v>1</v>
      </c>
      <c r="F3090">
        <v>7</v>
      </c>
      <c r="G3090">
        <v>29</v>
      </c>
      <c r="H3090">
        <v>29.97</v>
      </c>
    </row>
    <row r="3091" spans="1:8" x14ac:dyDescent="0.25">
      <c r="A3091">
        <v>17258504</v>
      </c>
      <c r="B3091">
        <v>-3</v>
      </c>
      <c r="C3091">
        <v>0</v>
      </c>
      <c r="D3091">
        <v>0</v>
      </c>
      <c r="E3091">
        <v>0</v>
      </c>
      <c r="F3091">
        <v>0</v>
      </c>
      <c r="G3091">
        <v>4</v>
      </c>
      <c r="H3091">
        <v>0</v>
      </c>
    </row>
    <row r="3092" spans="1:8" x14ac:dyDescent="0.25">
      <c r="A3092">
        <v>17258508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4</v>
      </c>
      <c r="H3092">
        <v>0</v>
      </c>
    </row>
    <row r="3093" spans="1:8" x14ac:dyDescent="0.25">
      <c r="A3093">
        <v>17258509</v>
      </c>
      <c r="B3093">
        <v>4</v>
      </c>
      <c r="C3093">
        <v>0</v>
      </c>
      <c r="D3093">
        <v>0</v>
      </c>
      <c r="E3093">
        <v>0</v>
      </c>
      <c r="F3093">
        <v>3</v>
      </c>
      <c r="G3093">
        <v>41</v>
      </c>
      <c r="H3093">
        <v>0</v>
      </c>
    </row>
    <row r="3094" spans="1:8" x14ac:dyDescent="0.25">
      <c r="A3094">
        <v>17258569</v>
      </c>
      <c r="B3094">
        <v>37</v>
      </c>
      <c r="C3094">
        <v>0</v>
      </c>
      <c r="D3094">
        <v>0</v>
      </c>
      <c r="E3094">
        <v>4</v>
      </c>
      <c r="F3094">
        <v>21</v>
      </c>
      <c r="G3094">
        <v>66</v>
      </c>
      <c r="H3094">
        <v>0</v>
      </c>
    </row>
    <row r="3095" spans="1:8" x14ac:dyDescent="0.25">
      <c r="A3095">
        <v>17258570</v>
      </c>
      <c r="B3095">
        <v>0</v>
      </c>
      <c r="C3095">
        <v>0</v>
      </c>
      <c r="D3095">
        <v>1</v>
      </c>
      <c r="E3095">
        <v>4</v>
      </c>
      <c r="F3095">
        <v>7</v>
      </c>
      <c r="G3095">
        <v>16</v>
      </c>
      <c r="H3095">
        <v>9.89</v>
      </c>
    </row>
    <row r="3096" spans="1:8" x14ac:dyDescent="0.25">
      <c r="A3096">
        <v>17258571</v>
      </c>
      <c r="B3096">
        <v>5</v>
      </c>
      <c r="C3096">
        <v>0</v>
      </c>
      <c r="D3096">
        <v>1</v>
      </c>
      <c r="E3096">
        <v>2</v>
      </c>
      <c r="F3096">
        <v>7</v>
      </c>
      <c r="G3096">
        <v>21</v>
      </c>
      <c r="H3096">
        <v>9.9700000000000006</v>
      </c>
    </row>
    <row r="3097" spans="1:8" x14ac:dyDescent="0.25">
      <c r="A3097">
        <v>17258572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4</v>
      </c>
      <c r="H3097">
        <v>0</v>
      </c>
    </row>
    <row r="3098" spans="1:8" x14ac:dyDescent="0.25">
      <c r="A3098">
        <v>17258573</v>
      </c>
      <c r="B3098">
        <v>0</v>
      </c>
      <c r="C3098">
        <v>0</v>
      </c>
      <c r="D3098">
        <v>0</v>
      </c>
      <c r="E3098">
        <v>0</v>
      </c>
      <c r="F3098">
        <v>2</v>
      </c>
      <c r="G3098">
        <v>6</v>
      </c>
      <c r="H3098">
        <v>0</v>
      </c>
    </row>
    <row r="3099" spans="1:8" x14ac:dyDescent="0.25">
      <c r="A3099">
        <v>17258575</v>
      </c>
      <c r="B3099">
        <v>31</v>
      </c>
      <c r="C3099">
        <v>0</v>
      </c>
      <c r="D3099">
        <v>0</v>
      </c>
      <c r="E3099">
        <v>4</v>
      </c>
      <c r="F3099">
        <v>9</v>
      </c>
      <c r="G3099">
        <v>17</v>
      </c>
      <c r="H3099">
        <v>0</v>
      </c>
    </row>
    <row r="3100" spans="1:8" x14ac:dyDescent="0.25">
      <c r="A3100">
        <v>17258576</v>
      </c>
      <c r="B3100">
        <v>1</v>
      </c>
      <c r="C3100">
        <v>0</v>
      </c>
      <c r="D3100">
        <v>0</v>
      </c>
      <c r="E3100">
        <v>0</v>
      </c>
      <c r="F3100">
        <v>1</v>
      </c>
      <c r="G3100">
        <v>7</v>
      </c>
      <c r="H3100">
        <v>0</v>
      </c>
    </row>
    <row r="3101" spans="1:8" x14ac:dyDescent="0.25">
      <c r="A3101">
        <v>17258577</v>
      </c>
      <c r="B3101">
        <v>1</v>
      </c>
      <c r="C3101">
        <v>0</v>
      </c>
      <c r="D3101">
        <v>0</v>
      </c>
      <c r="E3101">
        <v>0</v>
      </c>
      <c r="F3101">
        <v>0</v>
      </c>
      <c r="G3101">
        <v>8</v>
      </c>
      <c r="H3101">
        <v>0</v>
      </c>
    </row>
    <row r="3102" spans="1:8" x14ac:dyDescent="0.25">
      <c r="A3102">
        <v>17258579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1</v>
      </c>
      <c r="H3102">
        <v>0</v>
      </c>
    </row>
    <row r="3103" spans="1:8" x14ac:dyDescent="0.25">
      <c r="A3103">
        <v>17272839</v>
      </c>
      <c r="B3103">
        <v>1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</row>
    <row r="3104" spans="1:8" x14ac:dyDescent="0.25">
      <c r="A3104">
        <v>17272844</v>
      </c>
      <c r="B3104">
        <v>56</v>
      </c>
      <c r="C3104">
        <v>15</v>
      </c>
      <c r="D3104">
        <v>4</v>
      </c>
      <c r="E3104">
        <v>19</v>
      </c>
      <c r="F3104">
        <v>67</v>
      </c>
      <c r="G3104">
        <v>133</v>
      </c>
      <c r="H3104">
        <v>86.24</v>
      </c>
    </row>
    <row r="3105" spans="1:8" x14ac:dyDescent="0.25">
      <c r="A3105">
        <v>17272845</v>
      </c>
      <c r="B3105">
        <v>-4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</row>
    <row r="3106" spans="1:8" x14ac:dyDescent="0.25">
      <c r="A3106">
        <v>17272846</v>
      </c>
      <c r="B3106">
        <v>81</v>
      </c>
      <c r="C3106">
        <v>0</v>
      </c>
      <c r="D3106">
        <v>0</v>
      </c>
      <c r="E3106">
        <v>1</v>
      </c>
      <c r="F3106">
        <v>23</v>
      </c>
      <c r="G3106">
        <v>101</v>
      </c>
      <c r="H3106">
        <v>0</v>
      </c>
    </row>
    <row r="3107" spans="1:8" x14ac:dyDescent="0.25">
      <c r="A3107">
        <v>17272847</v>
      </c>
      <c r="B3107">
        <v>-4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</row>
    <row r="3108" spans="1:8" x14ac:dyDescent="0.25">
      <c r="A3108">
        <v>17272850</v>
      </c>
      <c r="B3108">
        <v>18</v>
      </c>
      <c r="C3108">
        <v>0</v>
      </c>
      <c r="D3108">
        <v>2</v>
      </c>
      <c r="E3108">
        <v>7</v>
      </c>
      <c r="F3108">
        <v>62</v>
      </c>
      <c r="G3108">
        <v>154</v>
      </c>
      <c r="H3108">
        <v>99</v>
      </c>
    </row>
    <row r="3109" spans="1:8" x14ac:dyDescent="0.25">
      <c r="A3109">
        <v>17272851</v>
      </c>
      <c r="B3109">
        <v>375</v>
      </c>
      <c r="C3109">
        <v>273</v>
      </c>
      <c r="D3109">
        <v>33</v>
      </c>
      <c r="E3109">
        <v>136</v>
      </c>
      <c r="F3109">
        <v>390</v>
      </c>
      <c r="G3109">
        <v>743</v>
      </c>
      <c r="H3109">
        <v>98.051500000000004</v>
      </c>
    </row>
    <row r="3110" spans="1:8" x14ac:dyDescent="0.25">
      <c r="A3110">
        <v>17272853</v>
      </c>
      <c r="B3110">
        <v>4</v>
      </c>
      <c r="C3110">
        <v>0</v>
      </c>
      <c r="D3110">
        <v>1</v>
      </c>
      <c r="E3110">
        <v>4</v>
      </c>
      <c r="F3110">
        <v>39</v>
      </c>
      <c r="G3110">
        <v>137</v>
      </c>
      <c r="H3110">
        <v>159</v>
      </c>
    </row>
    <row r="3111" spans="1:8" x14ac:dyDescent="0.25">
      <c r="A3111">
        <v>17272854</v>
      </c>
      <c r="B3111">
        <v>22</v>
      </c>
      <c r="C3111">
        <v>0</v>
      </c>
      <c r="D3111">
        <v>2</v>
      </c>
      <c r="E3111">
        <v>6</v>
      </c>
      <c r="F3111">
        <v>28</v>
      </c>
      <c r="G3111">
        <v>200</v>
      </c>
      <c r="H3111">
        <v>159</v>
      </c>
    </row>
    <row r="3112" spans="1:8" x14ac:dyDescent="0.25">
      <c r="A3112">
        <v>17272856</v>
      </c>
      <c r="B3112">
        <v>712</v>
      </c>
      <c r="C3112">
        <v>520</v>
      </c>
      <c r="D3112">
        <v>72</v>
      </c>
      <c r="E3112">
        <v>292</v>
      </c>
      <c r="F3112">
        <v>907</v>
      </c>
      <c r="G3112">
        <v>1637</v>
      </c>
      <c r="H3112">
        <v>10.3665</v>
      </c>
    </row>
    <row r="3113" spans="1:8" x14ac:dyDescent="0.25">
      <c r="A3113">
        <v>17272857</v>
      </c>
      <c r="B3113">
        <v>743</v>
      </c>
      <c r="C3113">
        <v>235</v>
      </c>
      <c r="D3113">
        <v>37</v>
      </c>
      <c r="E3113">
        <v>156</v>
      </c>
      <c r="F3113">
        <v>489</v>
      </c>
      <c r="G3113">
        <v>1053</v>
      </c>
      <c r="H3113">
        <v>15.6349</v>
      </c>
    </row>
    <row r="3114" spans="1:8" x14ac:dyDescent="0.25">
      <c r="A3114">
        <v>17272858</v>
      </c>
      <c r="B3114">
        <v>607</v>
      </c>
      <c r="C3114">
        <v>260</v>
      </c>
      <c r="D3114">
        <v>67</v>
      </c>
      <c r="E3114">
        <v>214</v>
      </c>
      <c r="F3114">
        <v>580</v>
      </c>
      <c r="G3114">
        <v>1033</v>
      </c>
      <c r="H3114">
        <v>23.9072</v>
      </c>
    </row>
    <row r="3115" spans="1:8" x14ac:dyDescent="0.25">
      <c r="A3115">
        <v>17272861</v>
      </c>
      <c r="B3115">
        <v>28</v>
      </c>
      <c r="C3115">
        <v>0</v>
      </c>
      <c r="D3115">
        <v>6</v>
      </c>
      <c r="E3115">
        <v>14</v>
      </c>
      <c r="F3115">
        <v>56</v>
      </c>
      <c r="G3115">
        <v>112</v>
      </c>
      <c r="H3115">
        <v>187.5633</v>
      </c>
    </row>
    <row r="3116" spans="1:8" x14ac:dyDescent="0.25">
      <c r="A3116">
        <v>17272862</v>
      </c>
      <c r="B3116">
        <v>189</v>
      </c>
      <c r="C3116">
        <v>0</v>
      </c>
      <c r="D3116">
        <v>27</v>
      </c>
      <c r="E3116">
        <v>84</v>
      </c>
      <c r="F3116">
        <v>283</v>
      </c>
      <c r="G3116">
        <v>587</v>
      </c>
      <c r="H3116">
        <v>138.15110000000001</v>
      </c>
    </row>
    <row r="3117" spans="1:8" x14ac:dyDescent="0.25">
      <c r="A3117">
        <v>17273757</v>
      </c>
      <c r="B3117">
        <v>81</v>
      </c>
      <c r="C3117">
        <v>3</v>
      </c>
      <c r="D3117">
        <v>3</v>
      </c>
      <c r="E3117">
        <v>8</v>
      </c>
      <c r="F3117">
        <v>40</v>
      </c>
      <c r="G3117">
        <v>122</v>
      </c>
      <c r="H3117">
        <v>1026.6567</v>
      </c>
    </row>
    <row r="3118" spans="1:8" x14ac:dyDescent="0.25">
      <c r="A3118">
        <v>17273758</v>
      </c>
      <c r="B3118">
        <v>70</v>
      </c>
      <c r="C3118">
        <v>8</v>
      </c>
      <c r="D3118">
        <v>8</v>
      </c>
      <c r="E3118">
        <v>16</v>
      </c>
      <c r="F3118">
        <v>55</v>
      </c>
      <c r="G3118">
        <v>149</v>
      </c>
      <c r="H3118">
        <v>934.86500000000001</v>
      </c>
    </row>
    <row r="3119" spans="1:8" x14ac:dyDescent="0.25">
      <c r="A3119">
        <v>17273759</v>
      </c>
      <c r="B3119">
        <v>150</v>
      </c>
      <c r="C3119">
        <v>11</v>
      </c>
      <c r="D3119">
        <v>7</v>
      </c>
      <c r="E3119">
        <v>17</v>
      </c>
      <c r="F3119">
        <v>76</v>
      </c>
      <c r="G3119">
        <v>159</v>
      </c>
      <c r="H3119">
        <v>1047.1329000000001</v>
      </c>
    </row>
    <row r="3120" spans="1:8" x14ac:dyDescent="0.25">
      <c r="A3120">
        <v>17273760</v>
      </c>
      <c r="B3120">
        <v>17</v>
      </c>
      <c r="C3120">
        <v>0</v>
      </c>
      <c r="D3120">
        <v>1</v>
      </c>
      <c r="E3120">
        <v>4</v>
      </c>
      <c r="F3120">
        <v>11</v>
      </c>
      <c r="G3120">
        <v>43</v>
      </c>
      <c r="H3120">
        <v>192.5</v>
      </c>
    </row>
    <row r="3121" spans="1:8" x14ac:dyDescent="0.25">
      <c r="A3121">
        <v>17279432</v>
      </c>
      <c r="B3121">
        <v>295</v>
      </c>
      <c r="C3121">
        <v>72</v>
      </c>
      <c r="D3121">
        <v>37</v>
      </c>
      <c r="E3121">
        <v>101</v>
      </c>
      <c r="F3121">
        <v>345</v>
      </c>
      <c r="G3121">
        <v>670</v>
      </c>
      <c r="H3121">
        <v>28.801100000000002</v>
      </c>
    </row>
    <row r="3122" spans="1:8" x14ac:dyDescent="0.25">
      <c r="A3122">
        <v>17279433</v>
      </c>
      <c r="B3122">
        <v>275</v>
      </c>
      <c r="C3122">
        <v>24</v>
      </c>
      <c r="D3122">
        <v>28</v>
      </c>
      <c r="E3122">
        <v>87</v>
      </c>
      <c r="F3122">
        <v>278</v>
      </c>
      <c r="G3122">
        <v>566</v>
      </c>
      <c r="H3122">
        <v>29.570399999999999</v>
      </c>
    </row>
    <row r="3123" spans="1:8" x14ac:dyDescent="0.25">
      <c r="A3123">
        <v>17279434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2</v>
      </c>
      <c r="H3123">
        <v>0</v>
      </c>
    </row>
    <row r="3124" spans="1:8" x14ac:dyDescent="0.25">
      <c r="A3124">
        <v>17279441</v>
      </c>
      <c r="B3124">
        <v>68</v>
      </c>
      <c r="C3124">
        <v>13</v>
      </c>
      <c r="D3124">
        <v>7</v>
      </c>
      <c r="E3124">
        <v>15</v>
      </c>
      <c r="F3124">
        <v>45</v>
      </c>
      <c r="G3124">
        <v>141</v>
      </c>
      <c r="H3124">
        <v>846.26</v>
      </c>
    </row>
    <row r="3125" spans="1:8" x14ac:dyDescent="0.25">
      <c r="A3125">
        <v>17282470</v>
      </c>
      <c r="B3125">
        <v>155</v>
      </c>
      <c r="C3125">
        <v>0</v>
      </c>
      <c r="D3125">
        <v>3</v>
      </c>
      <c r="E3125">
        <v>16</v>
      </c>
      <c r="F3125">
        <v>47</v>
      </c>
      <c r="G3125">
        <v>156</v>
      </c>
      <c r="H3125">
        <v>7.84</v>
      </c>
    </row>
    <row r="3126" spans="1:8" x14ac:dyDescent="0.25">
      <c r="A3126">
        <v>17282471</v>
      </c>
      <c r="B3126">
        <v>13</v>
      </c>
      <c r="C3126">
        <v>0</v>
      </c>
      <c r="D3126">
        <v>1</v>
      </c>
      <c r="E3126">
        <v>1</v>
      </c>
      <c r="F3126">
        <v>7</v>
      </c>
      <c r="G3126">
        <v>73</v>
      </c>
      <c r="H3126">
        <v>13.56</v>
      </c>
    </row>
    <row r="3127" spans="1:8" x14ac:dyDescent="0.25">
      <c r="A3127">
        <v>17282472</v>
      </c>
      <c r="B3127">
        <v>90</v>
      </c>
      <c r="C3127">
        <v>0</v>
      </c>
      <c r="D3127">
        <v>2</v>
      </c>
      <c r="E3127">
        <v>10</v>
      </c>
      <c r="F3127">
        <v>27</v>
      </c>
      <c r="G3127">
        <v>63</v>
      </c>
      <c r="H3127">
        <v>29.99</v>
      </c>
    </row>
    <row r="3128" spans="1:8" x14ac:dyDescent="0.25">
      <c r="A3128">
        <v>17282474</v>
      </c>
      <c r="B3128">
        <v>50</v>
      </c>
      <c r="C3128">
        <v>0</v>
      </c>
      <c r="D3128">
        <v>1</v>
      </c>
      <c r="E3128">
        <v>9</v>
      </c>
      <c r="F3128">
        <v>59</v>
      </c>
      <c r="G3128">
        <v>203</v>
      </c>
      <c r="H3128">
        <v>15</v>
      </c>
    </row>
    <row r="3129" spans="1:8" x14ac:dyDescent="0.25">
      <c r="A3129">
        <v>17282475</v>
      </c>
      <c r="B3129">
        <v>6</v>
      </c>
      <c r="C3129">
        <v>0</v>
      </c>
      <c r="D3129">
        <v>1</v>
      </c>
      <c r="E3129">
        <v>4</v>
      </c>
      <c r="F3129">
        <v>35</v>
      </c>
      <c r="G3129">
        <v>125</v>
      </c>
      <c r="H3129">
        <v>12</v>
      </c>
    </row>
    <row r="3130" spans="1:8" x14ac:dyDescent="0.25">
      <c r="A3130">
        <v>17292478</v>
      </c>
      <c r="B3130">
        <v>55</v>
      </c>
      <c r="C3130">
        <v>0</v>
      </c>
      <c r="D3130">
        <v>1</v>
      </c>
      <c r="E3130">
        <v>9</v>
      </c>
      <c r="F3130">
        <v>40</v>
      </c>
      <c r="G3130">
        <v>79</v>
      </c>
      <c r="H3130">
        <v>26.45</v>
      </c>
    </row>
    <row r="3131" spans="1:8" x14ac:dyDescent="0.25">
      <c r="A3131">
        <v>17292479</v>
      </c>
      <c r="B3131">
        <v>15</v>
      </c>
      <c r="C3131">
        <v>0</v>
      </c>
      <c r="D3131">
        <v>3</v>
      </c>
      <c r="E3131">
        <v>4</v>
      </c>
      <c r="F3131">
        <v>24</v>
      </c>
      <c r="G3131">
        <v>67</v>
      </c>
      <c r="H3131">
        <v>29.97</v>
      </c>
    </row>
    <row r="3132" spans="1:8" x14ac:dyDescent="0.25">
      <c r="A3132">
        <v>17292480</v>
      </c>
      <c r="B3132">
        <v>155</v>
      </c>
      <c r="C3132">
        <v>0</v>
      </c>
      <c r="D3132">
        <v>5</v>
      </c>
      <c r="E3132">
        <v>36</v>
      </c>
      <c r="F3132">
        <v>128</v>
      </c>
      <c r="G3132">
        <v>270</v>
      </c>
      <c r="H3132">
        <v>24.96</v>
      </c>
    </row>
    <row r="3133" spans="1:8" x14ac:dyDescent="0.25">
      <c r="A3133">
        <v>17292481</v>
      </c>
      <c r="B3133">
        <v>84</v>
      </c>
      <c r="C3133">
        <v>0</v>
      </c>
      <c r="D3133">
        <v>5</v>
      </c>
      <c r="E3133">
        <v>22</v>
      </c>
      <c r="F3133">
        <v>98</v>
      </c>
      <c r="G3133">
        <v>229</v>
      </c>
      <c r="H3133">
        <v>24.97</v>
      </c>
    </row>
    <row r="3134" spans="1:8" x14ac:dyDescent="0.25">
      <c r="A3134">
        <v>17292483</v>
      </c>
      <c r="B3134">
        <v>72</v>
      </c>
      <c r="C3134">
        <v>0</v>
      </c>
      <c r="D3134">
        <v>1</v>
      </c>
      <c r="E3134">
        <v>6</v>
      </c>
      <c r="F3134">
        <v>18</v>
      </c>
      <c r="G3134">
        <v>42</v>
      </c>
      <c r="H3134">
        <v>29.97</v>
      </c>
    </row>
    <row r="3135" spans="1:8" x14ac:dyDescent="0.25">
      <c r="A3135">
        <v>17292484</v>
      </c>
      <c r="B3135">
        <v>9</v>
      </c>
      <c r="C3135">
        <v>0</v>
      </c>
      <c r="D3135">
        <v>5</v>
      </c>
      <c r="E3135">
        <v>17</v>
      </c>
      <c r="F3135">
        <v>46</v>
      </c>
      <c r="G3135">
        <v>86</v>
      </c>
      <c r="H3135">
        <v>23.97</v>
      </c>
    </row>
    <row r="3136" spans="1:8" x14ac:dyDescent="0.25">
      <c r="A3136">
        <v>17292485</v>
      </c>
      <c r="B3136">
        <v>40</v>
      </c>
      <c r="C3136">
        <v>0</v>
      </c>
      <c r="D3136">
        <v>1</v>
      </c>
      <c r="E3136">
        <v>9</v>
      </c>
      <c r="F3136">
        <v>20</v>
      </c>
      <c r="G3136">
        <v>52</v>
      </c>
      <c r="H3136">
        <v>27.99</v>
      </c>
    </row>
    <row r="3137" spans="1:8" x14ac:dyDescent="0.25">
      <c r="A3137">
        <v>17292486</v>
      </c>
      <c r="B3137">
        <v>85</v>
      </c>
      <c r="C3137">
        <v>0</v>
      </c>
      <c r="D3137">
        <v>4</v>
      </c>
      <c r="E3137">
        <v>14</v>
      </c>
      <c r="F3137">
        <v>92</v>
      </c>
      <c r="G3137">
        <v>251</v>
      </c>
      <c r="H3137">
        <v>24.99</v>
      </c>
    </row>
    <row r="3138" spans="1:8" x14ac:dyDescent="0.25">
      <c r="A3138">
        <v>17292711</v>
      </c>
      <c r="B3138">
        <v>28</v>
      </c>
      <c r="C3138">
        <v>0</v>
      </c>
      <c r="D3138">
        <v>0</v>
      </c>
      <c r="E3138">
        <v>3</v>
      </c>
      <c r="F3138">
        <v>15</v>
      </c>
      <c r="G3138">
        <v>45</v>
      </c>
      <c r="H3138">
        <v>0</v>
      </c>
    </row>
    <row r="3139" spans="1:8" x14ac:dyDescent="0.25">
      <c r="A3139">
        <v>17292712</v>
      </c>
      <c r="B3139">
        <v>67</v>
      </c>
      <c r="C3139">
        <v>0</v>
      </c>
      <c r="D3139">
        <v>4</v>
      </c>
      <c r="E3139">
        <v>8</v>
      </c>
      <c r="F3139">
        <v>19</v>
      </c>
      <c r="G3139">
        <v>95</v>
      </c>
      <c r="H3139">
        <v>19.97</v>
      </c>
    </row>
    <row r="3140" spans="1:8" x14ac:dyDescent="0.25">
      <c r="A3140">
        <v>17292713</v>
      </c>
      <c r="B3140">
        <v>100</v>
      </c>
      <c r="C3140">
        <v>0</v>
      </c>
      <c r="D3140">
        <v>1</v>
      </c>
      <c r="E3140">
        <v>17</v>
      </c>
      <c r="F3140">
        <v>68</v>
      </c>
      <c r="G3140">
        <v>187</v>
      </c>
      <c r="H3140">
        <v>9.9700000000000006</v>
      </c>
    </row>
    <row r="3141" spans="1:8" x14ac:dyDescent="0.25">
      <c r="A3141">
        <v>17292714</v>
      </c>
      <c r="B3141">
        <v>41</v>
      </c>
      <c r="C3141">
        <v>0</v>
      </c>
      <c r="D3141">
        <v>1</v>
      </c>
      <c r="E3141">
        <v>8</v>
      </c>
      <c r="F3141">
        <v>48</v>
      </c>
      <c r="G3141">
        <v>141</v>
      </c>
      <c r="H3141">
        <v>9.9700000000000006</v>
      </c>
    </row>
    <row r="3142" spans="1:8" x14ac:dyDescent="0.25">
      <c r="A3142">
        <v>17292715</v>
      </c>
      <c r="B3142">
        <v>19</v>
      </c>
      <c r="C3142">
        <v>0</v>
      </c>
      <c r="D3142">
        <v>1</v>
      </c>
      <c r="E3142">
        <v>4</v>
      </c>
      <c r="F3142">
        <v>24</v>
      </c>
      <c r="G3142">
        <v>131</v>
      </c>
      <c r="H3142">
        <v>19.97</v>
      </c>
    </row>
    <row r="3143" spans="1:8" x14ac:dyDescent="0.25">
      <c r="A3143">
        <v>17292716</v>
      </c>
      <c r="B3143">
        <v>538</v>
      </c>
      <c r="C3143">
        <v>88</v>
      </c>
      <c r="D3143">
        <v>28</v>
      </c>
      <c r="E3143">
        <v>127</v>
      </c>
      <c r="F3143">
        <v>381</v>
      </c>
      <c r="G3143">
        <v>821</v>
      </c>
      <c r="H3143">
        <v>14.259600000000001</v>
      </c>
    </row>
    <row r="3144" spans="1:8" x14ac:dyDescent="0.25">
      <c r="A3144">
        <v>17292717</v>
      </c>
      <c r="B3144">
        <v>223</v>
      </c>
      <c r="C3144">
        <v>24</v>
      </c>
      <c r="D3144">
        <v>6</v>
      </c>
      <c r="E3144">
        <v>42</v>
      </c>
      <c r="F3144">
        <v>149</v>
      </c>
      <c r="G3144">
        <v>296</v>
      </c>
      <c r="H3144">
        <v>29.605</v>
      </c>
    </row>
    <row r="3145" spans="1:8" x14ac:dyDescent="0.25">
      <c r="A3145">
        <v>17297597</v>
      </c>
      <c r="B3145">
        <v>12</v>
      </c>
      <c r="C3145">
        <v>0</v>
      </c>
      <c r="D3145">
        <v>0</v>
      </c>
      <c r="E3145">
        <v>1</v>
      </c>
      <c r="F3145">
        <v>7</v>
      </c>
      <c r="G3145">
        <v>52</v>
      </c>
      <c r="H3145">
        <v>0</v>
      </c>
    </row>
    <row r="3146" spans="1:8" x14ac:dyDescent="0.25">
      <c r="A3146">
        <v>17297598</v>
      </c>
      <c r="B3146">
        <v>39</v>
      </c>
      <c r="C3146">
        <v>0</v>
      </c>
      <c r="D3146">
        <v>2</v>
      </c>
      <c r="E3146">
        <v>7</v>
      </c>
      <c r="F3146">
        <v>33</v>
      </c>
      <c r="G3146">
        <v>568</v>
      </c>
      <c r="H3146">
        <v>399.99</v>
      </c>
    </row>
    <row r="3147" spans="1:8" x14ac:dyDescent="0.25">
      <c r="A3147">
        <v>17297599</v>
      </c>
      <c r="B3147">
        <v>1</v>
      </c>
      <c r="C3147">
        <v>0</v>
      </c>
      <c r="D3147">
        <v>0</v>
      </c>
      <c r="E3147">
        <v>0</v>
      </c>
      <c r="F3147">
        <v>1</v>
      </c>
      <c r="G3147">
        <v>9</v>
      </c>
      <c r="H3147">
        <v>0</v>
      </c>
    </row>
    <row r="3148" spans="1:8" x14ac:dyDescent="0.25">
      <c r="A3148">
        <v>17297600</v>
      </c>
      <c r="B3148">
        <v>148</v>
      </c>
      <c r="C3148">
        <v>0</v>
      </c>
      <c r="D3148">
        <v>9</v>
      </c>
      <c r="E3148">
        <v>34</v>
      </c>
      <c r="F3148">
        <v>89</v>
      </c>
      <c r="G3148">
        <v>398</v>
      </c>
      <c r="H3148">
        <v>69.761099999999999</v>
      </c>
    </row>
    <row r="3149" spans="1:8" x14ac:dyDescent="0.25">
      <c r="A3149">
        <v>17297601</v>
      </c>
      <c r="B3149">
        <v>5</v>
      </c>
      <c r="C3149">
        <v>0</v>
      </c>
      <c r="D3149">
        <v>0</v>
      </c>
      <c r="E3149">
        <v>0</v>
      </c>
      <c r="F3149">
        <v>1</v>
      </c>
      <c r="G3149">
        <v>9</v>
      </c>
      <c r="H3149">
        <v>0</v>
      </c>
    </row>
    <row r="3150" spans="1:8" x14ac:dyDescent="0.25">
      <c r="A3150">
        <v>17297602</v>
      </c>
      <c r="B3150">
        <v>172</v>
      </c>
      <c r="C3150">
        <v>0</v>
      </c>
      <c r="D3150">
        <v>6</v>
      </c>
      <c r="E3150">
        <v>38</v>
      </c>
      <c r="F3150">
        <v>131</v>
      </c>
      <c r="G3150">
        <v>445</v>
      </c>
      <c r="H3150">
        <v>57.5867</v>
      </c>
    </row>
    <row r="3151" spans="1:8" x14ac:dyDescent="0.25">
      <c r="A3151">
        <v>17297603</v>
      </c>
      <c r="B3151">
        <v>26</v>
      </c>
      <c r="C3151">
        <v>0</v>
      </c>
      <c r="D3151">
        <v>2</v>
      </c>
      <c r="E3151">
        <v>3</v>
      </c>
      <c r="F3151">
        <v>9</v>
      </c>
      <c r="G3151">
        <v>33</v>
      </c>
      <c r="H3151">
        <v>30.84</v>
      </c>
    </row>
    <row r="3152" spans="1:8" x14ac:dyDescent="0.25">
      <c r="A3152">
        <v>17297604</v>
      </c>
      <c r="B3152">
        <v>21</v>
      </c>
      <c r="C3152">
        <v>0</v>
      </c>
      <c r="D3152">
        <v>0</v>
      </c>
      <c r="E3152">
        <v>1</v>
      </c>
      <c r="F3152">
        <v>3</v>
      </c>
      <c r="G3152">
        <v>10</v>
      </c>
      <c r="H3152">
        <v>0</v>
      </c>
    </row>
    <row r="3153" spans="1:8" x14ac:dyDescent="0.25">
      <c r="A3153">
        <v>17303047</v>
      </c>
      <c r="B3153">
        <v>146</v>
      </c>
      <c r="C3153">
        <v>8</v>
      </c>
      <c r="D3153">
        <v>1</v>
      </c>
      <c r="E3153">
        <v>37</v>
      </c>
      <c r="F3153">
        <v>89</v>
      </c>
      <c r="G3153">
        <v>252</v>
      </c>
      <c r="H3153">
        <v>199.99</v>
      </c>
    </row>
    <row r="3154" spans="1:8" x14ac:dyDescent="0.25">
      <c r="A3154">
        <v>17303048</v>
      </c>
      <c r="B3154">
        <v>226</v>
      </c>
      <c r="C3154">
        <v>0</v>
      </c>
      <c r="D3154">
        <v>6</v>
      </c>
      <c r="E3154">
        <v>38</v>
      </c>
      <c r="F3154">
        <v>148</v>
      </c>
      <c r="G3154">
        <v>382</v>
      </c>
      <c r="H3154">
        <v>209.32169999999999</v>
      </c>
    </row>
    <row r="3155" spans="1:8" x14ac:dyDescent="0.25">
      <c r="A3155">
        <v>17303058</v>
      </c>
      <c r="B3155">
        <v>-3</v>
      </c>
      <c r="C3155">
        <v>0</v>
      </c>
      <c r="D3155">
        <v>0</v>
      </c>
      <c r="E3155">
        <v>2</v>
      </c>
      <c r="F3155">
        <v>3</v>
      </c>
      <c r="G3155">
        <v>3</v>
      </c>
      <c r="H3155">
        <v>0</v>
      </c>
    </row>
    <row r="3156" spans="1:8" x14ac:dyDescent="0.25">
      <c r="A3156">
        <v>17303089</v>
      </c>
      <c r="B3156">
        <v>40</v>
      </c>
      <c r="C3156">
        <v>35</v>
      </c>
      <c r="D3156">
        <v>2</v>
      </c>
      <c r="E3156">
        <v>9</v>
      </c>
      <c r="F3156">
        <v>33</v>
      </c>
      <c r="G3156">
        <v>54</v>
      </c>
      <c r="H3156">
        <v>39</v>
      </c>
    </row>
    <row r="3157" spans="1:8" x14ac:dyDescent="0.25">
      <c r="A3157">
        <v>17303092</v>
      </c>
      <c r="B3157">
        <v>49</v>
      </c>
      <c r="C3157">
        <v>55</v>
      </c>
      <c r="D3157">
        <v>1</v>
      </c>
      <c r="E3157">
        <v>8</v>
      </c>
      <c r="F3157">
        <v>43</v>
      </c>
      <c r="G3157">
        <v>77</v>
      </c>
      <c r="H3157">
        <v>54</v>
      </c>
    </row>
    <row r="3158" spans="1:8" x14ac:dyDescent="0.25">
      <c r="A3158">
        <v>17303096</v>
      </c>
      <c r="B3158">
        <v>33</v>
      </c>
      <c r="C3158">
        <v>0</v>
      </c>
      <c r="D3158">
        <v>1</v>
      </c>
      <c r="E3158">
        <v>3</v>
      </c>
      <c r="F3158">
        <v>11</v>
      </c>
      <c r="G3158">
        <v>29</v>
      </c>
      <c r="H3158">
        <v>79</v>
      </c>
    </row>
    <row r="3159" spans="1:8" x14ac:dyDescent="0.25">
      <c r="A3159">
        <v>17303098</v>
      </c>
      <c r="B3159">
        <v>72</v>
      </c>
      <c r="C3159">
        <v>35</v>
      </c>
      <c r="D3159">
        <v>1</v>
      </c>
      <c r="E3159">
        <v>9</v>
      </c>
      <c r="F3159">
        <v>38</v>
      </c>
      <c r="G3159">
        <v>53</v>
      </c>
      <c r="H3159">
        <v>29</v>
      </c>
    </row>
    <row r="3160" spans="1:8" x14ac:dyDescent="0.25">
      <c r="A3160">
        <v>17303099</v>
      </c>
      <c r="B3160">
        <v>-2</v>
      </c>
      <c r="C3160">
        <v>0</v>
      </c>
      <c r="D3160">
        <v>0</v>
      </c>
      <c r="E3160">
        <v>0</v>
      </c>
      <c r="F3160">
        <v>5</v>
      </c>
      <c r="G3160">
        <v>19</v>
      </c>
      <c r="H3160">
        <v>0</v>
      </c>
    </row>
    <row r="3161" spans="1:8" x14ac:dyDescent="0.25">
      <c r="A3161">
        <v>17303103</v>
      </c>
      <c r="B3161">
        <v>203</v>
      </c>
      <c r="C3161">
        <v>220</v>
      </c>
      <c r="D3161">
        <v>17</v>
      </c>
      <c r="E3161">
        <v>57</v>
      </c>
      <c r="F3161">
        <v>298</v>
      </c>
      <c r="G3161">
        <v>437</v>
      </c>
      <c r="H3161">
        <v>23.551200000000001</v>
      </c>
    </row>
    <row r="3162" spans="1:8" x14ac:dyDescent="0.25">
      <c r="A3162">
        <v>17303108</v>
      </c>
      <c r="B3162">
        <v>54</v>
      </c>
      <c r="C3162">
        <v>70</v>
      </c>
      <c r="D3162">
        <v>12</v>
      </c>
      <c r="E3162">
        <v>24</v>
      </c>
      <c r="F3162">
        <v>72</v>
      </c>
      <c r="G3162">
        <v>164</v>
      </c>
      <c r="H3162">
        <v>39.528300000000002</v>
      </c>
    </row>
    <row r="3163" spans="1:8" x14ac:dyDescent="0.25">
      <c r="A3163">
        <v>17303114</v>
      </c>
      <c r="B3163">
        <v>2</v>
      </c>
      <c r="C3163">
        <v>0</v>
      </c>
      <c r="D3163">
        <v>0</v>
      </c>
      <c r="E3163">
        <v>0</v>
      </c>
      <c r="F3163">
        <v>0</v>
      </c>
      <c r="G3163">
        <v>4</v>
      </c>
      <c r="H3163">
        <v>0</v>
      </c>
    </row>
    <row r="3164" spans="1:8" x14ac:dyDescent="0.25">
      <c r="A3164">
        <v>17303118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8</v>
      </c>
      <c r="H3164">
        <v>0</v>
      </c>
    </row>
    <row r="3165" spans="1:8" x14ac:dyDescent="0.25">
      <c r="A3165">
        <v>17303123</v>
      </c>
      <c r="B3165">
        <v>1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</row>
    <row r="3166" spans="1:8" x14ac:dyDescent="0.25">
      <c r="A3166">
        <v>17303318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</row>
    <row r="3167" spans="1:8" x14ac:dyDescent="0.25">
      <c r="A3167">
        <v>17303319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1</v>
      </c>
      <c r="H3167">
        <v>0</v>
      </c>
    </row>
    <row r="3168" spans="1:8" x14ac:dyDescent="0.25">
      <c r="A3168">
        <v>17303320</v>
      </c>
      <c r="B3168">
        <v>0</v>
      </c>
      <c r="C3168">
        <v>0</v>
      </c>
      <c r="D3168">
        <v>0</v>
      </c>
      <c r="E3168">
        <v>0</v>
      </c>
      <c r="F3168">
        <v>1</v>
      </c>
      <c r="G3168">
        <v>2</v>
      </c>
      <c r="H3168">
        <v>0</v>
      </c>
    </row>
    <row r="3169" spans="1:8" x14ac:dyDescent="0.25">
      <c r="A3169">
        <v>17303992</v>
      </c>
      <c r="B3169">
        <v>0</v>
      </c>
      <c r="C3169">
        <v>0</v>
      </c>
      <c r="D3169">
        <v>0</v>
      </c>
      <c r="E3169">
        <v>0</v>
      </c>
      <c r="F3169">
        <v>1</v>
      </c>
      <c r="G3169">
        <v>2</v>
      </c>
      <c r="H3169">
        <v>0</v>
      </c>
    </row>
    <row r="3170" spans="1:8" x14ac:dyDescent="0.25">
      <c r="A3170">
        <v>17304819</v>
      </c>
      <c r="B3170">
        <v>0</v>
      </c>
      <c r="C3170">
        <v>0</v>
      </c>
      <c r="D3170">
        <v>0</v>
      </c>
      <c r="E3170">
        <v>0</v>
      </c>
      <c r="F3170">
        <v>1</v>
      </c>
      <c r="G3170">
        <v>1</v>
      </c>
      <c r="H3170">
        <v>0</v>
      </c>
    </row>
    <row r="3171" spans="1:8" x14ac:dyDescent="0.25">
      <c r="A3171">
        <v>17329519</v>
      </c>
      <c r="B3171">
        <v>3</v>
      </c>
      <c r="C3171">
        <v>0</v>
      </c>
      <c r="D3171">
        <v>0</v>
      </c>
      <c r="E3171">
        <v>0</v>
      </c>
      <c r="F3171">
        <v>0</v>
      </c>
      <c r="G3171">
        <v>20</v>
      </c>
      <c r="H3171">
        <v>0</v>
      </c>
    </row>
    <row r="3172" spans="1:8" x14ac:dyDescent="0.25">
      <c r="A3172">
        <v>17329629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6</v>
      </c>
      <c r="H3172">
        <v>0</v>
      </c>
    </row>
    <row r="3173" spans="1:8" x14ac:dyDescent="0.25">
      <c r="A3173">
        <v>17333248</v>
      </c>
      <c r="B3173">
        <v>-1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</row>
    <row r="3174" spans="1:8" x14ac:dyDescent="0.25">
      <c r="A3174">
        <v>17333559</v>
      </c>
      <c r="B3174">
        <v>19</v>
      </c>
      <c r="C3174">
        <v>0</v>
      </c>
      <c r="D3174">
        <v>4</v>
      </c>
      <c r="E3174">
        <v>9</v>
      </c>
      <c r="F3174">
        <v>50</v>
      </c>
      <c r="G3174">
        <v>81</v>
      </c>
      <c r="H3174">
        <v>682.48500000000001</v>
      </c>
    </row>
    <row r="3175" spans="1:8" x14ac:dyDescent="0.25">
      <c r="A3175">
        <v>17334098</v>
      </c>
      <c r="B3175">
        <v>146</v>
      </c>
      <c r="C3175">
        <v>38</v>
      </c>
      <c r="D3175">
        <v>5</v>
      </c>
      <c r="E3175">
        <v>19</v>
      </c>
      <c r="F3175">
        <v>76</v>
      </c>
      <c r="G3175">
        <v>264</v>
      </c>
      <c r="H3175">
        <v>496.98</v>
      </c>
    </row>
    <row r="3176" spans="1:8" x14ac:dyDescent="0.25">
      <c r="A3176">
        <v>17334099</v>
      </c>
      <c r="B3176">
        <v>413</v>
      </c>
      <c r="C3176">
        <v>36</v>
      </c>
      <c r="D3176">
        <v>13</v>
      </c>
      <c r="E3176">
        <v>61</v>
      </c>
      <c r="F3176">
        <v>255</v>
      </c>
      <c r="G3176">
        <v>732</v>
      </c>
      <c r="H3176">
        <v>144.72460000000001</v>
      </c>
    </row>
    <row r="3177" spans="1:8" x14ac:dyDescent="0.25">
      <c r="A3177">
        <v>17334100</v>
      </c>
      <c r="B3177">
        <v>284</v>
      </c>
      <c r="C3177">
        <v>12</v>
      </c>
      <c r="D3177">
        <v>1</v>
      </c>
      <c r="E3177">
        <v>17</v>
      </c>
      <c r="F3177">
        <v>100</v>
      </c>
      <c r="G3177">
        <v>283</v>
      </c>
      <c r="H3177">
        <v>145.02000000000001</v>
      </c>
    </row>
    <row r="3178" spans="1:8" x14ac:dyDescent="0.25">
      <c r="A3178">
        <v>17334101</v>
      </c>
      <c r="B3178">
        <v>41</v>
      </c>
      <c r="C3178">
        <v>0</v>
      </c>
      <c r="D3178">
        <v>1</v>
      </c>
      <c r="E3178">
        <v>6</v>
      </c>
      <c r="F3178">
        <v>21</v>
      </c>
      <c r="G3178">
        <v>61</v>
      </c>
      <c r="H3178">
        <v>124</v>
      </c>
    </row>
    <row r="3179" spans="1:8" x14ac:dyDescent="0.25">
      <c r="A3179">
        <v>17342896</v>
      </c>
      <c r="B3179">
        <v>3</v>
      </c>
      <c r="C3179">
        <v>0</v>
      </c>
      <c r="D3179">
        <v>1</v>
      </c>
      <c r="E3179">
        <v>2</v>
      </c>
      <c r="F3179">
        <v>6</v>
      </c>
      <c r="G3179">
        <v>20</v>
      </c>
      <c r="H3179">
        <v>49.97</v>
      </c>
    </row>
    <row r="3180" spans="1:8" x14ac:dyDescent="0.25">
      <c r="A3180">
        <v>17357767</v>
      </c>
      <c r="B3180">
        <v>77</v>
      </c>
      <c r="C3180">
        <v>28</v>
      </c>
      <c r="D3180">
        <v>18</v>
      </c>
      <c r="E3180">
        <v>39</v>
      </c>
      <c r="F3180">
        <v>103</v>
      </c>
      <c r="G3180">
        <v>229</v>
      </c>
      <c r="H3180">
        <v>150.89940000000001</v>
      </c>
    </row>
    <row r="3181" spans="1:8" x14ac:dyDescent="0.25">
      <c r="A3181">
        <v>17357768</v>
      </c>
      <c r="B3181">
        <v>92</v>
      </c>
      <c r="C3181">
        <v>32</v>
      </c>
      <c r="D3181">
        <v>11</v>
      </c>
      <c r="E3181">
        <v>48</v>
      </c>
      <c r="F3181">
        <v>155</v>
      </c>
      <c r="G3181">
        <v>299</v>
      </c>
      <c r="H3181">
        <v>153.5009</v>
      </c>
    </row>
    <row r="3182" spans="1:8" x14ac:dyDescent="0.25">
      <c r="A3182">
        <v>17357769</v>
      </c>
      <c r="B3182">
        <v>391</v>
      </c>
      <c r="C3182">
        <v>192</v>
      </c>
      <c r="D3182">
        <v>59</v>
      </c>
      <c r="E3182">
        <v>260</v>
      </c>
      <c r="F3182">
        <v>724</v>
      </c>
      <c r="G3182">
        <v>1441</v>
      </c>
      <c r="H3182">
        <v>147.8492</v>
      </c>
    </row>
    <row r="3183" spans="1:8" x14ac:dyDescent="0.25">
      <c r="A3183">
        <v>17357770</v>
      </c>
      <c r="B3183">
        <v>0</v>
      </c>
      <c r="C3183">
        <v>4</v>
      </c>
      <c r="D3183">
        <v>2</v>
      </c>
      <c r="E3183">
        <v>7</v>
      </c>
      <c r="F3183">
        <v>19</v>
      </c>
      <c r="G3183">
        <v>31</v>
      </c>
      <c r="H3183">
        <v>125.62</v>
      </c>
    </row>
    <row r="3184" spans="1:8" x14ac:dyDescent="0.25">
      <c r="A3184">
        <v>17357824</v>
      </c>
      <c r="B3184">
        <v>0</v>
      </c>
      <c r="C3184">
        <v>0</v>
      </c>
      <c r="D3184">
        <v>1</v>
      </c>
      <c r="E3184">
        <v>1</v>
      </c>
      <c r="F3184">
        <v>1</v>
      </c>
      <c r="G3184">
        <v>2</v>
      </c>
      <c r="H3184">
        <v>649.99</v>
      </c>
    </row>
    <row r="3185" spans="1:8" x14ac:dyDescent="0.25">
      <c r="A3185">
        <v>17357825</v>
      </c>
      <c r="B3185">
        <v>0</v>
      </c>
      <c r="C3185">
        <v>0</v>
      </c>
      <c r="D3185">
        <v>1</v>
      </c>
      <c r="E3185">
        <v>2</v>
      </c>
      <c r="F3185">
        <v>2</v>
      </c>
      <c r="G3185">
        <v>11</v>
      </c>
      <c r="H3185">
        <v>699.99</v>
      </c>
    </row>
    <row r="3186" spans="1:8" x14ac:dyDescent="0.25">
      <c r="A3186">
        <v>17357826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2</v>
      </c>
      <c r="H3186">
        <v>0</v>
      </c>
    </row>
    <row r="3187" spans="1:8" x14ac:dyDescent="0.25">
      <c r="A3187">
        <v>17357828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11</v>
      </c>
      <c r="H3187">
        <v>0</v>
      </c>
    </row>
    <row r="3188" spans="1:8" x14ac:dyDescent="0.25">
      <c r="A3188">
        <v>17357829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3</v>
      </c>
      <c r="H3188">
        <v>0</v>
      </c>
    </row>
    <row r="3189" spans="1:8" x14ac:dyDescent="0.25">
      <c r="A3189">
        <v>17357830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6</v>
      </c>
      <c r="H3189">
        <v>0</v>
      </c>
    </row>
    <row r="3190" spans="1:8" x14ac:dyDescent="0.25">
      <c r="A3190">
        <v>17357835</v>
      </c>
      <c r="B3190">
        <v>2</v>
      </c>
      <c r="C3190">
        <v>0</v>
      </c>
      <c r="D3190">
        <v>0</v>
      </c>
      <c r="E3190">
        <v>0</v>
      </c>
      <c r="F3190">
        <v>1</v>
      </c>
      <c r="G3190">
        <v>2</v>
      </c>
      <c r="H3190">
        <v>0</v>
      </c>
    </row>
    <row r="3191" spans="1:8" x14ac:dyDescent="0.25">
      <c r="A3191">
        <v>17357836</v>
      </c>
      <c r="B3191">
        <v>0</v>
      </c>
      <c r="C3191">
        <v>0</v>
      </c>
      <c r="D3191">
        <v>0</v>
      </c>
      <c r="E3191">
        <v>0</v>
      </c>
      <c r="F3191">
        <v>2</v>
      </c>
      <c r="G3191">
        <v>3</v>
      </c>
      <c r="H3191">
        <v>0</v>
      </c>
    </row>
    <row r="3192" spans="1:8" x14ac:dyDescent="0.25">
      <c r="A3192">
        <v>17357839</v>
      </c>
      <c r="B3192">
        <v>0</v>
      </c>
      <c r="C3192">
        <v>0</v>
      </c>
      <c r="D3192">
        <v>0</v>
      </c>
      <c r="E3192">
        <v>1</v>
      </c>
      <c r="F3192">
        <v>1</v>
      </c>
      <c r="G3192">
        <v>1</v>
      </c>
      <c r="H3192">
        <v>0</v>
      </c>
    </row>
    <row r="3193" spans="1:8" x14ac:dyDescent="0.25">
      <c r="A3193">
        <v>17357848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1</v>
      </c>
      <c r="H3193">
        <v>0</v>
      </c>
    </row>
    <row r="3194" spans="1:8" x14ac:dyDescent="0.25">
      <c r="A3194">
        <v>17357850</v>
      </c>
      <c r="B3194">
        <v>0</v>
      </c>
      <c r="C3194">
        <v>0</v>
      </c>
      <c r="D3194">
        <v>0</v>
      </c>
      <c r="E3194">
        <v>0</v>
      </c>
      <c r="F3194">
        <v>1</v>
      </c>
      <c r="G3194">
        <v>2</v>
      </c>
      <c r="H3194">
        <v>0</v>
      </c>
    </row>
    <row r="3195" spans="1:8" x14ac:dyDescent="0.25">
      <c r="A3195">
        <v>17357852</v>
      </c>
      <c r="B3195">
        <v>-1</v>
      </c>
      <c r="C3195">
        <v>0</v>
      </c>
      <c r="D3195">
        <v>0</v>
      </c>
      <c r="E3195">
        <v>0</v>
      </c>
      <c r="F3195">
        <v>0</v>
      </c>
      <c r="G3195">
        <v>3</v>
      </c>
      <c r="H3195">
        <v>0</v>
      </c>
    </row>
    <row r="3196" spans="1:8" x14ac:dyDescent="0.25">
      <c r="A3196">
        <v>17357856</v>
      </c>
      <c r="B3196">
        <v>0</v>
      </c>
      <c r="C3196">
        <v>0</v>
      </c>
      <c r="D3196">
        <v>0</v>
      </c>
      <c r="E3196">
        <v>0</v>
      </c>
      <c r="F3196">
        <v>1</v>
      </c>
      <c r="G3196">
        <v>2</v>
      </c>
      <c r="H3196">
        <v>0</v>
      </c>
    </row>
    <row r="3197" spans="1:8" x14ac:dyDescent="0.25">
      <c r="A3197">
        <v>17357859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1</v>
      </c>
      <c r="H3197">
        <v>0</v>
      </c>
    </row>
    <row r="3198" spans="1:8" x14ac:dyDescent="0.25">
      <c r="A3198">
        <v>17357860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1</v>
      </c>
      <c r="H3198">
        <v>0</v>
      </c>
    </row>
    <row r="3199" spans="1:8" x14ac:dyDescent="0.25">
      <c r="A3199">
        <v>17357861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2</v>
      </c>
      <c r="H3199">
        <v>0</v>
      </c>
    </row>
    <row r="3200" spans="1:8" x14ac:dyDescent="0.25">
      <c r="A3200">
        <v>17357862</v>
      </c>
      <c r="B3200">
        <v>0</v>
      </c>
      <c r="C3200">
        <v>0</v>
      </c>
      <c r="D3200">
        <v>0</v>
      </c>
      <c r="E3200">
        <v>0</v>
      </c>
      <c r="F3200">
        <v>4</v>
      </c>
      <c r="G3200">
        <v>8</v>
      </c>
      <c r="H3200">
        <v>0</v>
      </c>
    </row>
    <row r="3201" spans="1:8" x14ac:dyDescent="0.25">
      <c r="A3201">
        <v>17357863</v>
      </c>
      <c r="B3201">
        <v>0</v>
      </c>
      <c r="C3201">
        <v>0</v>
      </c>
      <c r="D3201">
        <v>0</v>
      </c>
      <c r="E3201">
        <v>1</v>
      </c>
      <c r="F3201">
        <v>1</v>
      </c>
      <c r="G3201">
        <v>1</v>
      </c>
      <c r="H3201">
        <v>0</v>
      </c>
    </row>
    <row r="3202" spans="1:8" x14ac:dyDescent="0.25">
      <c r="A3202">
        <v>17357865</v>
      </c>
      <c r="B3202">
        <v>0</v>
      </c>
      <c r="C3202">
        <v>0</v>
      </c>
      <c r="D3202">
        <v>0</v>
      </c>
      <c r="E3202">
        <v>0</v>
      </c>
      <c r="F3202">
        <v>1</v>
      </c>
      <c r="G3202">
        <v>1</v>
      </c>
      <c r="H3202">
        <v>0</v>
      </c>
    </row>
    <row r="3203" spans="1:8" x14ac:dyDescent="0.25">
      <c r="A3203">
        <v>17357877</v>
      </c>
      <c r="B3203">
        <v>0</v>
      </c>
      <c r="C3203">
        <v>0</v>
      </c>
      <c r="D3203">
        <v>0</v>
      </c>
      <c r="E3203">
        <v>0</v>
      </c>
      <c r="F3203">
        <v>1</v>
      </c>
      <c r="G3203">
        <v>1</v>
      </c>
      <c r="H3203">
        <v>0</v>
      </c>
    </row>
    <row r="3204" spans="1:8" x14ac:dyDescent="0.25">
      <c r="A3204">
        <v>17357883</v>
      </c>
      <c r="B3204">
        <v>0</v>
      </c>
      <c r="C3204">
        <v>0</v>
      </c>
      <c r="D3204">
        <v>0</v>
      </c>
      <c r="E3204">
        <v>0</v>
      </c>
      <c r="F3204">
        <v>1</v>
      </c>
      <c r="G3204">
        <v>1</v>
      </c>
      <c r="H3204">
        <v>0</v>
      </c>
    </row>
    <row r="3205" spans="1:8" x14ac:dyDescent="0.25">
      <c r="A3205">
        <v>17357884</v>
      </c>
      <c r="B3205">
        <v>0</v>
      </c>
      <c r="C3205">
        <v>0</v>
      </c>
      <c r="D3205">
        <v>0</v>
      </c>
      <c r="E3205">
        <v>0</v>
      </c>
      <c r="F3205">
        <v>1</v>
      </c>
      <c r="G3205">
        <v>1</v>
      </c>
      <c r="H3205">
        <v>0</v>
      </c>
    </row>
    <row r="3206" spans="1:8" x14ac:dyDescent="0.25">
      <c r="A3206">
        <v>17357886</v>
      </c>
      <c r="B3206">
        <v>-1</v>
      </c>
      <c r="C3206">
        <v>0</v>
      </c>
      <c r="D3206">
        <v>0</v>
      </c>
      <c r="E3206">
        <v>0</v>
      </c>
      <c r="F3206">
        <v>2</v>
      </c>
      <c r="G3206">
        <v>3</v>
      </c>
      <c r="H3206">
        <v>0</v>
      </c>
    </row>
    <row r="3207" spans="1:8" x14ac:dyDescent="0.25">
      <c r="A3207">
        <v>17357887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1</v>
      </c>
      <c r="H3207">
        <v>0</v>
      </c>
    </row>
    <row r="3208" spans="1:8" x14ac:dyDescent="0.25">
      <c r="A3208">
        <v>17357899</v>
      </c>
      <c r="B3208">
        <v>0</v>
      </c>
      <c r="C3208">
        <v>0</v>
      </c>
      <c r="D3208">
        <v>0</v>
      </c>
      <c r="E3208">
        <v>0</v>
      </c>
      <c r="F3208">
        <v>1</v>
      </c>
      <c r="G3208">
        <v>1</v>
      </c>
      <c r="H3208">
        <v>0</v>
      </c>
    </row>
    <row r="3209" spans="1:8" x14ac:dyDescent="0.25">
      <c r="A3209">
        <v>17357904</v>
      </c>
      <c r="B3209">
        <v>0</v>
      </c>
      <c r="C3209">
        <v>0</v>
      </c>
      <c r="D3209">
        <v>0</v>
      </c>
      <c r="E3209">
        <v>0</v>
      </c>
      <c r="F3209">
        <v>1</v>
      </c>
      <c r="G3209">
        <v>1</v>
      </c>
      <c r="H3209">
        <v>0</v>
      </c>
    </row>
    <row r="3210" spans="1:8" x14ac:dyDescent="0.25">
      <c r="A3210">
        <v>17366266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1</v>
      </c>
      <c r="H3210">
        <v>0</v>
      </c>
    </row>
    <row r="3211" spans="1:8" x14ac:dyDescent="0.25">
      <c r="A3211">
        <v>17366269</v>
      </c>
      <c r="B3211">
        <v>-1</v>
      </c>
      <c r="C3211">
        <v>0</v>
      </c>
      <c r="D3211">
        <v>0</v>
      </c>
      <c r="E3211">
        <v>0</v>
      </c>
      <c r="F3211">
        <v>0</v>
      </c>
      <c r="G3211">
        <v>0</v>
      </c>
      <c r="H3211">
        <v>0</v>
      </c>
    </row>
    <row r="3212" spans="1:8" x14ac:dyDescent="0.25">
      <c r="A3212">
        <v>17366275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8</v>
      </c>
      <c r="H3212">
        <v>0</v>
      </c>
    </row>
    <row r="3213" spans="1:8" x14ac:dyDescent="0.25">
      <c r="A3213">
        <v>17366276</v>
      </c>
      <c r="B3213">
        <v>1</v>
      </c>
      <c r="C3213">
        <v>0</v>
      </c>
      <c r="D3213">
        <v>0</v>
      </c>
      <c r="E3213">
        <v>0</v>
      </c>
      <c r="F3213">
        <v>0</v>
      </c>
      <c r="G3213">
        <v>9</v>
      </c>
      <c r="H3213">
        <v>0</v>
      </c>
    </row>
    <row r="3214" spans="1:8" x14ac:dyDescent="0.25">
      <c r="A3214">
        <v>17366277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8</v>
      </c>
      <c r="H3214">
        <v>0</v>
      </c>
    </row>
    <row r="3215" spans="1:8" x14ac:dyDescent="0.25">
      <c r="A3215">
        <v>17366279</v>
      </c>
      <c r="B3215">
        <v>1</v>
      </c>
      <c r="C3215">
        <v>0</v>
      </c>
      <c r="D3215">
        <v>0</v>
      </c>
      <c r="E3215">
        <v>0</v>
      </c>
      <c r="F3215">
        <v>0</v>
      </c>
      <c r="G3215">
        <v>0</v>
      </c>
      <c r="H3215">
        <v>0</v>
      </c>
    </row>
    <row r="3216" spans="1:8" x14ac:dyDescent="0.25">
      <c r="A3216">
        <v>17366280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2</v>
      </c>
      <c r="H3216">
        <v>0</v>
      </c>
    </row>
    <row r="3217" spans="1:8" x14ac:dyDescent="0.25">
      <c r="A3217">
        <v>17366287</v>
      </c>
      <c r="B3217">
        <v>2</v>
      </c>
      <c r="C3217">
        <v>0</v>
      </c>
      <c r="D3217">
        <v>0</v>
      </c>
      <c r="E3217">
        <v>0</v>
      </c>
      <c r="F3217">
        <v>0</v>
      </c>
      <c r="G3217">
        <v>17</v>
      </c>
      <c r="H3217">
        <v>0</v>
      </c>
    </row>
    <row r="3218" spans="1:8" x14ac:dyDescent="0.25">
      <c r="A3218">
        <v>17366311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3</v>
      </c>
      <c r="H3218">
        <v>0</v>
      </c>
    </row>
    <row r="3219" spans="1:8" x14ac:dyDescent="0.25">
      <c r="A3219">
        <v>17366312</v>
      </c>
      <c r="B3219">
        <v>1</v>
      </c>
      <c r="C3219">
        <v>0</v>
      </c>
      <c r="D3219">
        <v>0</v>
      </c>
      <c r="E3219">
        <v>0</v>
      </c>
      <c r="F3219">
        <v>0</v>
      </c>
      <c r="G3219">
        <v>4</v>
      </c>
      <c r="H3219">
        <v>0</v>
      </c>
    </row>
    <row r="3220" spans="1:8" x14ac:dyDescent="0.25">
      <c r="A3220">
        <v>17366313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1</v>
      </c>
      <c r="H3220">
        <v>0</v>
      </c>
    </row>
    <row r="3221" spans="1:8" x14ac:dyDescent="0.25">
      <c r="A3221">
        <v>17366314</v>
      </c>
      <c r="B3221">
        <v>1</v>
      </c>
      <c r="C3221">
        <v>0</v>
      </c>
      <c r="D3221">
        <v>0</v>
      </c>
      <c r="E3221">
        <v>0</v>
      </c>
      <c r="F3221">
        <v>0</v>
      </c>
      <c r="G3221">
        <v>0</v>
      </c>
      <c r="H3221">
        <v>0</v>
      </c>
    </row>
    <row r="3222" spans="1:8" x14ac:dyDescent="0.25">
      <c r="A3222">
        <v>17366439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2</v>
      </c>
      <c r="H3222">
        <v>0</v>
      </c>
    </row>
    <row r="3223" spans="1:8" x14ac:dyDescent="0.25">
      <c r="A3223">
        <v>17366441</v>
      </c>
      <c r="B3223">
        <v>-1</v>
      </c>
      <c r="C3223">
        <v>0</v>
      </c>
      <c r="D3223">
        <v>0</v>
      </c>
      <c r="E3223">
        <v>0</v>
      </c>
      <c r="F3223">
        <v>0</v>
      </c>
      <c r="G3223">
        <v>0</v>
      </c>
      <c r="H3223">
        <v>0</v>
      </c>
    </row>
    <row r="3224" spans="1:8" x14ac:dyDescent="0.25">
      <c r="A3224">
        <v>17366442</v>
      </c>
      <c r="B3224">
        <v>1</v>
      </c>
      <c r="C3224">
        <v>0</v>
      </c>
      <c r="D3224">
        <v>0</v>
      </c>
      <c r="E3224">
        <v>0</v>
      </c>
      <c r="F3224">
        <v>0</v>
      </c>
      <c r="G3224">
        <v>0</v>
      </c>
      <c r="H3224">
        <v>0</v>
      </c>
    </row>
    <row r="3225" spans="1:8" x14ac:dyDescent="0.25">
      <c r="A3225">
        <v>17366450</v>
      </c>
      <c r="B3225">
        <v>2</v>
      </c>
      <c r="C3225">
        <v>0</v>
      </c>
      <c r="D3225">
        <v>0</v>
      </c>
      <c r="E3225">
        <v>0</v>
      </c>
      <c r="F3225">
        <v>0</v>
      </c>
      <c r="G3225">
        <v>0</v>
      </c>
      <c r="H3225">
        <v>0</v>
      </c>
    </row>
    <row r="3226" spans="1:8" x14ac:dyDescent="0.25">
      <c r="A3226">
        <v>17366452</v>
      </c>
      <c r="B3226">
        <v>1</v>
      </c>
      <c r="C3226">
        <v>0</v>
      </c>
      <c r="D3226">
        <v>0</v>
      </c>
      <c r="E3226">
        <v>0</v>
      </c>
      <c r="F3226">
        <v>0</v>
      </c>
      <c r="G3226">
        <v>3</v>
      </c>
      <c r="H3226">
        <v>0</v>
      </c>
    </row>
    <row r="3227" spans="1:8" x14ac:dyDescent="0.25">
      <c r="A3227">
        <v>17366453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  <c r="H3227">
        <v>0</v>
      </c>
    </row>
    <row r="3228" spans="1:8" x14ac:dyDescent="0.25">
      <c r="A3228">
        <v>17366454</v>
      </c>
      <c r="B3228">
        <v>2</v>
      </c>
      <c r="C3228">
        <v>0</v>
      </c>
      <c r="D3228">
        <v>0</v>
      </c>
      <c r="E3228">
        <v>0</v>
      </c>
      <c r="F3228">
        <v>0</v>
      </c>
      <c r="G3228">
        <v>11</v>
      </c>
      <c r="H3228">
        <v>0</v>
      </c>
    </row>
    <row r="3229" spans="1:8" x14ac:dyDescent="0.25">
      <c r="A3229">
        <v>17366455</v>
      </c>
      <c r="B3229">
        <v>6</v>
      </c>
      <c r="C3229">
        <v>0</v>
      </c>
      <c r="D3229">
        <v>0</v>
      </c>
      <c r="E3229">
        <v>0</v>
      </c>
      <c r="F3229">
        <v>0</v>
      </c>
      <c r="G3229">
        <v>9</v>
      </c>
      <c r="H3229">
        <v>0</v>
      </c>
    </row>
    <row r="3230" spans="1:8" x14ac:dyDescent="0.25">
      <c r="A3230">
        <v>17366456</v>
      </c>
      <c r="B3230">
        <v>2</v>
      </c>
      <c r="C3230">
        <v>0</v>
      </c>
      <c r="D3230">
        <v>0</v>
      </c>
      <c r="E3230">
        <v>0</v>
      </c>
      <c r="F3230">
        <v>0</v>
      </c>
      <c r="G3230">
        <v>8</v>
      </c>
      <c r="H3230">
        <v>0</v>
      </c>
    </row>
    <row r="3231" spans="1:8" x14ac:dyDescent="0.25">
      <c r="A3231">
        <v>17366457</v>
      </c>
      <c r="B3231">
        <v>6</v>
      </c>
      <c r="C3231">
        <v>0</v>
      </c>
      <c r="D3231">
        <v>0</v>
      </c>
      <c r="E3231">
        <v>0</v>
      </c>
      <c r="F3231">
        <v>0</v>
      </c>
      <c r="G3231">
        <v>26</v>
      </c>
      <c r="H3231">
        <v>0</v>
      </c>
    </row>
    <row r="3232" spans="1:8" x14ac:dyDescent="0.25">
      <c r="A3232">
        <v>17366458</v>
      </c>
      <c r="B3232">
        <v>5</v>
      </c>
      <c r="C3232">
        <v>0</v>
      </c>
      <c r="D3232">
        <v>0</v>
      </c>
      <c r="E3232">
        <v>0</v>
      </c>
      <c r="F3232">
        <v>0</v>
      </c>
      <c r="G3232">
        <v>5</v>
      </c>
      <c r="H3232">
        <v>0</v>
      </c>
    </row>
    <row r="3233" spans="1:8" x14ac:dyDescent="0.25">
      <c r="A3233">
        <v>17366459</v>
      </c>
      <c r="B3233">
        <v>-2</v>
      </c>
      <c r="C3233">
        <v>0</v>
      </c>
      <c r="D3233">
        <v>0</v>
      </c>
      <c r="E3233">
        <v>0</v>
      </c>
      <c r="F3233">
        <v>0</v>
      </c>
      <c r="G3233">
        <v>18</v>
      </c>
      <c r="H3233">
        <v>0</v>
      </c>
    </row>
    <row r="3234" spans="1:8" x14ac:dyDescent="0.25">
      <c r="A3234">
        <v>17366460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3</v>
      </c>
      <c r="H3234">
        <v>0</v>
      </c>
    </row>
    <row r="3235" spans="1:8" x14ac:dyDescent="0.25">
      <c r="A3235">
        <v>17366461</v>
      </c>
      <c r="B3235">
        <v>2</v>
      </c>
      <c r="C3235">
        <v>0</v>
      </c>
      <c r="D3235">
        <v>0</v>
      </c>
      <c r="E3235">
        <v>0</v>
      </c>
      <c r="F3235">
        <v>0</v>
      </c>
      <c r="G3235">
        <v>11</v>
      </c>
      <c r="H3235">
        <v>0</v>
      </c>
    </row>
    <row r="3236" spans="1:8" x14ac:dyDescent="0.25">
      <c r="A3236">
        <v>17366462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1</v>
      </c>
      <c r="H3236">
        <v>0</v>
      </c>
    </row>
    <row r="3237" spans="1:8" x14ac:dyDescent="0.25">
      <c r="A3237">
        <v>17366464</v>
      </c>
      <c r="B3237">
        <v>-1</v>
      </c>
      <c r="C3237">
        <v>0</v>
      </c>
      <c r="D3237">
        <v>0</v>
      </c>
      <c r="E3237">
        <v>0</v>
      </c>
      <c r="F3237">
        <v>1</v>
      </c>
      <c r="G3237">
        <v>8</v>
      </c>
      <c r="H3237">
        <v>0</v>
      </c>
    </row>
    <row r="3238" spans="1:8" x14ac:dyDescent="0.25">
      <c r="A3238">
        <v>17366467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1</v>
      </c>
      <c r="H3238">
        <v>0</v>
      </c>
    </row>
    <row r="3239" spans="1:8" x14ac:dyDescent="0.25">
      <c r="A3239">
        <v>17366473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1</v>
      </c>
      <c r="H3239">
        <v>0</v>
      </c>
    </row>
    <row r="3240" spans="1:8" x14ac:dyDescent="0.25">
      <c r="A3240">
        <v>17366478</v>
      </c>
      <c r="B3240">
        <v>1</v>
      </c>
      <c r="C3240">
        <v>0</v>
      </c>
      <c r="D3240">
        <v>0</v>
      </c>
      <c r="E3240">
        <v>0</v>
      </c>
      <c r="F3240">
        <v>0</v>
      </c>
      <c r="G3240">
        <v>3</v>
      </c>
      <c r="H3240">
        <v>0</v>
      </c>
    </row>
    <row r="3241" spans="1:8" x14ac:dyDescent="0.25">
      <c r="A3241">
        <v>17366479</v>
      </c>
      <c r="B3241">
        <v>1</v>
      </c>
      <c r="C3241">
        <v>0</v>
      </c>
      <c r="D3241">
        <v>0</v>
      </c>
      <c r="E3241">
        <v>0</v>
      </c>
      <c r="F3241">
        <v>0</v>
      </c>
      <c r="G3241">
        <v>17</v>
      </c>
      <c r="H3241">
        <v>0</v>
      </c>
    </row>
    <row r="3242" spans="1:8" x14ac:dyDescent="0.25">
      <c r="A3242">
        <v>17366483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3</v>
      </c>
      <c r="H3242">
        <v>0</v>
      </c>
    </row>
    <row r="3243" spans="1:8" x14ac:dyDescent="0.25">
      <c r="A3243">
        <v>17366487</v>
      </c>
      <c r="B3243">
        <v>1</v>
      </c>
      <c r="C3243">
        <v>0</v>
      </c>
      <c r="D3243">
        <v>0</v>
      </c>
      <c r="E3243">
        <v>0</v>
      </c>
      <c r="F3243">
        <v>0</v>
      </c>
      <c r="G3243">
        <v>1</v>
      </c>
      <c r="H3243">
        <v>0</v>
      </c>
    </row>
    <row r="3244" spans="1:8" x14ac:dyDescent="0.25">
      <c r="A3244">
        <v>17366489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3</v>
      </c>
      <c r="H3244">
        <v>0</v>
      </c>
    </row>
    <row r="3245" spans="1:8" x14ac:dyDescent="0.25">
      <c r="A3245">
        <v>17366623</v>
      </c>
      <c r="B3245">
        <v>5</v>
      </c>
      <c r="C3245">
        <v>0</v>
      </c>
      <c r="D3245">
        <v>0</v>
      </c>
      <c r="E3245">
        <v>0</v>
      </c>
      <c r="F3245">
        <v>4</v>
      </c>
      <c r="G3245">
        <v>13</v>
      </c>
      <c r="H3245">
        <v>0</v>
      </c>
    </row>
    <row r="3246" spans="1:8" x14ac:dyDescent="0.25">
      <c r="A3246">
        <v>17366624</v>
      </c>
      <c r="B3246">
        <v>90</v>
      </c>
      <c r="C3246">
        <v>3</v>
      </c>
      <c r="D3246">
        <v>2</v>
      </c>
      <c r="E3246">
        <v>9</v>
      </c>
      <c r="F3246">
        <v>50</v>
      </c>
      <c r="G3246">
        <v>148</v>
      </c>
      <c r="H3246">
        <v>620.38</v>
      </c>
    </row>
    <row r="3247" spans="1:8" x14ac:dyDescent="0.25">
      <c r="A3247">
        <v>17366625</v>
      </c>
      <c r="B3247">
        <v>2</v>
      </c>
      <c r="C3247">
        <v>2</v>
      </c>
      <c r="D3247">
        <v>0</v>
      </c>
      <c r="E3247">
        <v>0</v>
      </c>
      <c r="F3247">
        <v>6</v>
      </c>
      <c r="G3247">
        <v>13</v>
      </c>
      <c r="H3247">
        <v>0</v>
      </c>
    </row>
    <row r="3248" spans="1:8" x14ac:dyDescent="0.25">
      <c r="A3248">
        <v>17366626</v>
      </c>
      <c r="B3248">
        <v>106</v>
      </c>
      <c r="C3248">
        <v>11</v>
      </c>
      <c r="D3248">
        <v>6</v>
      </c>
      <c r="E3248">
        <v>16</v>
      </c>
      <c r="F3248">
        <v>88</v>
      </c>
      <c r="G3248">
        <v>223</v>
      </c>
      <c r="H3248">
        <v>874.85170000000005</v>
      </c>
    </row>
    <row r="3249" spans="1:8" x14ac:dyDescent="0.25">
      <c r="A3249">
        <v>17366635</v>
      </c>
      <c r="B3249">
        <v>1</v>
      </c>
      <c r="C3249">
        <v>0</v>
      </c>
      <c r="D3249">
        <v>0</v>
      </c>
      <c r="E3249">
        <v>1</v>
      </c>
      <c r="F3249">
        <v>1</v>
      </c>
      <c r="G3249">
        <v>1</v>
      </c>
      <c r="H3249">
        <v>0</v>
      </c>
    </row>
    <row r="3250" spans="1:8" x14ac:dyDescent="0.25">
      <c r="A3250">
        <v>17366636</v>
      </c>
      <c r="B3250">
        <v>3</v>
      </c>
      <c r="C3250">
        <v>0</v>
      </c>
      <c r="D3250">
        <v>0</v>
      </c>
      <c r="E3250">
        <v>0</v>
      </c>
      <c r="F3250">
        <v>0</v>
      </c>
      <c r="G3250">
        <v>0</v>
      </c>
      <c r="H3250">
        <v>0</v>
      </c>
    </row>
    <row r="3251" spans="1:8" x14ac:dyDescent="0.25">
      <c r="A3251">
        <v>17366867</v>
      </c>
      <c r="B3251">
        <v>1</v>
      </c>
      <c r="C3251">
        <v>0</v>
      </c>
      <c r="D3251">
        <v>0</v>
      </c>
      <c r="E3251">
        <v>1</v>
      </c>
      <c r="F3251">
        <v>7</v>
      </c>
      <c r="G3251">
        <v>39</v>
      </c>
      <c r="H3251">
        <v>0</v>
      </c>
    </row>
    <row r="3252" spans="1:8" x14ac:dyDescent="0.25">
      <c r="A3252">
        <v>17366870</v>
      </c>
      <c r="B3252">
        <v>1</v>
      </c>
      <c r="C3252">
        <v>0</v>
      </c>
      <c r="D3252">
        <v>0</v>
      </c>
      <c r="E3252">
        <v>0</v>
      </c>
      <c r="F3252">
        <v>0</v>
      </c>
      <c r="G3252">
        <v>0</v>
      </c>
      <c r="H3252">
        <v>0</v>
      </c>
    </row>
    <row r="3253" spans="1:8" x14ac:dyDescent="0.25">
      <c r="A3253">
        <v>17366871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  <c r="H3253">
        <v>0</v>
      </c>
    </row>
    <row r="3254" spans="1:8" x14ac:dyDescent="0.25">
      <c r="A3254">
        <v>17367265</v>
      </c>
      <c r="B3254">
        <v>2</v>
      </c>
      <c r="C3254">
        <v>0</v>
      </c>
      <c r="D3254">
        <v>0</v>
      </c>
      <c r="E3254">
        <v>0</v>
      </c>
      <c r="F3254">
        <v>2</v>
      </c>
      <c r="G3254">
        <v>27</v>
      </c>
      <c r="H3254">
        <v>0</v>
      </c>
    </row>
    <row r="3255" spans="1:8" x14ac:dyDescent="0.25">
      <c r="A3255">
        <v>17373541</v>
      </c>
      <c r="B3255">
        <v>1</v>
      </c>
      <c r="C3255">
        <v>1</v>
      </c>
      <c r="D3255">
        <v>0</v>
      </c>
      <c r="E3255">
        <v>0</v>
      </c>
      <c r="F3255">
        <v>0</v>
      </c>
      <c r="G3255">
        <v>0</v>
      </c>
      <c r="H3255">
        <v>0</v>
      </c>
    </row>
    <row r="3256" spans="1:8" x14ac:dyDescent="0.25">
      <c r="A3256">
        <v>17373918</v>
      </c>
      <c r="B3256">
        <v>14</v>
      </c>
      <c r="C3256">
        <v>0</v>
      </c>
      <c r="D3256">
        <v>1</v>
      </c>
      <c r="E3256">
        <v>13</v>
      </c>
      <c r="F3256">
        <v>80</v>
      </c>
      <c r="G3256">
        <v>224</v>
      </c>
      <c r="H3256">
        <v>408</v>
      </c>
    </row>
    <row r="3257" spans="1:8" x14ac:dyDescent="0.25">
      <c r="A3257">
        <v>17373919</v>
      </c>
      <c r="B3257">
        <v>65</v>
      </c>
      <c r="C3257">
        <v>0</v>
      </c>
      <c r="D3257">
        <v>3</v>
      </c>
      <c r="E3257">
        <v>34</v>
      </c>
      <c r="F3257">
        <v>334</v>
      </c>
      <c r="G3257">
        <v>928</v>
      </c>
      <c r="H3257">
        <v>515.07330000000002</v>
      </c>
    </row>
    <row r="3258" spans="1:8" x14ac:dyDescent="0.25">
      <c r="A3258">
        <v>17373920</v>
      </c>
      <c r="B3258">
        <v>17</v>
      </c>
      <c r="C3258">
        <v>0</v>
      </c>
      <c r="D3258">
        <v>0</v>
      </c>
      <c r="E3258">
        <v>7</v>
      </c>
      <c r="F3258">
        <v>38</v>
      </c>
      <c r="G3258">
        <v>105</v>
      </c>
      <c r="H3258">
        <v>0</v>
      </c>
    </row>
    <row r="3259" spans="1:8" x14ac:dyDescent="0.25">
      <c r="A3259">
        <v>17373921</v>
      </c>
      <c r="B3259">
        <v>9</v>
      </c>
      <c r="C3259">
        <v>0</v>
      </c>
      <c r="D3259">
        <v>3</v>
      </c>
      <c r="E3259">
        <v>16</v>
      </c>
      <c r="F3259">
        <v>65</v>
      </c>
      <c r="G3259">
        <v>194</v>
      </c>
      <c r="H3259">
        <v>544</v>
      </c>
    </row>
    <row r="3260" spans="1:8" x14ac:dyDescent="0.25">
      <c r="A3260">
        <v>17373922</v>
      </c>
      <c r="B3260">
        <v>40</v>
      </c>
      <c r="C3260">
        <v>0</v>
      </c>
      <c r="D3260">
        <v>4</v>
      </c>
      <c r="E3260">
        <v>10</v>
      </c>
      <c r="F3260">
        <v>151</v>
      </c>
      <c r="G3260">
        <v>415</v>
      </c>
      <c r="H3260">
        <v>518.05999999999995</v>
      </c>
    </row>
    <row r="3261" spans="1:8" x14ac:dyDescent="0.25">
      <c r="A3261">
        <v>17373923</v>
      </c>
      <c r="B3261">
        <v>2322</v>
      </c>
      <c r="C3261">
        <v>325</v>
      </c>
      <c r="D3261">
        <v>201</v>
      </c>
      <c r="E3261">
        <v>761</v>
      </c>
      <c r="F3261">
        <v>2687</v>
      </c>
      <c r="G3261">
        <v>7602</v>
      </c>
      <c r="H3261">
        <v>118.98050000000001</v>
      </c>
    </row>
    <row r="3262" spans="1:8" x14ac:dyDescent="0.25">
      <c r="A3262">
        <v>17373924</v>
      </c>
      <c r="B3262">
        <v>2247</v>
      </c>
      <c r="C3262">
        <v>320</v>
      </c>
      <c r="D3262">
        <v>203</v>
      </c>
      <c r="E3262">
        <v>835</v>
      </c>
      <c r="F3262">
        <v>3008</v>
      </c>
      <c r="G3262">
        <v>7900</v>
      </c>
      <c r="H3262">
        <v>168.0436</v>
      </c>
    </row>
    <row r="3263" spans="1:8" x14ac:dyDescent="0.25">
      <c r="A3263">
        <v>17373939</v>
      </c>
      <c r="B3263">
        <v>33</v>
      </c>
      <c r="C3263">
        <v>0</v>
      </c>
      <c r="D3263">
        <v>1</v>
      </c>
      <c r="E3263">
        <v>2</v>
      </c>
      <c r="F3263">
        <v>34</v>
      </c>
      <c r="G3263">
        <v>203</v>
      </c>
      <c r="H3263">
        <v>414.99</v>
      </c>
    </row>
    <row r="3264" spans="1:8" x14ac:dyDescent="0.25">
      <c r="A3264">
        <v>17373940</v>
      </c>
      <c r="B3264">
        <v>85</v>
      </c>
      <c r="C3264">
        <v>0</v>
      </c>
      <c r="D3264">
        <v>14</v>
      </c>
      <c r="E3264">
        <v>27</v>
      </c>
      <c r="F3264">
        <v>78</v>
      </c>
      <c r="G3264">
        <v>183</v>
      </c>
      <c r="H3264">
        <v>317.6429</v>
      </c>
    </row>
    <row r="3265" spans="1:8" x14ac:dyDescent="0.25">
      <c r="A3265">
        <v>17373941</v>
      </c>
      <c r="B3265">
        <v>58</v>
      </c>
      <c r="C3265">
        <v>0</v>
      </c>
      <c r="D3265">
        <v>1</v>
      </c>
      <c r="E3265">
        <v>4</v>
      </c>
      <c r="F3265">
        <v>18</v>
      </c>
      <c r="G3265">
        <v>76</v>
      </c>
      <c r="H3265">
        <v>319.99</v>
      </c>
    </row>
    <row r="3266" spans="1:8" x14ac:dyDescent="0.25">
      <c r="A3266">
        <v>17373943</v>
      </c>
      <c r="B3266">
        <v>118</v>
      </c>
      <c r="C3266">
        <v>8</v>
      </c>
      <c r="D3266">
        <v>3</v>
      </c>
      <c r="E3266">
        <v>9</v>
      </c>
      <c r="F3266">
        <v>68</v>
      </c>
      <c r="G3266">
        <v>199</v>
      </c>
      <c r="H3266">
        <v>20.746700000000001</v>
      </c>
    </row>
    <row r="3267" spans="1:8" x14ac:dyDescent="0.25">
      <c r="A3267">
        <v>17373944</v>
      </c>
      <c r="B3267">
        <v>204</v>
      </c>
      <c r="C3267">
        <v>40</v>
      </c>
      <c r="D3267">
        <v>13</v>
      </c>
      <c r="E3267">
        <v>35</v>
      </c>
      <c r="F3267">
        <v>130</v>
      </c>
      <c r="G3267">
        <v>360</v>
      </c>
      <c r="H3267">
        <v>23.49</v>
      </c>
    </row>
    <row r="3268" spans="1:8" x14ac:dyDescent="0.25">
      <c r="A3268">
        <v>17373945</v>
      </c>
      <c r="B3268">
        <v>59</v>
      </c>
      <c r="C3268">
        <v>40</v>
      </c>
      <c r="D3268">
        <v>5</v>
      </c>
      <c r="E3268">
        <v>10</v>
      </c>
      <c r="F3268">
        <v>66</v>
      </c>
      <c r="G3268">
        <v>148</v>
      </c>
      <c r="H3268">
        <v>44.357999999999997</v>
      </c>
    </row>
    <row r="3269" spans="1:8" x14ac:dyDescent="0.25">
      <c r="A3269">
        <v>17373946</v>
      </c>
      <c r="B3269">
        <v>36</v>
      </c>
      <c r="C3269">
        <v>0</v>
      </c>
      <c r="D3269">
        <v>3</v>
      </c>
      <c r="E3269">
        <v>9</v>
      </c>
      <c r="F3269">
        <v>17</v>
      </c>
      <c r="G3269">
        <v>39</v>
      </c>
      <c r="H3269">
        <v>20.38</v>
      </c>
    </row>
    <row r="3270" spans="1:8" x14ac:dyDescent="0.25">
      <c r="A3270">
        <v>17373947</v>
      </c>
      <c r="B3270">
        <v>30</v>
      </c>
      <c r="C3270">
        <v>0</v>
      </c>
      <c r="D3270">
        <v>3</v>
      </c>
      <c r="E3270">
        <v>4</v>
      </c>
      <c r="F3270">
        <v>9</v>
      </c>
      <c r="G3270">
        <v>27</v>
      </c>
      <c r="H3270">
        <v>19.97</v>
      </c>
    </row>
    <row r="3271" spans="1:8" x14ac:dyDescent="0.25">
      <c r="A3271">
        <v>17373948</v>
      </c>
      <c r="B3271">
        <v>42</v>
      </c>
      <c r="C3271">
        <v>0</v>
      </c>
      <c r="D3271">
        <v>0</v>
      </c>
      <c r="E3271">
        <v>1</v>
      </c>
      <c r="F3271">
        <v>10</v>
      </c>
      <c r="G3271">
        <v>39</v>
      </c>
      <c r="H3271">
        <v>0</v>
      </c>
    </row>
    <row r="3272" spans="1:8" x14ac:dyDescent="0.25">
      <c r="A3272">
        <v>17373949</v>
      </c>
      <c r="B3272">
        <v>40</v>
      </c>
      <c r="C3272">
        <v>0</v>
      </c>
      <c r="D3272">
        <v>2</v>
      </c>
      <c r="E3272">
        <v>5</v>
      </c>
      <c r="F3272">
        <v>16</v>
      </c>
      <c r="G3272">
        <v>51</v>
      </c>
      <c r="H3272">
        <v>49.99</v>
      </c>
    </row>
    <row r="3273" spans="1:8" x14ac:dyDescent="0.25">
      <c r="A3273">
        <v>17373950</v>
      </c>
      <c r="B3273">
        <v>21</v>
      </c>
      <c r="C3273">
        <v>0</v>
      </c>
      <c r="D3273">
        <v>1</v>
      </c>
      <c r="E3273">
        <v>2</v>
      </c>
      <c r="F3273">
        <v>6</v>
      </c>
      <c r="G3273">
        <v>31</v>
      </c>
      <c r="H3273">
        <v>29.97</v>
      </c>
    </row>
    <row r="3274" spans="1:8" x14ac:dyDescent="0.25">
      <c r="A3274">
        <v>17373951</v>
      </c>
      <c r="B3274">
        <v>18</v>
      </c>
      <c r="C3274">
        <v>0</v>
      </c>
      <c r="D3274">
        <v>0</v>
      </c>
      <c r="E3274">
        <v>1</v>
      </c>
      <c r="F3274">
        <v>9</v>
      </c>
      <c r="G3274">
        <v>30</v>
      </c>
      <c r="H3274">
        <v>0</v>
      </c>
    </row>
    <row r="3275" spans="1:8" x14ac:dyDescent="0.25">
      <c r="A3275">
        <v>17374954</v>
      </c>
      <c r="B3275">
        <v>259</v>
      </c>
      <c r="C3275">
        <v>24</v>
      </c>
      <c r="D3275">
        <v>3</v>
      </c>
      <c r="E3275">
        <v>17</v>
      </c>
      <c r="F3275">
        <v>67</v>
      </c>
      <c r="G3275">
        <v>161</v>
      </c>
      <c r="H3275">
        <v>253.33330000000001</v>
      </c>
    </row>
    <row r="3276" spans="1:8" x14ac:dyDescent="0.25">
      <c r="A3276">
        <v>17374955</v>
      </c>
      <c r="B3276">
        <v>123</v>
      </c>
      <c r="C3276">
        <v>0</v>
      </c>
      <c r="D3276">
        <v>1</v>
      </c>
      <c r="E3276">
        <v>8</v>
      </c>
      <c r="F3276">
        <v>34</v>
      </c>
      <c r="G3276">
        <v>104</v>
      </c>
      <c r="H3276">
        <v>269</v>
      </c>
    </row>
    <row r="3277" spans="1:8" x14ac:dyDescent="0.25">
      <c r="A3277">
        <v>17374957</v>
      </c>
      <c r="B3277">
        <v>5</v>
      </c>
      <c r="C3277">
        <v>0</v>
      </c>
      <c r="D3277">
        <v>0</v>
      </c>
      <c r="E3277">
        <v>0</v>
      </c>
      <c r="F3277">
        <v>4</v>
      </c>
      <c r="G3277">
        <v>5</v>
      </c>
      <c r="H3277">
        <v>0</v>
      </c>
    </row>
    <row r="3278" spans="1:8" x14ac:dyDescent="0.25">
      <c r="A3278">
        <v>17374958</v>
      </c>
      <c r="B3278">
        <v>0</v>
      </c>
      <c r="C3278">
        <v>48</v>
      </c>
      <c r="D3278">
        <v>0</v>
      </c>
      <c r="E3278">
        <v>0</v>
      </c>
      <c r="F3278">
        <v>1</v>
      </c>
      <c r="G3278">
        <v>52</v>
      </c>
      <c r="H3278">
        <v>0</v>
      </c>
    </row>
    <row r="3279" spans="1:8" x14ac:dyDescent="0.25">
      <c r="A3279">
        <v>17374959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1</v>
      </c>
      <c r="H3279">
        <v>0</v>
      </c>
    </row>
    <row r="3280" spans="1:8" x14ac:dyDescent="0.25">
      <c r="A3280">
        <v>17374960</v>
      </c>
      <c r="B3280">
        <v>1</v>
      </c>
      <c r="C3280">
        <v>24</v>
      </c>
      <c r="D3280">
        <v>0</v>
      </c>
      <c r="E3280">
        <v>0</v>
      </c>
      <c r="F3280">
        <v>0</v>
      </c>
      <c r="G3280">
        <v>14</v>
      </c>
      <c r="H3280">
        <v>0</v>
      </c>
    </row>
    <row r="3281" spans="1:8" x14ac:dyDescent="0.25">
      <c r="A3281">
        <v>17374961</v>
      </c>
      <c r="B3281">
        <v>0</v>
      </c>
      <c r="C3281">
        <v>0</v>
      </c>
      <c r="D3281">
        <v>0</v>
      </c>
      <c r="E3281">
        <v>0</v>
      </c>
      <c r="F3281">
        <v>2</v>
      </c>
      <c r="G3281">
        <v>6</v>
      </c>
      <c r="H3281">
        <v>0</v>
      </c>
    </row>
    <row r="3282" spans="1:8" x14ac:dyDescent="0.25">
      <c r="A3282">
        <v>17374962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  <c r="H3282">
        <v>0</v>
      </c>
    </row>
    <row r="3283" spans="1:8" x14ac:dyDescent="0.25">
      <c r="A3283">
        <v>17377633</v>
      </c>
      <c r="B3283">
        <v>3</v>
      </c>
      <c r="C3283">
        <v>0</v>
      </c>
      <c r="D3283">
        <v>1</v>
      </c>
      <c r="E3283">
        <v>1</v>
      </c>
      <c r="F3283">
        <v>8</v>
      </c>
      <c r="G3283">
        <v>57</v>
      </c>
      <c r="H3283">
        <v>349.99</v>
      </c>
    </row>
    <row r="3284" spans="1:8" x14ac:dyDescent="0.25">
      <c r="A3284">
        <v>17377835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8</v>
      </c>
      <c r="H3284">
        <v>0</v>
      </c>
    </row>
    <row r="3285" spans="1:8" x14ac:dyDescent="0.25">
      <c r="A3285">
        <v>17377905</v>
      </c>
      <c r="B3285">
        <v>150</v>
      </c>
      <c r="C3285">
        <v>60</v>
      </c>
      <c r="D3285">
        <v>17</v>
      </c>
      <c r="E3285">
        <v>73</v>
      </c>
      <c r="F3285">
        <v>241</v>
      </c>
      <c r="G3285">
        <v>470</v>
      </c>
      <c r="H3285">
        <v>29.519400000000001</v>
      </c>
    </row>
    <row r="3286" spans="1:8" x14ac:dyDescent="0.25">
      <c r="A3286">
        <v>17377906</v>
      </c>
      <c r="B3286">
        <v>72</v>
      </c>
      <c r="C3286">
        <v>5</v>
      </c>
      <c r="D3286">
        <v>0</v>
      </c>
      <c r="E3286">
        <v>7</v>
      </c>
      <c r="F3286">
        <v>34</v>
      </c>
      <c r="G3286">
        <v>93</v>
      </c>
      <c r="H3286">
        <v>0</v>
      </c>
    </row>
    <row r="3287" spans="1:8" x14ac:dyDescent="0.25">
      <c r="A3287">
        <v>17377907</v>
      </c>
      <c r="B3287">
        <v>65</v>
      </c>
      <c r="C3287">
        <v>10</v>
      </c>
      <c r="D3287">
        <v>5</v>
      </c>
      <c r="E3287">
        <v>15</v>
      </c>
      <c r="F3287">
        <v>49</v>
      </c>
      <c r="G3287">
        <v>119</v>
      </c>
      <c r="H3287">
        <v>26.437999999999999</v>
      </c>
    </row>
    <row r="3288" spans="1:8" x14ac:dyDescent="0.25">
      <c r="A3288">
        <v>17377908</v>
      </c>
      <c r="B3288">
        <v>59</v>
      </c>
      <c r="C3288">
        <v>0</v>
      </c>
      <c r="D3288">
        <v>4</v>
      </c>
      <c r="E3288">
        <v>17</v>
      </c>
      <c r="F3288">
        <v>47</v>
      </c>
      <c r="G3288">
        <v>104</v>
      </c>
      <c r="H3288">
        <v>26.86</v>
      </c>
    </row>
    <row r="3289" spans="1:8" x14ac:dyDescent="0.25">
      <c r="A3289">
        <v>17387592</v>
      </c>
      <c r="B3289">
        <v>0</v>
      </c>
      <c r="C3289">
        <v>0</v>
      </c>
      <c r="D3289">
        <v>0</v>
      </c>
      <c r="E3289">
        <v>0</v>
      </c>
      <c r="F3289">
        <v>2</v>
      </c>
      <c r="G3289">
        <v>36</v>
      </c>
      <c r="H3289">
        <v>0</v>
      </c>
    </row>
    <row r="3290" spans="1:8" x14ac:dyDescent="0.25">
      <c r="A3290">
        <v>17387608</v>
      </c>
      <c r="B3290">
        <v>36</v>
      </c>
      <c r="C3290">
        <v>0</v>
      </c>
      <c r="D3290">
        <v>11</v>
      </c>
      <c r="E3290">
        <v>57</v>
      </c>
      <c r="F3290">
        <v>371</v>
      </c>
      <c r="G3290">
        <v>959</v>
      </c>
      <c r="H3290">
        <v>13.9664</v>
      </c>
    </row>
    <row r="3291" spans="1:8" x14ac:dyDescent="0.25">
      <c r="A3291">
        <v>17387609</v>
      </c>
      <c r="B3291">
        <v>39</v>
      </c>
      <c r="C3291">
        <v>0</v>
      </c>
      <c r="D3291">
        <v>8</v>
      </c>
      <c r="E3291">
        <v>53</v>
      </c>
      <c r="F3291">
        <v>382</v>
      </c>
      <c r="G3291">
        <v>975</v>
      </c>
      <c r="H3291">
        <v>22.702500000000001</v>
      </c>
    </row>
    <row r="3292" spans="1:8" x14ac:dyDescent="0.25">
      <c r="A3292">
        <v>17387612</v>
      </c>
      <c r="B3292">
        <v>98</v>
      </c>
      <c r="C3292">
        <v>0</v>
      </c>
      <c r="D3292">
        <v>34</v>
      </c>
      <c r="E3292">
        <v>140</v>
      </c>
      <c r="F3292">
        <v>546</v>
      </c>
      <c r="G3292">
        <v>945</v>
      </c>
      <c r="H3292">
        <v>8.7937999999999992</v>
      </c>
    </row>
    <row r="3293" spans="1:8" x14ac:dyDescent="0.25">
      <c r="A3293">
        <v>17387613</v>
      </c>
      <c r="B3293">
        <v>172</v>
      </c>
      <c r="C3293">
        <v>0</v>
      </c>
      <c r="D3293">
        <v>32</v>
      </c>
      <c r="E3293">
        <v>144</v>
      </c>
      <c r="F3293">
        <v>449</v>
      </c>
      <c r="G3293">
        <v>796</v>
      </c>
      <c r="H3293">
        <v>10.4072</v>
      </c>
    </row>
    <row r="3294" spans="1:8" x14ac:dyDescent="0.25">
      <c r="A3294">
        <v>17387614</v>
      </c>
      <c r="B3294">
        <v>174</v>
      </c>
      <c r="C3294">
        <v>0</v>
      </c>
      <c r="D3294">
        <v>25</v>
      </c>
      <c r="E3294">
        <v>109</v>
      </c>
      <c r="F3294">
        <v>277</v>
      </c>
      <c r="G3294">
        <v>428</v>
      </c>
      <c r="H3294">
        <v>17.527200000000001</v>
      </c>
    </row>
    <row r="3295" spans="1:8" x14ac:dyDescent="0.25">
      <c r="A3295">
        <v>17387615</v>
      </c>
      <c r="B3295">
        <v>162</v>
      </c>
      <c r="C3295">
        <v>0</v>
      </c>
      <c r="D3295">
        <v>26</v>
      </c>
      <c r="E3295">
        <v>81</v>
      </c>
      <c r="F3295">
        <v>292</v>
      </c>
      <c r="G3295">
        <v>461</v>
      </c>
      <c r="H3295">
        <v>24.210799999999999</v>
      </c>
    </row>
    <row r="3296" spans="1:8" x14ac:dyDescent="0.25">
      <c r="A3296">
        <v>17387616</v>
      </c>
      <c r="B3296">
        <v>26</v>
      </c>
      <c r="C3296">
        <v>0</v>
      </c>
      <c r="D3296">
        <v>5</v>
      </c>
      <c r="E3296">
        <v>17</v>
      </c>
      <c r="F3296">
        <v>172</v>
      </c>
      <c r="G3296">
        <v>427</v>
      </c>
      <c r="H3296">
        <v>34.99</v>
      </c>
    </row>
    <row r="3297" spans="1:8" x14ac:dyDescent="0.25">
      <c r="A3297">
        <v>17387617</v>
      </c>
      <c r="B3297">
        <v>32</v>
      </c>
      <c r="C3297">
        <v>0</v>
      </c>
      <c r="D3297">
        <v>8</v>
      </c>
      <c r="E3297">
        <v>14</v>
      </c>
      <c r="F3297">
        <v>184</v>
      </c>
      <c r="G3297">
        <v>429</v>
      </c>
      <c r="H3297">
        <v>89.54</v>
      </c>
    </row>
    <row r="3298" spans="1:8" x14ac:dyDescent="0.25">
      <c r="A3298">
        <v>17387618</v>
      </c>
      <c r="B3298">
        <v>32</v>
      </c>
      <c r="C3298">
        <v>0</v>
      </c>
      <c r="D3298">
        <v>2</v>
      </c>
      <c r="E3298">
        <v>19</v>
      </c>
      <c r="F3298">
        <v>202</v>
      </c>
      <c r="G3298">
        <v>365</v>
      </c>
      <c r="H3298">
        <v>159.99</v>
      </c>
    </row>
    <row r="3299" spans="1:8" x14ac:dyDescent="0.25">
      <c r="A3299">
        <v>17387619</v>
      </c>
      <c r="B3299">
        <v>-2</v>
      </c>
      <c r="C3299">
        <v>0</v>
      </c>
      <c r="D3299">
        <v>5</v>
      </c>
      <c r="E3299">
        <v>30</v>
      </c>
      <c r="F3299">
        <v>188</v>
      </c>
      <c r="G3299">
        <v>402</v>
      </c>
      <c r="H3299">
        <v>83.352000000000004</v>
      </c>
    </row>
    <row r="3300" spans="1:8" x14ac:dyDescent="0.25">
      <c r="A3300">
        <v>17387620</v>
      </c>
      <c r="B3300">
        <v>-4</v>
      </c>
      <c r="C3300">
        <v>0</v>
      </c>
      <c r="D3300">
        <v>1</v>
      </c>
      <c r="E3300">
        <v>12</v>
      </c>
      <c r="F3300">
        <v>188</v>
      </c>
      <c r="G3300">
        <v>455</v>
      </c>
      <c r="H3300">
        <v>147.99</v>
      </c>
    </row>
    <row r="3301" spans="1:8" x14ac:dyDescent="0.25">
      <c r="A3301">
        <v>17387621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6</v>
      </c>
      <c r="H3301">
        <v>0</v>
      </c>
    </row>
    <row r="3302" spans="1:8" x14ac:dyDescent="0.25">
      <c r="A3302">
        <v>17387622</v>
      </c>
      <c r="B3302">
        <v>0</v>
      </c>
      <c r="C3302">
        <v>0</v>
      </c>
      <c r="D3302">
        <v>0</v>
      </c>
      <c r="E3302">
        <v>0</v>
      </c>
      <c r="F3302">
        <v>4</v>
      </c>
      <c r="G3302">
        <v>7</v>
      </c>
      <c r="H3302">
        <v>0</v>
      </c>
    </row>
    <row r="3303" spans="1:8" x14ac:dyDescent="0.25">
      <c r="A3303">
        <v>17387627</v>
      </c>
      <c r="B3303">
        <v>21</v>
      </c>
      <c r="C3303">
        <v>170</v>
      </c>
      <c r="D3303">
        <v>3</v>
      </c>
      <c r="E3303">
        <v>21</v>
      </c>
      <c r="F3303">
        <v>284</v>
      </c>
      <c r="G3303">
        <v>550</v>
      </c>
      <c r="H3303">
        <v>19.989999999999998</v>
      </c>
    </row>
    <row r="3304" spans="1:8" x14ac:dyDescent="0.25">
      <c r="A3304">
        <v>17387628</v>
      </c>
      <c r="B3304">
        <v>212</v>
      </c>
      <c r="C3304">
        <v>20</v>
      </c>
      <c r="D3304">
        <v>8</v>
      </c>
      <c r="E3304">
        <v>41</v>
      </c>
      <c r="F3304">
        <v>146</v>
      </c>
      <c r="G3304">
        <v>248</v>
      </c>
      <c r="H3304">
        <v>32.99</v>
      </c>
    </row>
    <row r="3305" spans="1:8" x14ac:dyDescent="0.25">
      <c r="A3305">
        <v>17387629</v>
      </c>
      <c r="B3305">
        <v>188</v>
      </c>
      <c r="C3305">
        <v>20</v>
      </c>
      <c r="D3305">
        <v>10</v>
      </c>
      <c r="E3305">
        <v>22</v>
      </c>
      <c r="F3305">
        <v>77</v>
      </c>
      <c r="G3305">
        <v>154</v>
      </c>
      <c r="H3305">
        <v>59.886000000000003</v>
      </c>
    </row>
    <row r="3306" spans="1:8" x14ac:dyDescent="0.25">
      <c r="A3306">
        <v>17387631</v>
      </c>
      <c r="B3306">
        <v>2</v>
      </c>
      <c r="C3306">
        <v>0</v>
      </c>
      <c r="D3306">
        <v>0</v>
      </c>
      <c r="E3306">
        <v>0</v>
      </c>
      <c r="F3306">
        <v>3</v>
      </c>
      <c r="G3306">
        <v>10</v>
      </c>
      <c r="H3306">
        <v>0</v>
      </c>
    </row>
    <row r="3307" spans="1:8" x14ac:dyDescent="0.25">
      <c r="A3307">
        <v>17397663</v>
      </c>
      <c r="B3307">
        <v>24</v>
      </c>
      <c r="C3307">
        <v>0</v>
      </c>
      <c r="D3307">
        <v>0</v>
      </c>
      <c r="E3307">
        <v>3</v>
      </c>
      <c r="F3307">
        <v>16</v>
      </c>
      <c r="G3307">
        <v>55</v>
      </c>
      <c r="H3307">
        <v>0</v>
      </c>
    </row>
    <row r="3308" spans="1:8" x14ac:dyDescent="0.25">
      <c r="A3308">
        <v>17397664</v>
      </c>
      <c r="B3308">
        <v>56</v>
      </c>
      <c r="C3308">
        <v>0</v>
      </c>
      <c r="D3308">
        <v>1</v>
      </c>
      <c r="E3308">
        <v>4</v>
      </c>
      <c r="F3308">
        <v>12</v>
      </c>
      <c r="G3308">
        <v>19</v>
      </c>
      <c r="H3308">
        <v>44.99</v>
      </c>
    </row>
    <row r="3309" spans="1:8" x14ac:dyDescent="0.25">
      <c r="A3309">
        <v>17398259</v>
      </c>
      <c r="B3309">
        <v>87</v>
      </c>
      <c r="C3309">
        <v>5</v>
      </c>
      <c r="D3309">
        <v>2</v>
      </c>
      <c r="E3309">
        <v>8</v>
      </c>
      <c r="F3309">
        <v>31</v>
      </c>
      <c r="G3309">
        <v>57</v>
      </c>
      <c r="H3309">
        <v>19.989999999999998</v>
      </c>
    </row>
    <row r="3310" spans="1:8" x14ac:dyDescent="0.25">
      <c r="A3310">
        <v>17398260</v>
      </c>
      <c r="B3310">
        <v>152</v>
      </c>
      <c r="C3310">
        <v>0</v>
      </c>
      <c r="D3310">
        <v>5</v>
      </c>
      <c r="E3310">
        <v>16</v>
      </c>
      <c r="F3310">
        <v>58</v>
      </c>
      <c r="G3310">
        <v>135</v>
      </c>
      <c r="H3310">
        <v>17.922000000000001</v>
      </c>
    </row>
    <row r="3311" spans="1:8" x14ac:dyDescent="0.25">
      <c r="A3311">
        <v>17398261</v>
      </c>
      <c r="B3311">
        <v>334</v>
      </c>
      <c r="C3311">
        <v>25</v>
      </c>
      <c r="D3311">
        <v>10</v>
      </c>
      <c r="E3311">
        <v>32</v>
      </c>
      <c r="F3311">
        <v>97</v>
      </c>
      <c r="G3311">
        <v>270</v>
      </c>
      <c r="H3311">
        <v>23.710999999999999</v>
      </c>
    </row>
    <row r="3312" spans="1:8" x14ac:dyDescent="0.25">
      <c r="A3312">
        <v>17398262</v>
      </c>
      <c r="B3312">
        <v>354</v>
      </c>
      <c r="C3312">
        <v>25</v>
      </c>
      <c r="D3312">
        <v>18</v>
      </c>
      <c r="E3312">
        <v>59</v>
      </c>
      <c r="F3312">
        <v>183</v>
      </c>
      <c r="G3312">
        <v>402</v>
      </c>
      <c r="H3312">
        <v>23.977799999999998</v>
      </c>
    </row>
    <row r="3313" spans="1:8" x14ac:dyDescent="0.25">
      <c r="A3313">
        <v>17398263</v>
      </c>
      <c r="B3313">
        <v>108</v>
      </c>
      <c r="C3313">
        <v>0</v>
      </c>
      <c r="D3313">
        <v>2</v>
      </c>
      <c r="E3313">
        <v>14</v>
      </c>
      <c r="F3313">
        <v>43</v>
      </c>
      <c r="G3313">
        <v>85</v>
      </c>
      <c r="H3313">
        <v>29.99</v>
      </c>
    </row>
    <row r="3314" spans="1:8" x14ac:dyDescent="0.25">
      <c r="A3314">
        <v>17398264</v>
      </c>
      <c r="B3314">
        <v>123</v>
      </c>
      <c r="C3314">
        <v>20</v>
      </c>
      <c r="D3314">
        <v>3</v>
      </c>
      <c r="E3314">
        <v>22</v>
      </c>
      <c r="F3314">
        <v>60</v>
      </c>
      <c r="G3314">
        <v>126</v>
      </c>
      <c r="H3314">
        <v>29.206700000000001</v>
      </c>
    </row>
    <row r="3315" spans="1:8" x14ac:dyDescent="0.25">
      <c r="A3315">
        <v>17407912</v>
      </c>
      <c r="B3315">
        <v>238</v>
      </c>
      <c r="C3315">
        <v>0</v>
      </c>
      <c r="D3315">
        <v>7</v>
      </c>
      <c r="E3315">
        <v>45</v>
      </c>
      <c r="F3315">
        <v>267</v>
      </c>
      <c r="G3315">
        <v>743</v>
      </c>
      <c r="H3315">
        <v>43.762900000000002</v>
      </c>
    </row>
    <row r="3316" spans="1:8" x14ac:dyDescent="0.25">
      <c r="A3316">
        <v>17407916</v>
      </c>
      <c r="B3316">
        <v>9</v>
      </c>
      <c r="C3316">
        <v>62</v>
      </c>
      <c r="D3316">
        <v>1</v>
      </c>
      <c r="E3316">
        <v>2</v>
      </c>
      <c r="F3316">
        <v>13</v>
      </c>
      <c r="G3316">
        <v>54</v>
      </c>
      <c r="H3316">
        <v>53.99</v>
      </c>
    </row>
    <row r="3317" spans="1:8" x14ac:dyDescent="0.25">
      <c r="A3317">
        <v>17407917</v>
      </c>
      <c r="B3317">
        <v>5</v>
      </c>
      <c r="C3317">
        <v>48</v>
      </c>
      <c r="D3317">
        <v>0</v>
      </c>
      <c r="E3317">
        <v>2</v>
      </c>
      <c r="F3317">
        <v>6</v>
      </c>
      <c r="G3317">
        <v>35</v>
      </c>
      <c r="H3317">
        <v>0</v>
      </c>
    </row>
    <row r="3318" spans="1:8" x14ac:dyDescent="0.25">
      <c r="A3318">
        <v>17407918</v>
      </c>
      <c r="B3318">
        <v>49</v>
      </c>
      <c r="C3318">
        <v>0</v>
      </c>
      <c r="D3318">
        <v>4</v>
      </c>
      <c r="E3318">
        <v>10</v>
      </c>
      <c r="F3318">
        <v>31</v>
      </c>
      <c r="G3318">
        <v>77</v>
      </c>
      <c r="H3318">
        <v>57.567500000000003</v>
      </c>
    </row>
    <row r="3319" spans="1:8" x14ac:dyDescent="0.25">
      <c r="A3319">
        <v>17412478</v>
      </c>
      <c r="B3319">
        <v>1</v>
      </c>
      <c r="C3319">
        <v>0</v>
      </c>
      <c r="D3319">
        <v>0</v>
      </c>
      <c r="E3319">
        <v>0</v>
      </c>
      <c r="F3319">
        <v>1</v>
      </c>
      <c r="G3319">
        <v>1</v>
      </c>
      <c r="H3319">
        <v>0</v>
      </c>
    </row>
    <row r="3320" spans="1:8" x14ac:dyDescent="0.25">
      <c r="A3320">
        <v>17412514</v>
      </c>
      <c r="B3320">
        <v>580</v>
      </c>
      <c r="C3320">
        <v>0</v>
      </c>
      <c r="D3320">
        <v>30</v>
      </c>
      <c r="E3320">
        <v>126</v>
      </c>
      <c r="F3320">
        <v>544</v>
      </c>
      <c r="G3320">
        <v>1685</v>
      </c>
      <c r="H3320">
        <v>794.57299999999998</v>
      </c>
    </row>
    <row r="3321" spans="1:8" x14ac:dyDescent="0.25">
      <c r="A3321">
        <v>17423176</v>
      </c>
      <c r="B3321">
        <v>212</v>
      </c>
      <c r="C3321">
        <v>75</v>
      </c>
      <c r="D3321">
        <v>13</v>
      </c>
      <c r="E3321">
        <v>46</v>
      </c>
      <c r="F3321">
        <v>178</v>
      </c>
      <c r="G3321">
        <v>342</v>
      </c>
      <c r="H3321">
        <v>19.707699999999999</v>
      </c>
    </row>
    <row r="3322" spans="1:8" x14ac:dyDescent="0.25">
      <c r="A3322">
        <v>17423177</v>
      </c>
      <c r="B3322">
        <v>286</v>
      </c>
      <c r="C3322">
        <v>30</v>
      </c>
      <c r="D3322">
        <v>9</v>
      </c>
      <c r="E3322">
        <v>41</v>
      </c>
      <c r="F3322">
        <v>133</v>
      </c>
      <c r="G3322">
        <v>329</v>
      </c>
      <c r="H3322">
        <v>19.912199999999999</v>
      </c>
    </row>
    <row r="3323" spans="1:8" x14ac:dyDescent="0.25">
      <c r="A3323">
        <v>17423178</v>
      </c>
      <c r="B3323">
        <v>15</v>
      </c>
      <c r="C3323">
        <v>0</v>
      </c>
      <c r="D3323">
        <v>0</v>
      </c>
      <c r="E3323">
        <v>3</v>
      </c>
      <c r="F3323">
        <v>27</v>
      </c>
      <c r="G3323">
        <v>59</v>
      </c>
      <c r="H3323">
        <v>0</v>
      </c>
    </row>
    <row r="3324" spans="1:8" x14ac:dyDescent="0.25">
      <c r="A3324">
        <v>17423179</v>
      </c>
      <c r="B3324">
        <v>1</v>
      </c>
      <c r="C3324">
        <v>0</v>
      </c>
      <c r="D3324">
        <v>0</v>
      </c>
      <c r="E3324">
        <v>1</v>
      </c>
      <c r="F3324">
        <v>1</v>
      </c>
      <c r="G3324">
        <v>19</v>
      </c>
      <c r="H3324">
        <v>0</v>
      </c>
    </row>
    <row r="3325" spans="1:8" x14ac:dyDescent="0.25">
      <c r="A3325">
        <v>17423180</v>
      </c>
      <c r="B3325">
        <v>124</v>
      </c>
      <c r="C3325">
        <v>90</v>
      </c>
      <c r="D3325">
        <v>10</v>
      </c>
      <c r="E3325">
        <v>43</v>
      </c>
      <c r="F3325">
        <v>159</v>
      </c>
      <c r="G3325">
        <v>341</v>
      </c>
      <c r="H3325">
        <v>19.407</v>
      </c>
    </row>
    <row r="3326" spans="1:8" x14ac:dyDescent="0.25">
      <c r="A3326">
        <v>17423181</v>
      </c>
      <c r="B3326">
        <v>287</v>
      </c>
      <c r="C3326">
        <v>30</v>
      </c>
      <c r="D3326">
        <v>17</v>
      </c>
      <c r="E3326">
        <v>53</v>
      </c>
      <c r="F3326">
        <v>165</v>
      </c>
      <c r="G3326">
        <v>322</v>
      </c>
      <c r="H3326">
        <v>12.2865</v>
      </c>
    </row>
    <row r="3327" spans="1:8" x14ac:dyDescent="0.25">
      <c r="A3327">
        <v>17423182</v>
      </c>
      <c r="B3327">
        <v>206</v>
      </c>
      <c r="C3327">
        <v>165</v>
      </c>
      <c r="D3327">
        <v>23</v>
      </c>
      <c r="E3327">
        <v>74</v>
      </c>
      <c r="F3327">
        <v>308</v>
      </c>
      <c r="G3327">
        <v>646</v>
      </c>
      <c r="H3327">
        <v>19.157800000000002</v>
      </c>
    </row>
    <row r="3328" spans="1:8" x14ac:dyDescent="0.25">
      <c r="A3328">
        <v>17423183</v>
      </c>
      <c r="B3328">
        <v>75</v>
      </c>
      <c r="C3328">
        <v>10</v>
      </c>
      <c r="D3328">
        <v>5</v>
      </c>
      <c r="E3328">
        <v>13</v>
      </c>
      <c r="F3328">
        <v>37</v>
      </c>
      <c r="G3328">
        <v>92</v>
      </c>
      <c r="H3328">
        <v>28.408000000000001</v>
      </c>
    </row>
    <row r="3329" spans="1:8" x14ac:dyDescent="0.25">
      <c r="A3329">
        <v>17424231</v>
      </c>
      <c r="B3329">
        <v>3</v>
      </c>
      <c r="C3329">
        <v>0</v>
      </c>
      <c r="D3329">
        <v>0</v>
      </c>
      <c r="E3329">
        <v>0</v>
      </c>
      <c r="F3329">
        <v>0</v>
      </c>
      <c r="G3329">
        <v>8</v>
      </c>
      <c r="H3329">
        <v>0</v>
      </c>
    </row>
    <row r="3330" spans="1:8" x14ac:dyDescent="0.25">
      <c r="A3330">
        <v>17425789</v>
      </c>
      <c r="B3330">
        <v>80</v>
      </c>
      <c r="C3330">
        <v>0</v>
      </c>
      <c r="D3330">
        <v>2</v>
      </c>
      <c r="E3330">
        <v>28</v>
      </c>
      <c r="F3330">
        <v>131</v>
      </c>
      <c r="G3330">
        <v>169</v>
      </c>
      <c r="H3330">
        <v>20.09</v>
      </c>
    </row>
    <row r="3331" spans="1:8" x14ac:dyDescent="0.25">
      <c r="A3331">
        <v>17428099</v>
      </c>
      <c r="B3331">
        <v>3</v>
      </c>
      <c r="C3331">
        <v>0</v>
      </c>
      <c r="D3331">
        <v>0</v>
      </c>
      <c r="E3331">
        <v>0</v>
      </c>
      <c r="F3331">
        <v>5</v>
      </c>
      <c r="G3331">
        <v>11</v>
      </c>
      <c r="H3331">
        <v>0</v>
      </c>
    </row>
    <row r="3332" spans="1:8" x14ac:dyDescent="0.25">
      <c r="A3332">
        <v>17452471</v>
      </c>
      <c r="B3332">
        <v>1</v>
      </c>
      <c r="C3332">
        <v>178</v>
      </c>
      <c r="D3332">
        <v>6</v>
      </c>
      <c r="E3332">
        <v>9</v>
      </c>
      <c r="F3332">
        <v>124</v>
      </c>
      <c r="G3332">
        <v>168</v>
      </c>
      <c r="H3332">
        <v>51.346699999999998</v>
      </c>
    </row>
    <row r="3333" spans="1:8" x14ac:dyDescent="0.25">
      <c r="A3333">
        <v>17452472</v>
      </c>
      <c r="B3333">
        <v>47</v>
      </c>
      <c r="C3333">
        <v>138</v>
      </c>
      <c r="D3333">
        <v>8</v>
      </c>
      <c r="E3333">
        <v>33</v>
      </c>
      <c r="F3333">
        <v>132</v>
      </c>
      <c r="G3333">
        <v>227</v>
      </c>
      <c r="H3333">
        <v>37.016199999999998</v>
      </c>
    </row>
    <row r="3334" spans="1:8" x14ac:dyDescent="0.25">
      <c r="A3334">
        <v>17452474</v>
      </c>
      <c r="B3334">
        <v>430</v>
      </c>
      <c r="C3334">
        <v>30</v>
      </c>
      <c r="D3334">
        <v>14</v>
      </c>
      <c r="E3334">
        <v>68</v>
      </c>
      <c r="F3334">
        <v>229</v>
      </c>
      <c r="G3334">
        <v>631</v>
      </c>
      <c r="H3334">
        <v>147.24289999999999</v>
      </c>
    </row>
    <row r="3335" spans="1:8" x14ac:dyDescent="0.25">
      <c r="A3335">
        <v>17452475</v>
      </c>
      <c r="B3335">
        <v>192</v>
      </c>
      <c r="C3335">
        <v>30</v>
      </c>
      <c r="D3335">
        <v>15</v>
      </c>
      <c r="E3335">
        <v>46</v>
      </c>
      <c r="F3335">
        <v>167</v>
      </c>
      <c r="G3335">
        <v>472</v>
      </c>
      <c r="H3335">
        <v>145.34</v>
      </c>
    </row>
    <row r="3336" spans="1:8" x14ac:dyDescent="0.25">
      <c r="A3336">
        <v>17452476</v>
      </c>
      <c r="B3336">
        <v>192</v>
      </c>
      <c r="C3336">
        <v>18</v>
      </c>
      <c r="D3336">
        <v>8</v>
      </c>
      <c r="E3336">
        <v>29</v>
      </c>
      <c r="F3336">
        <v>96</v>
      </c>
      <c r="G3336">
        <v>297</v>
      </c>
      <c r="H3336">
        <v>135.9212</v>
      </c>
    </row>
    <row r="3337" spans="1:8" x14ac:dyDescent="0.25">
      <c r="A3337">
        <v>17452477</v>
      </c>
      <c r="B3337">
        <v>23</v>
      </c>
      <c r="C3337">
        <v>42</v>
      </c>
      <c r="D3337">
        <v>0</v>
      </c>
      <c r="E3337">
        <v>1</v>
      </c>
      <c r="F3337">
        <v>6</v>
      </c>
      <c r="G3337">
        <v>56</v>
      </c>
      <c r="H3337">
        <v>0</v>
      </c>
    </row>
    <row r="3338" spans="1:8" x14ac:dyDescent="0.25">
      <c r="A3338">
        <v>17463316</v>
      </c>
      <c r="B3338">
        <v>0</v>
      </c>
      <c r="C3338">
        <v>2</v>
      </c>
      <c r="D3338">
        <v>-1</v>
      </c>
      <c r="E3338">
        <v>1</v>
      </c>
      <c r="F3338">
        <v>3</v>
      </c>
      <c r="G3338">
        <v>3</v>
      </c>
      <c r="H3338">
        <v>207</v>
      </c>
    </row>
    <row r="3339" spans="1:8" x14ac:dyDescent="0.25">
      <c r="A3339">
        <v>17483383</v>
      </c>
      <c r="B3339">
        <v>73</v>
      </c>
      <c r="C3339">
        <v>3</v>
      </c>
      <c r="D3339">
        <v>2</v>
      </c>
      <c r="E3339">
        <v>9</v>
      </c>
      <c r="F3339">
        <v>28</v>
      </c>
      <c r="G3339">
        <v>51</v>
      </c>
      <c r="H3339">
        <v>239.99</v>
      </c>
    </row>
    <row r="3340" spans="1:8" x14ac:dyDescent="0.25">
      <c r="A3340">
        <v>17483384</v>
      </c>
      <c r="B3340">
        <v>144</v>
      </c>
      <c r="C3340">
        <v>14</v>
      </c>
      <c r="D3340">
        <v>11</v>
      </c>
      <c r="E3340">
        <v>31</v>
      </c>
      <c r="F3340">
        <v>67</v>
      </c>
      <c r="G3340">
        <v>141</v>
      </c>
      <c r="H3340">
        <v>211.16820000000001</v>
      </c>
    </row>
    <row r="3341" spans="1:8" x14ac:dyDescent="0.25">
      <c r="A3341">
        <v>17483385</v>
      </c>
      <c r="B3341">
        <v>66</v>
      </c>
      <c r="C3341">
        <v>9</v>
      </c>
      <c r="D3341">
        <v>5</v>
      </c>
      <c r="E3341">
        <v>11</v>
      </c>
      <c r="F3341">
        <v>35</v>
      </c>
      <c r="G3341">
        <v>88</v>
      </c>
      <c r="H3341">
        <v>274.67399999999998</v>
      </c>
    </row>
    <row r="3342" spans="1:8" x14ac:dyDescent="0.25">
      <c r="A3342">
        <v>17483386</v>
      </c>
      <c r="B3342">
        <v>119</v>
      </c>
      <c r="C3342">
        <v>0</v>
      </c>
      <c r="D3342">
        <v>1</v>
      </c>
      <c r="E3342">
        <v>5</v>
      </c>
      <c r="F3342">
        <v>15</v>
      </c>
      <c r="G3342">
        <v>43</v>
      </c>
      <c r="H3342">
        <v>154.99</v>
      </c>
    </row>
    <row r="3343" spans="1:8" x14ac:dyDescent="0.25">
      <c r="A3343">
        <v>17483388</v>
      </c>
      <c r="B3343">
        <v>81</v>
      </c>
      <c r="C3343">
        <v>4</v>
      </c>
      <c r="D3343">
        <v>7</v>
      </c>
      <c r="E3343">
        <v>12</v>
      </c>
      <c r="F3343">
        <v>45</v>
      </c>
      <c r="G3343">
        <v>99</v>
      </c>
      <c r="H3343">
        <v>364.26569999999998</v>
      </c>
    </row>
    <row r="3344" spans="1:8" x14ac:dyDescent="0.25">
      <c r="A3344">
        <v>17483389</v>
      </c>
      <c r="B3344">
        <v>1</v>
      </c>
      <c r="C3344">
        <v>0</v>
      </c>
      <c r="D3344">
        <v>0</v>
      </c>
      <c r="E3344">
        <v>0</v>
      </c>
      <c r="F3344">
        <v>1</v>
      </c>
      <c r="G3344">
        <v>1</v>
      </c>
      <c r="H3344">
        <v>0</v>
      </c>
    </row>
    <row r="3345" spans="1:8" x14ac:dyDescent="0.25">
      <c r="A3345">
        <v>17483390</v>
      </c>
      <c r="B3345">
        <v>116</v>
      </c>
      <c r="C3345">
        <v>18</v>
      </c>
      <c r="D3345">
        <v>1</v>
      </c>
      <c r="E3345">
        <v>35</v>
      </c>
      <c r="F3345">
        <v>90</v>
      </c>
      <c r="G3345">
        <v>181</v>
      </c>
      <c r="H3345">
        <v>90.61</v>
      </c>
    </row>
    <row r="3346" spans="1:8" x14ac:dyDescent="0.25">
      <c r="A3346">
        <v>17483391</v>
      </c>
      <c r="B3346">
        <v>5</v>
      </c>
      <c r="C3346">
        <v>0</v>
      </c>
      <c r="D3346">
        <v>0</v>
      </c>
      <c r="E3346">
        <v>0</v>
      </c>
      <c r="F3346">
        <v>0</v>
      </c>
      <c r="G3346">
        <v>3</v>
      </c>
      <c r="H3346">
        <v>0</v>
      </c>
    </row>
    <row r="3347" spans="1:8" x14ac:dyDescent="0.25">
      <c r="A3347">
        <v>17483392</v>
      </c>
      <c r="B3347">
        <v>10</v>
      </c>
      <c r="C3347">
        <v>0</v>
      </c>
      <c r="D3347">
        <v>0</v>
      </c>
      <c r="E3347">
        <v>0</v>
      </c>
      <c r="F3347">
        <v>0</v>
      </c>
      <c r="G3347">
        <v>1</v>
      </c>
      <c r="H3347">
        <v>0</v>
      </c>
    </row>
    <row r="3348" spans="1:8" x14ac:dyDescent="0.25">
      <c r="A3348">
        <v>17497483</v>
      </c>
      <c r="B3348">
        <v>0</v>
      </c>
      <c r="C3348">
        <v>0</v>
      </c>
      <c r="D3348">
        <v>0</v>
      </c>
      <c r="E3348">
        <v>1</v>
      </c>
      <c r="F3348">
        <v>2</v>
      </c>
      <c r="G3348">
        <v>2</v>
      </c>
      <c r="H3348">
        <v>0</v>
      </c>
    </row>
    <row r="3349" spans="1:8" x14ac:dyDescent="0.25">
      <c r="A3349">
        <v>17497484</v>
      </c>
      <c r="B3349">
        <v>113</v>
      </c>
      <c r="C3349">
        <v>40</v>
      </c>
      <c r="D3349">
        <v>6</v>
      </c>
      <c r="E3349">
        <v>27</v>
      </c>
      <c r="F3349">
        <v>81</v>
      </c>
      <c r="G3349">
        <v>198</v>
      </c>
      <c r="H3349">
        <v>72.693299999999994</v>
      </c>
    </row>
    <row r="3350" spans="1:8" x14ac:dyDescent="0.25">
      <c r="A3350">
        <v>17497544</v>
      </c>
      <c r="B3350">
        <v>6</v>
      </c>
      <c r="C3350">
        <v>0</v>
      </c>
      <c r="D3350">
        <v>0</v>
      </c>
      <c r="E3350">
        <v>0</v>
      </c>
      <c r="F3350">
        <v>16</v>
      </c>
      <c r="G3350">
        <v>79</v>
      </c>
      <c r="H3350">
        <v>0</v>
      </c>
    </row>
    <row r="3351" spans="1:8" x14ac:dyDescent="0.25">
      <c r="A3351">
        <v>17503449</v>
      </c>
      <c r="B3351">
        <v>13</v>
      </c>
      <c r="C3351">
        <v>0</v>
      </c>
      <c r="D3351">
        <v>1</v>
      </c>
      <c r="E3351">
        <v>3</v>
      </c>
      <c r="F3351">
        <v>10</v>
      </c>
      <c r="G3351">
        <v>29</v>
      </c>
      <c r="H3351">
        <v>449.99</v>
      </c>
    </row>
    <row r="3352" spans="1:8" x14ac:dyDescent="0.25">
      <c r="A3352">
        <v>17505201</v>
      </c>
      <c r="B3352">
        <v>37</v>
      </c>
      <c r="C3352">
        <v>5</v>
      </c>
      <c r="D3352">
        <v>4</v>
      </c>
      <c r="E3352">
        <v>16</v>
      </c>
      <c r="F3352">
        <v>59</v>
      </c>
      <c r="G3352">
        <v>65</v>
      </c>
      <c r="H3352">
        <v>29.19</v>
      </c>
    </row>
    <row r="3353" spans="1:8" x14ac:dyDescent="0.25">
      <c r="A3353">
        <v>17505394</v>
      </c>
      <c r="B3353">
        <v>0</v>
      </c>
      <c r="C3353">
        <v>0</v>
      </c>
      <c r="D3353">
        <v>0</v>
      </c>
      <c r="E3353">
        <v>0</v>
      </c>
      <c r="F3353">
        <v>1</v>
      </c>
      <c r="G3353">
        <v>19</v>
      </c>
      <c r="H3353">
        <v>0</v>
      </c>
    </row>
    <row r="3354" spans="1:8" x14ac:dyDescent="0.25">
      <c r="A3354">
        <v>17688399</v>
      </c>
      <c r="B3354">
        <v>2</v>
      </c>
      <c r="C3354">
        <v>0</v>
      </c>
      <c r="D3354">
        <v>0</v>
      </c>
      <c r="E3354">
        <v>0</v>
      </c>
      <c r="F3354">
        <v>1</v>
      </c>
      <c r="G3354">
        <v>2</v>
      </c>
      <c r="H3354">
        <v>0</v>
      </c>
    </row>
    <row r="3355" spans="1:8" x14ac:dyDescent="0.25">
      <c r="A3355">
        <v>17693348</v>
      </c>
      <c r="B3355">
        <v>2</v>
      </c>
      <c r="C3355">
        <v>0</v>
      </c>
      <c r="D3355">
        <v>0</v>
      </c>
      <c r="E3355">
        <v>0</v>
      </c>
      <c r="F3355">
        <v>1</v>
      </c>
      <c r="G3355">
        <v>1</v>
      </c>
      <c r="H3355">
        <v>0</v>
      </c>
    </row>
    <row r="3356" spans="1:8" x14ac:dyDescent="0.25">
      <c r="A3356">
        <v>17693349</v>
      </c>
      <c r="B3356">
        <v>4</v>
      </c>
      <c r="C3356">
        <v>0</v>
      </c>
      <c r="D3356">
        <v>0</v>
      </c>
      <c r="E3356">
        <v>0</v>
      </c>
      <c r="F3356">
        <v>1</v>
      </c>
      <c r="G3356">
        <v>1</v>
      </c>
      <c r="H3356">
        <v>0</v>
      </c>
    </row>
    <row r="3357" spans="1:8" x14ac:dyDescent="0.25">
      <c r="A3357">
        <v>17693350</v>
      </c>
      <c r="B3357">
        <v>3</v>
      </c>
      <c r="C3357">
        <v>0</v>
      </c>
      <c r="D3357">
        <v>0</v>
      </c>
      <c r="E3357">
        <v>0</v>
      </c>
      <c r="F3357">
        <v>0</v>
      </c>
      <c r="G3357">
        <v>2</v>
      </c>
      <c r="H3357">
        <v>0</v>
      </c>
    </row>
    <row r="3358" spans="1:8" x14ac:dyDescent="0.25">
      <c r="A3358">
        <v>17693351</v>
      </c>
      <c r="B3358">
        <v>1</v>
      </c>
      <c r="C3358">
        <v>0</v>
      </c>
      <c r="D3358">
        <v>1</v>
      </c>
      <c r="E3358">
        <v>1</v>
      </c>
      <c r="F3358">
        <v>1</v>
      </c>
      <c r="G3358">
        <v>3</v>
      </c>
      <c r="H3358">
        <v>129.99</v>
      </c>
    </row>
    <row r="3359" spans="1:8" x14ac:dyDescent="0.25">
      <c r="A3359">
        <v>17693353</v>
      </c>
      <c r="B3359">
        <v>24</v>
      </c>
      <c r="C3359">
        <v>0</v>
      </c>
      <c r="D3359">
        <v>0</v>
      </c>
      <c r="E3359">
        <v>0</v>
      </c>
      <c r="F3359">
        <v>2</v>
      </c>
      <c r="G3359">
        <v>6</v>
      </c>
      <c r="H3359">
        <v>0</v>
      </c>
    </row>
    <row r="3360" spans="1:8" x14ac:dyDescent="0.25">
      <c r="A3360">
        <v>17693354</v>
      </c>
      <c r="B3360">
        <v>17</v>
      </c>
      <c r="C3360">
        <v>0</v>
      </c>
      <c r="D3360">
        <v>1</v>
      </c>
      <c r="E3360">
        <v>2</v>
      </c>
      <c r="F3360">
        <v>7</v>
      </c>
      <c r="G3360">
        <v>15</v>
      </c>
      <c r="H3360">
        <v>3.56</v>
      </c>
    </row>
    <row r="3361" spans="1:8" x14ac:dyDescent="0.25">
      <c r="A3361">
        <v>17693355</v>
      </c>
      <c r="B3361">
        <v>13</v>
      </c>
      <c r="C3361">
        <v>0</v>
      </c>
      <c r="D3361">
        <v>0</v>
      </c>
      <c r="E3361">
        <v>1</v>
      </c>
      <c r="F3361">
        <v>2</v>
      </c>
      <c r="G3361">
        <v>3</v>
      </c>
      <c r="H3361">
        <v>0</v>
      </c>
    </row>
    <row r="3362" spans="1:8" x14ac:dyDescent="0.25">
      <c r="A3362">
        <v>17693356</v>
      </c>
      <c r="B3362">
        <v>13</v>
      </c>
      <c r="C3362">
        <v>0</v>
      </c>
      <c r="D3362">
        <v>0</v>
      </c>
      <c r="E3362">
        <v>0</v>
      </c>
      <c r="F3362">
        <v>1</v>
      </c>
      <c r="G3362">
        <v>5</v>
      </c>
      <c r="H3362">
        <v>0</v>
      </c>
    </row>
    <row r="3363" spans="1:8" x14ac:dyDescent="0.25">
      <c r="A3363">
        <v>17693357</v>
      </c>
      <c r="B3363">
        <v>14</v>
      </c>
      <c r="C3363">
        <v>0</v>
      </c>
      <c r="D3363">
        <v>0</v>
      </c>
      <c r="E3363">
        <v>0</v>
      </c>
      <c r="F3363">
        <v>2</v>
      </c>
      <c r="G3363">
        <v>7</v>
      </c>
      <c r="H3363">
        <v>0</v>
      </c>
    </row>
    <row r="3364" spans="1:8" x14ac:dyDescent="0.25">
      <c r="A3364">
        <v>17693358</v>
      </c>
      <c r="B3364">
        <v>5</v>
      </c>
      <c r="C3364">
        <v>0</v>
      </c>
      <c r="D3364">
        <v>0</v>
      </c>
      <c r="E3364">
        <v>0</v>
      </c>
      <c r="F3364">
        <v>1</v>
      </c>
      <c r="G3364">
        <v>2</v>
      </c>
      <c r="H3364">
        <v>0</v>
      </c>
    </row>
    <row r="3365" spans="1:8" x14ac:dyDescent="0.25">
      <c r="A3365">
        <v>17693359</v>
      </c>
      <c r="B3365">
        <v>4</v>
      </c>
      <c r="C3365">
        <v>0</v>
      </c>
      <c r="D3365">
        <v>0</v>
      </c>
      <c r="E3365">
        <v>0</v>
      </c>
      <c r="F3365">
        <v>0</v>
      </c>
      <c r="G3365">
        <v>1</v>
      </c>
      <c r="H3365">
        <v>0</v>
      </c>
    </row>
    <row r="3366" spans="1:8" x14ac:dyDescent="0.25">
      <c r="A3366">
        <v>17693361</v>
      </c>
      <c r="B3366">
        <v>186</v>
      </c>
      <c r="C3366">
        <v>0</v>
      </c>
      <c r="D3366">
        <v>6</v>
      </c>
      <c r="E3366">
        <v>14</v>
      </c>
      <c r="F3366">
        <v>65</v>
      </c>
      <c r="G3366">
        <v>122</v>
      </c>
      <c r="H3366">
        <v>99.99</v>
      </c>
    </row>
    <row r="3367" spans="1:8" x14ac:dyDescent="0.25">
      <c r="A3367">
        <v>17697638</v>
      </c>
      <c r="B3367">
        <v>1</v>
      </c>
      <c r="C3367">
        <v>0</v>
      </c>
      <c r="D3367">
        <v>0</v>
      </c>
      <c r="E3367">
        <v>-1</v>
      </c>
      <c r="F3367">
        <v>1</v>
      </c>
      <c r="G3367">
        <v>1</v>
      </c>
      <c r="H3367">
        <v>0</v>
      </c>
    </row>
    <row r="3368" spans="1:8" x14ac:dyDescent="0.25">
      <c r="A3368">
        <v>17697639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1</v>
      </c>
      <c r="H3368">
        <v>0</v>
      </c>
    </row>
    <row r="3369" spans="1:8" x14ac:dyDescent="0.25">
      <c r="A3369">
        <v>17697640</v>
      </c>
      <c r="B3369">
        <v>3</v>
      </c>
      <c r="C3369">
        <v>0</v>
      </c>
      <c r="D3369">
        <v>1</v>
      </c>
      <c r="E3369">
        <v>1</v>
      </c>
      <c r="F3369">
        <v>2</v>
      </c>
      <c r="G3369">
        <v>6</v>
      </c>
      <c r="H3369">
        <v>1379.99</v>
      </c>
    </row>
    <row r="3370" spans="1:8" x14ac:dyDescent="0.25">
      <c r="A3370">
        <v>17697641</v>
      </c>
      <c r="B3370">
        <v>3</v>
      </c>
      <c r="C3370">
        <v>0</v>
      </c>
      <c r="D3370">
        <v>0</v>
      </c>
      <c r="E3370">
        <v>0</v>
      </c>
      <c r="F3370">
        <v>1</v>
      </c>
      <c r="G3370">
        <v>1</v>
      </c>
      <c r="H3370">
        <v>0</v>
      </c>
    </row>
    <row r="3371" spans="1:8" x14ac:dyDescent="0.25">
      <c r="A3371">
        <v>17703099</v>
      </c>
      <c r="B3371">
        <v>71</v>
      </c>
      <c r="C3371">
        <v>0</v>
      </c>
      <c r="D3371">
        <v>4</v>
      </c>
      <c r="E3371">
        <v>13</v>
      </c>
      <c r="F3371">
        <v>101</v>
      </c>
      <c r="G3371">
        <v>693</v>
      </c>
      <c r="H3371">
        <v>73.739999999999995</v>
      </c>
    </row>
    <row r="3372" spans="1:8" x14ac:dyDescent="0.25">
      <c r="A3372">
        <v>17703100</v>
      </c>
      <c r="B3372">
        <v>36</v>
      </c>
      <c r="C3372">
        <v>0</v>
      </c>
      <c r="D3372">
        <v>2</v>
      </c>
      <c r="E3372">
        <v>2</v>
      </c>
      <c r="F3372">
        <v>34</v>
      </c>
      <c r="G3372">
        <v>273</v>
      </c>
      <c r="H3372">
        <v>79.989999999999995</v>
      </c>
    </row>
    <row r="3373" spans="1:8" x14ac:dyDescent="0.25">
      <c r="A3373">
        <v>17703122</v>
      </c>
      <c r="B3373">
        <v>149</v>
      </c>
      <c r="C3373">
        <v>0</v>
      </c>
      <c r="D3373">
        <v>2</v>
      </c>
      <c r="E3373">
        <v>17</v>
      </c>
      <c r="F3373">
        <v>103</v>
      </c>
      <c r="G3373">
        <v>393</v>
      </c>
      <c r="H3373">
        <v>94.99</v>
      </c>
    </row>
    <row r="3374" spans="1:8" x14ac:dyDescent="0.25">
      <c r="A3374">
        <v>17703123</v>
      </c>
      <c r="B3374">
        <v>284</v>
      </c>
      <c r="C3374">
        <v>0</v>
      </c>
      <c r="D3374">
        <v>9</v>
      </c>
      <c r="E3374">
        <v>35</v>
      </c>
      <c r="F3374">
        <v>99</v>
      </c>
      <c r="G3374">
        <v>412</v>
      </c>
      <c r="H3374">
        <v>136.9256</v>
      </c>
    </row>
    <row r="3375" spans="1:8" x14ac:dyDescent="0.25">
      <c r="A3375">
        <v>17703124</v>
      </c>
      <c r="B3375">
        <v>281</v>
      </c>
      <c r="C3375">
        <v>0</v>
      </c>
      <c r="D3375">
        <v>8</v>
      </c>
      <c r="E3375">
        <v>27</v>
      </c>
      <c r="F3375">
        <v>105</v>
      </c>
      <c r="G3375">
        <v>404</v>
      </c>
      <c r="H3375">
        <v>124.2963</v>
      </c>
    </row>
    <row r="3376" spans="1:8" x14ac:dyDescent="0.25">
      <c r="A3376">
        <v>17703701</v>
      </c>
      <c r="B3376">
        <v>1</v>
      </c>
      <c r="C3376">
        <v>0</v>
      </c>
      <c r="D3376">
        <v>0</v>
      </c>
      <c r="E3376">
        <v>0</v>
      </c>
      <c r="F3376">
        <v>1</v>
      </c>
      <c r="G3376">
        <v>3</v>
      </c>
      <c r="H3376">
        <v>0</v>
      </c>
    </row>
    <row r="3377" spans="1:8" x14ac:dyDescent="0.25">
      <c r="A3377">
        <v>17703702</v>
      </c>
      <c r="B3377">
        <v>10</v>
      </c>
      <c r="C3377">
        <v>1</v>
      </c>
      <c r="D3377">
        <v>5</v>
      </c>
      <c r="E3377">
        <v>10</v>
      </c>
      <c r="F3377">
        <v>28</v>
      </c>
      <c r="G3377">
        <v>46</v>
      </c>
      <c r="H3377">
        <v>1799</v>
      </c>
    </row>
    <row r="3378" spans="1:8" x14ac:dyDescent="0.25">
      <c r="A3378">
        <v>17703703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3</v>
      </c>
      <c r="H3378">
        <v>0</v>
      </c>
    </row>
    <row r="3379" spans="1:8" x14ac:dyDescent="0.25">
      <c r="A3379">
        <v>17703705</v>
      </c>
      <c r="B3379">
        <v>8</v>
      </c>
      <c r="C3379">
        <v>2</v>
      </c>
      <c r="D3379">
        <v>0</v>
      </c>
      <c r="E3379">
        <v>0</v>
      </c>
      <c r="F3379">
        <v>6</v>
      </c>
      <c r="G3379">
        <v>17</v>
      </c>
      <c r="H3379">
        <v>0</v>
      </c>
    </row>
    <row r="3380" spans="1:8" x14ac:dyDescent="0.25">
      <c r="A3380">
        <v>17703707</v>
      </c>
      <c r="B3380">
        <v>10</v>
      </c>
      <c r="C3380">
        <v>0</v>
      </c>
      <c r="D3380">
        <v>1</v>
      </c>
      <c r="E3380">
        <v>1</v>
      </c>
      <c r="F3380">
        <v>13</v>
      </c>
      <c r="G3380">
        <v>47</v>
      </c>
      <c r="H3380">
        <v>1889</v>
      </c>
    </row>
    <row r="3381" spans="1:8" x14ac:dyDescent="0.25">
      <c r="A3381">
        <v>17703709</v>
      </c>
      <c r="B3381">
        <v>2</v>
      </c>
      <c r="C3381">
        <v>0</v>
      </c>
      <c r="D3381">
        <v>1</v>
      </c>
      <c r="E3381">
        <v>1</v>
      </c>
      <c r="F3381">
        <v>3</v>
      </c>
      <c r="G3381">
        <v>12</v>
      </c>
      <c r="H3381">
        <v>1489</v>
      </c>
    </row>
    <row r="3382" spans="1:8" x14ac:dyDescent="0.25">
      <c r="A3382">
        <v>17703710</v>
      </c>
      <c r="B3382">
        <v>18</v>
      </c>
      <c r="C3382">
        <v>2</v>
      </c>
      <c r="D3382">
        <v>2</v>
      </c>
      <c r="E3382">
        <v>4</v>
      </c>
      <c r="F3382">
        <v>16</v>
      </c>
      <c r="G3382">
        <v>35</v>
      </c>
      <c r="H3382">
        <v>1339</v>
      </c>
    </row>
    <row r="3383" spans="1:8" x14ac:dyDescent="0.25">
      <c r="A3383">
        <v>17703712</v>
      </c>
      <c r="B3383">
        <v>9</v>
      </c>
      <c r="C3383">
        <v>3</v>
      </c>
      <c r="D3383">
        <v>1</v>
      </c>
      <c r="E3383">
        <v>6</v>
      </c>
      <c r="F3383">
        <v>19</v>
      </c>
      <c r="G3383">
        <v>37</v>
      </c>
      <c r="H3383">
        <v>1489</v>
      </c>
    </row>
    <row r="3384" spans="1:8" x14ac:dyDescent="0.25">
      <c r="A3384">
        <v>17703714</v>
      </c>
      <c r="B3384">
        <v>28</v>
      </c>
      <c r="C3384">
        <v>7</v>
      </c>
      <c r="D3384">
        <v>3</v>
      </c>
      <c r="E3384">
        <v>8</v>
      </c>
      <c r="F3384">
        <v>37</v>
      </c>
      <c r="G3384">
        <v>89</v>
      </c>
      <c r="H3384">
        <v>1485.0567000000001</v>
      </c>
    </row>
    <row r="3385" spans="1:8" x14ac:dyDescent="0.25">
      <c r="A3385">
        <v>17703715</v>
      </c>
      <c r="B3385">
        <v>0</v>
      </c>
      <c r="C3385">
        <v>0</v>
      </c>
      <c r="D3385">
        <v>0</v>
      </c>
      <c r="E3385">
        <v>1</v>
      </c>
      <c r="F3385">
        <v>1</v>
      </c>
      <c r="G3385">
        <v>1</v>
      </c>
      <c r="H3385">
        <v>0</v>
      </c>
    </row>
    <row r="3386" spans="1:8" x14ac:dyDescent="0.25">
      <c r="A3386">
        <v>17703716</v>
      </c>
      <c r="B3386">
        <v>18</v>
      </c>
      <c r="C3386">
        <v>7</v>
      </c>
      <c r="D3386">
        <v>0</v>
      </c>
      <c r="E3386">
        <v>3</v>
      </c>
      <c r="F3386">
        <v>25</v>
      </c>
      <c r="G3386">
        <v>64</v>
      </c>
      <c r="H3386">
        <v>0</v>
      </c>
    </row>
    <row r="3387" spans="1:8" x14ac:dyDescent="0.25">
      <c r="A3387">
        <v>17703717</v>
      </c>
      <c r="B3387">
        <v>18</v>
      </c>
      <c r="C3387">
        <v>3</v>
      </c>
      <c r="D3387">
        <v>3</v>
      </c>
      <c r="E3387">
        <v>5</v>
      </c>
      <c r="F3387">
        <v>13</v>
      </c>
      <c r="G3387">
        <v>26</v>
      </c>
      <c r="H3387">
        <v>1582.5467000000001</v>
      </c>
    </row>
    <row r="3388" spans="1:8" x14ac:dyDescent="0.25">
      <c r="A3388">
        <v>17703719</v>
      </c>
      <c r="B3388">
        <v>8</v>
      </c>
      <c r="C3388">
        <v>2</v>
      </c>
      <c r="D3388">
        <v>2</v>
      </c>
      <c r="E3388">
        <v>5</v>
      </c>
      <c r="F3388">
        <v>12</v>
      </c>
      <c r="G3388">
        <v>27</v>
      </c>
      <c r="H3388">
        <v>1614</v>
      </c>
    </row>
    <row r="3389" spans="1:8" x14ac:dyDescent="0.25">
      <c r="A3389">
        <v>17703721</v>
      </c>
      <c r="B3389">
        <v>19</v>
      </c>
      <c r="C3389">
        <v>0</v>
      </c>
      <c r="D3389">
        <v>2</v>
      </c>
      <c r="E3389">
        <v>9</v>
      </c>
      <c r="F3389">
        <v>37</v>
      </c>
      <c r="G3389">
        <v>95</v>
      </c>
      <c r="H3389">
        <v>1614</v>
      </c>
    </row>
    <row r="3390" spans="1:8" x14ac:dyDescent="0.25">
      <c r="A3390">
        <v>17703723</v>
      </c>
      <c r="B3390">
        <v>41</v>
      </c>
      <c r="C3390">
        <v>6</v>
      </c>
      <c r="D3390">
        <v>10</v>
      </c>
      <c r="E3390">
        <v>17</v>
      </c>
      <c r="F3390">
        <v>54</v>
      </c>
      <c r="G3390">
        <v>134</v>
      </c>
      <c r="H3390">
        <v>1133.5</v>
      </c>
    </row>
    <row r="3391" spans="1:8" x14ac:dyDescent="0.25">
      <c r="A3391">
        <v>17703724</v>
      </c>
      <c r="B3391">
        <v>21</v>
      </c>
      <c r="C3391">
        <v>1</v>
      </c>
      <c r="D3391">
        <v>1</v>
      </c>
      <c r="E3391">
        <v>3</v>
      </c>
      <c r="F3391">
        <v>17</v>
      </c>
      <c r="G3391">
        <v>35</v>
      </c>
      <c r="H3391">
        <v>1139</v>
      </c>
    </row>
    <row r="3392" spans="1:8" x14ac:dyDescent="0.25">
      <c r="A3392">
        <v>17703726</v>
      </c>
      <c r="B3392">
        <v>8</v>
      </c>
      <c r="C3392">
        <v>3</v>
      </c>
      <c r="D3392">
        <v>2</v>
      </c>
      <c r="E3392">
        <v>3</v>
      </c>
      <c r="F3392">
        <v>13</v>
      </c>
      <c r="G3392">
        <v>42</v>
      </c>
      <c r="H3392">
        <v>1132.52</v>
      </c>
    </row>
    <row r="3393" spans="1:8" x14ac:dyDescent="0.25">
      <c r="A3393">
        <v>17703728</v>
      </c>
      <c r="B3393">
        <v>57</v>
      </c>
      <c r="C3393">
        <v>5</v>
      </c>
      <c r="D3393">
        <v>5</v>
      </c>
      <c r="E3393">
        <v>9</v>
      </c>
      <c r="F3393">
        <v>48</v>
      </c>
      <c r="G3393">
        <v>115</v>
      </c>
      <c r="H3393">
        <v>1223.664</v>
      </c>
    </row>
    <row r="3394" spans="1:8" x14ac:dyDescent="0.25">
      <c r="A3394">
        <v>17703836</v>
      </c>
      <c r="B3394">
        <v>12</v>
      </c>
      <c r="C3394">
        <v>0</v>
      </c>
      <c r="D3394">
        <v>0</v>
      </c>
      <c r="E3394">
        <v>0</v>
      </c>
      <c r="F3394">
        <v>0</v>
      </c>
      <c r="G3394">
        <v>0</v>
      </c>
      <c r="H3394">
        <v>0</v>
      </c>
    </row>
    <row r="3395" spans="1:8" x14ac:dyDescent="0.25">
      <c r="A3395">
        <v>17703972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1</v>
      </c>
      <c r="H3395">
        <v>0</v>
      </c>
    </row>
    <row r="3396" spans="1:8" x14ac:dyDescent="0.25">
      <c r="A3396">
        <v>17703976</v>
      </c>
      <c r="B3396">
        <v>1</v>
      </c>
      <c r="C3396">
        <v>0</v>
      </c>
      <c r="D3396">
        <v>0</v>
      </c>
      <c r="E3396">
        <v>0</v>
      </c>
      <c r="F3396">
        <v>0</v>
      </c>
      <c r="G3396">
        <v>0</v>
      </c>
      <c r="H3396">
        <v>0</v>
      </c>
    </row>
    <row r="3397" spans="1:8" x14ac:dyDescent="0.25">
      <c r="A3397">
        <v>17704044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8</v>
      </c>
      <c r="H3397">
        <v>0</v>
      </c>
    </row>
    <row r="3398" spans="1:8" x14ac:dyDescent="0.25">
      <c r="A3398">
        <v>17704045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1</v>
      </c>
      <c r="H3398">
        <v>0</v>
      </c>
    </row>
    <row r="3399" spans="1:8" x14ac:dyDescent="0.25">
      <c r="A3399">
        <v>17704046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1</v>
      </c>
      <c r="H3399">
        <v>0</v>
      </c>
    </row>
    <row r="3400" spans="1:8" x14ac:dyDescent="0.25">
      <c r="A3400">
        <v>17704494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  <c r="H3400">
        <v>0</v>
      </c>
    </row>
    <row r="3401" spans="1:8" x14ac:dyDescent="0.25">
      <c r="A3401">
        <v>17704495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  <c r="H3401">
        <v>0</v>
      </c>
    </row>
    <row r="3402" spans="1:8" x14ac:dyDescent="0.25">
      <c r="A3402">
        <v>17712725</v>
      </c>
      <c r="B3402">
        <v>135</v>
      </c>
      <c r="C3402">
        <v>31</v>
      </c>
      <c r="D3402">
        <v>3</v>
      </c>
      <c r="E3402">
        <v>28</v>
      </c>
      <c r="F3402">
        <v>144</v>
      </c>
      <c r="G3402">
        <v>364</v>
      </c>
      <c r="H3402">
        <v>489</v>
      </c>
    </row>
    <row r="3403" spans="1:8" x14ac:dyDescent="0.25">
      <c r="A3403">
        <v>17712726</v>
      </c>
      <c r="B3403">
        <v>135</v>
      </c>
      <c r="C3403">
        <v>22</v>
      </c>
      <c r="D3403">
        <v>7</v>
      </c>
      <c r="E3403">
        <v>39</v>
      </c>
      <c r="F3403">
        <v>134</v>
      </c>
      <c r="G3403">
        <v>351</v>
      </c>
      <c r="H3403">
        <v>470.36430000000001</v>
      </c>
    </row>
    <row r="3404" spans="1:8" x14ac:dyDescent="0.25">
      <c r="A3404">
        <v>17712727</v>
      </c>
      <c r="B3404">
        <v>75</v>
      </c>
      <c r="C3404">
        <v>1</v>
      </c>
      <c r="D3404">
        <v>11</v>
      </c>
      <c r="E3404">
        <v>26</v>
      </c>
      <c r="F3404">
        <v>83</v>
      </c>
      <c r="G3404">
        <v>240</v>
      </c>
      <c r="H3404">
        <v>483.02640000000002</v>
      </c>
    </row>
    <row r="3405" spans="1:8" x14ac:dyDescent="0.25">
      <c r="A3405">
        <v>17712728</v>
      </c>
      <c r="B3405">
        <v>56</v>
      </c>
      <c r="C3405">
        <v>0</v>
      </c>
      <c r="D3405">
        <v>6</v>
      </c>
      <c r="E3405">
        <v>18</v>
      </c>
      <c r="F3405">
        <v>50</v>
      </c>
      <c r="G3405">
        <v>165</v>
      </c>
      <c r="H3405">
        <v>467.37</v>
      </c>
    </row>
    <row r="3406" spans="1:8" x14ac:dyDescent="0.25">
      <c r="A3406">
        <v>17712729</v>
      </c>
      <c r="B3406">
        <v>59</v>
      </c>
      <c r="C3406">
        <v>11</v>
      </c>
      <c r="D3406">
        <v>3</v>
      </c>
      <c r="E3406">
        <v>13</v>
      </c>
      <c r="F3406">
        <v>69</v>
      </c>
      <c r="G3406">
        <v>167</v>
      </c>
      <c r="H3406">
        <v>585.99670000000003</v>
      </c>
    </row>
    <row r="3407" spans="1:8" x14ac:dyDescent="0.25">
      <c r="A3407">
        <v>17712730</v>
      </c>
      <c r="B3407">
        <v>51</v>
      </c>
      <c r="C3407">
        <v>0</v>
      </c>
      <c r="D3407">
        <v>2</v>
      </c>
      <c r="E3407">
        <v>5</v>
      </c>
      <c r="F3407">
        <v>32</v>
      </c>
      <c r="G3407">
        <v>85</v>
      </c>
      <c r="H3407">
        <v>589</v>
      </c>
    </row>
    <row r="3408" spans="1:8" x14ac:dyDescent="0.25">
      <c r="A3408">
        <v>17712731</v>
      </c>
      <c r="B3408">
        <v>33</v>
      </c>
      <c r="C3408">
        <v>5</v>
      </c>
      <c r="D3408">
        <v>3</v>
      </c>
      <c r="E3408">
        <v>7</v>
      </c>
      <c r="F3408">
        <v>31</v>
      </c>
      <c r="G3408">
        <v>72</v>
      </c>
      <c r="H3408">
        <v>579.54</v>
      </c>
    </row>
    <row r="3409" spans="1:8" x14ac:dyDescent="0.25">
      <c r="A3409">
        <v>17712732</v>
      </c>
      <c r="B3409">
        <v>13</v>
      </c>
      <c r="C3409">
        <v>0</v>
      </c>
      <c r="D3409">
        <v>0</v>
      </c>
      <c r="E3409">
        <v>4</v>
      </c>
      <c r="F3409">
        <v>21</v>
      </c>
      <c r="G3409">
        <v>48</v>
      </c>
      <c r="H3409">
        <v>0</v>
      </c>
    </row>
    <row r="3410" spans="1:8" x14ac:dyDescent="0.25">
      <c r="A3410">
        <v>17712733</v>
      </c>
      <c r="B3410">
        <v>22</v>
      </c>
      <c r="C3410">
        <v>0</v>
      </c>
      <c r="D3410">
        <v>0</v>
      </c>
      <c r="E3410">
        <v>3</v>
      </c>
      <c r="F3410">
        <v>17</v>
      </c>
      <c r="G3410">
        <v>43</v>
      </c>
      <c r="H3410">
        <v>0</v>
      </c>
    </row>
    <row r="3411" spans="1:8" x14ac:dyDescent="0.25">
      <c r="A3411">
        <v>17712734</v>
      </c>
      <c r="B3411">
        <v>5</v>
      </c>
      <c r="C3411">
        <v>0</v>
      </c>
      <c r="D3411">
        <v>0</v>
      </c>
      <c r="E3411">
        <v>0</v>
      </c>
      <c r="F3411">
        <v>4</v>
      </c>
      <c r="G3411">
        <v>8</v>
      </c>
      <c r="H3411">
        <v>0</v>
      </c>
    </row>
    <row r="3412" spans="1:8" x14ac:dyDescent="0.25">
      <c r="A3412">
        <v>17712735</v>
      </c>
      <c r="B3412">
        <v>4</v>
      </c>
      <c r="C3412">
        <v>0</v>
      </c>
      <c r="D3412">
        <v>0</v>
      </c>
      <c r="E3412">
        <v>3</v>
      </c>
      <c r="F3412">
        <v>3</v>
      </c>
      <c r="G3412">
        <v>15</v>
      </c>
      <c r="H3412">
        <v>0</v>
      </c>
    </row>
    <row r="3413" spans="1:8" x14ac:dyDescent="0.25">
      <c r="A3413">
        <v>17712736</v>
      </c>
      <c r="B3413">
        <v>8</v>
      </c>
      <c r="C3413">
        <v>0</v>
      </c>
      <c r="D3413">
        <v>-1</v>
      </c>
      <c r="E3413">
        <v>1</v>
      </c>
      <c r="F3413">
        <v>7</v>
      </c>
      <c r="G3413">
        <v>16</v>
      </c>
      <c r="H3413">
        <v>789</v>
      </c>
    </row>
    <row r="3414" spans="1:8" x14ac:dyDescent="0.25">
      <c r="A3414">
        <v>17712737</v>
      </c>
      <c r="B3414">
        <v>-1</v>
      </c>
      <c r="C3414">
        <v>0</v>
      </c>
      <c r="D3414">
        <v>2</v>
      </c>
      <c r="E3414">
        <v>3</v>
      </c>
      <c r="F3414">
        <v>9</v>
      </c>
      <c r="G3414">
        <v>11</v>
      </c>
      <c r="H3414">
        <v>559.125</v>
      </c>
    </row>
    <row r="3415" spans="1:8" x14ac:dyDescent="0.25">
      <c r="A3415">
        <v>17712739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1</v>
      </c>
      <c r="H3415">
        <v>0</v>
      </c>
    </row>
    <row r="3416" spans="1:8" x14ac:dyDescent="0.25">
      <c r="A3416">
        <v>17712740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1</v>
      </c>
      <c r="H3416">
        <v>0</v>
      </c>
    </row>
    <row r="3417" spans="1:8" x14ac:dyDescent="0.25">
      <c r="A3417">
        <v>17712741</v>
      </c>
      <c r="B3417">
        <v>0</v>
      </c>
      <c r="C3417">
        <v>0</v>
      </c>
      <c r="D3417">
        <v>0</v>
      </c>
      <c r="E3417">
        <v>1</v>
      </c>
      <c r="F3417">
        <v>2</v>
      </c>
      <c r="G3417">
        <v>13</v>
      </c>
      <c r="H3417">
        <v>0</v>
      </c>
    </row>
    <row r="3418" spans="1:8" x14ac:dyDescent="0.25">
      <c r="A3418">
        <v>17712745</v>
      </c>
      <c r="B3418">
        <v>1</v>
      </c>
      <c r="C3418">
        <v>0</v>
      </c>
      <c r="D3418">
        <v>0</v>
      </c>
      <c r="E3418">
        <v>0</v>
      </c>
      <c r="F3418">
        <v>2</v>
      </c>
      <c r="G3418">
        <v>3</v>
      </c>
      <c r="H3418">
        <v>0</v>
      </c>
    </row>
    <row r="3419" spans="1:8" x14ac:dyDescent="0.25">
      <c r="A3419">
        <v>17712752</v>
      </c>
      <c r="B3419">
        <v>-1</v>
      </c>
      <c r="C3419">
        <v>0</v>
      </c>
      <c r="D3419">
        <v>0</v>
      </c>
      <c r="E3419">
        <v>0</v>
      </c>
      <c r="F3419">
        <v>1</v>
      </c>
      <c r="G3419">
        <v>1</v>
      </c>
      <c r="H3419">
        <v>0</v>
      </c>
    </row>
    <row r="3420" spans="1:8" x14ac:dyDescent="0.25">
      <c r="A3420">
        <v>17712904</v>
      </c>
      <c r="B3420">
        <v>85</v>
      </c>
      <c r="C3420">
        <v>0</v>
      </c>
      <c r="D3420">
        <v>0</v>
      </c>
      <c r="E3420">
        <v>0</v>
      </c>
      <c r="F3420">
        <v>7</v>
      </c>
      <c r="G3420">
        <v>18</v>
      </c>
      <c r="H3420">
        <v>0</v>
      </c>
    </row>
    <row r="3421" spans="1:8" x14ac:dyDescent="0.25">
      <c r="A3421">
        <v>17738446</v>
      </c>
      <c r="B3421">
        <v>14</v>
      </c>
      <c r="C3421">
        <v>0</v>
      </c>
      <c r="D3421">
        <v>0</v>
      </c>
      <c r="E3421">
        <v>0</v>
      </c>
      <c r="F3421">
        <v>0</v>
      </c>
      <c r="G3421">
        <v>0</v>
      </c>
      <c r="H3421">
        <v>0</v>
      </c>
    </row>
    <row r="3422" spans="1:8" x14ac:dyDescent="0.25">
      <c r="A3422">
        <v>17738449</v>
      </c>
      <c r="B3422">
        <v>278</v>
      </c>
      <c r="C3422">
        <v>12</v>
      </c>
      <c r="D3422">
        <v>21</v>
      </c>
      <c r="E3422">
        <v>66</v>
      </c>
      <c r="F3422">
        <v>263</v>
      </c>
      <c r="G3422">
        <v>678</v>
      </c>
      <c r="H3422">
        <v>102.7757</v>
      </c>
    </row>
    <row r="3423" spans="1:8" x14ac:dyDescent="0.25">
      <c r="A3423">
        <v>17738450</v>
      </c>
      <c r="B3423">
        <v>227</v>
      </c>
      <c r="C3423">
        <v>175</v>
      </c>
      <c r="D3423">
        <v>62</v>
      </c>
      <c r="E3423">
        <v>181</v>
      </c>
      <c r="F3423">
        <v>511</v>
      </c>
      <c r="G3423">
        <v>1064</v>
      </c>
      <c r="H3423">
        <v>125.8034</v>
      </c>
    </row>
    <row r="3424" spans="1:8" x14ac:dyDescent="0.25">
      <c r="A3424">
        <v>17738452</v>
      </c>
      <c r="B3424">
        <v>449</v>
      </c>
      <c r="C3424">
        <v>200</v>
      </c>
      <c r="D3424">
        <v>39</v>
      </c>
      <c r="E3424">
        <v>209</v>
      </c>
      <c r="F3424">
        <v>640</v>
      </c>
      <c r="G3424">
        <v>1512</v>
      </c>
      <c r="H3424">
        <v>90.363600000000005</v>
      </c>
    </row>
    <row r="3425" spans="1:8" x14ac:dyDescent="0.25">
      <c r="A3425">
        <v>17739157</v>
      </c>
      <c r="B3425">
        <v>276</v>
      </c>
      <c r="C3425">
        <v>30</v>
      </c>
      <c r="D3425">
        <v>29</v>
      </c>
      <c r="E3425">
        <v>103</v>
      </c>
      <c r="F3425">
        <v>329</v>
      </c>
      <c r="G3425">
        <v>704</v>
      </c>
      <c r="H3425">
        <v>76.828999999999994</v>
      </c>
    </row>
    <row r="3426" spans="1:8" x14ac:dyDescent="0.25">
      <c r="A3426">
        <v>17739158</v>
      </c>
      <c r="B3426">
        <v>145</v>
      </c>
      <c r="C3426">
        <v>0</v>
      </c>
      <c r="D3426">
        <v>12</v>
      </c>
      <c r="E3426">
        <v>45</v>
      </c>
      <c r="F3426">
        <v>149</v>
      </c>
      <c r="G3426">
        <v>324</v>
      </c>
      <c r="H3426">
        <v>92.334199999999996</v>
      </c>
    </row>
    <row r="3427" spans="1:8" x14ac:dyDescent="0.25">
      <c r="A3427">
        <v>17739159</v>
      </c>
      <c r="B3427">
        <v>136</v>
      </c>
      <c r="C3427">
        <v>10</v>
      </c>
      <c r="D3427">
        <v>6</v>
      </c>
      <c r="E3427">
        <v>16</v>
      </c>
      <c r="F3427">
        <v>62</v>
      </c>
      <c r="G3427">
        <v>136</v>
      </c>
      <c r="H3427">
        <v>178.66</v>
      </c>
    </row>
    <row r="3428" spans="1:8" x14ac:dyDescent="0.25">
      <c r="A3428">
        <v>17739160</v>
      </c>
      <c r="B3428">
        <v>64</v>
      </c>
      <c r="C3428">
        <v>5</v>
      </c>
      <c r="D3428">
        <v>3</v>
      </c>
      <c r="E3428">
        <v>10</v>
      </c>
      <c r="F3428">
        <v>31</v>
      </c>
      <c r="G3428">
        <v>59</v>
      </c>
      <c r="H3428">
        <v>199</v>
      </c>
    </row>
    <row r="3429" spans="1:8" x14ac:dyDescent="0.25">
      <c r="A3429">
        <v>17739161</v>
      </c>
      <c r="B3429">
        <v>242</v>
      </c>
      <c r="C3429">
        <v>0</v>
      </c>
      <c r="D3429">
        <v>4</v>
      </c>
      <c r="E3429">
        <v>9</v>
      </c>
      <c r="F3429">
        <v>44</v>
      </c>
      <c r="G3429">
        <v>90</v>
      </c>
      <c r="H3429">
        <v>128.1575</v>
      </c>
    </row>
    <row r="3430" spans="1:8" x14ac:dyDescent="0.25">
      <c r="A3430">
        <v>17739162</v>
      </c>
      <c r="B3430">
        <v>138</v>
      </c>
      <c r="C3430">
        <v>0</v>
      </c>
      <c r="D3430">
        <v>4</v>
      </c>
      <c r="E3430">
        <v>6</v>
      </c>
      <c r="F3430">
        <v>13</v>
      </c>
      <c r="G3430">
        <v>37</v>
      </c>
      <c r="H3430">
        <v>149</v>
      </c>
    </row>
    <row r="3431" spans="1:8" x14ac:dyDescent="0.25">
      <c r="A3431">
        <v>17739163</v>
      </c>
      <c r="B3431">
        <v>58</v>
      </c>
      <c r="C3431">
        <v>0</v>
      </c>
      <c r="D3431">
        <v>0</v>
      </c>
      <c r="E3431">
        <v>4</v>
      </c>
      <c r="F3431">
        <v>20</v>
      </c>
      <c r="G3431">
        <v>44</v>
      </c>
      <c r="H3431">
        <v>0</v>
      </c>
    </row>
    <row r="3432" spans="1:8" x14ac:dyDescent="0.25">
      <c r="A3432">
        <v>17739164</v>
      </c>
      <c r="B3432">
        <v>81</v>
      </c>
      <c r="C3432">
        <v>0</v>
      </c>
      <c r="D3432">
        <v>4</v>
      </c>
      <c r="E3432">
        <v>14</v>
      </c>
      <c r="F3432">
        <v>45</v>
      </c>
      <c r="G3432">
        <v>108</v>
      </c>
      <c r="H3432">
        <v>93.305000000000007</v>
      </c>
    </row>
    <row r="3433" spans="1:8" x14ac:dyDescent="0.25">
      <c r="A3433">
        <v>17739168</v>
      </c>
      <c r="B3433">
        <v>8</v>
      </c>
      <c r="C3433">
        <v>0</v>
      </c>
      <c r="D3433">
        <v>0</v>
      </c>
      <c r="E3433">
        <v>1</v>
      </c>
      <c r="F3433">
        <v>68</v>
      </c>
      <c r="G3433">
        <v>201</v>
      </c>
      <c r="H3433">
        <v>0</v>
      </c>
    </row>
    <row r="3434" spans="1:8" x14ac:dyDescent="0.25">
      <c r="A3434">
        <v>17739169</v>
      </c>
      <c r="B3434">
        <v>1</v>
      </c>
      <c r="C3434">
        <v>0</v>
      </c>
      <c r="D3434">
        <v>1</v>
      </c>
      <c r="E3434">
        <v>6</v>
      </c>
      <c r="F3434">
        <v>26</v>
      </c>
      <c r="G3434">
        <v>62</v>
      </c>
      <c r="H3434">
        <v>789</v>
      </c>
    </row>
    <row r="3435" spans="1:8" x14ac:dyDescent="0.25">
      <c r="A3435">
        <v>17739170</v>
      </c>
      <c r="B3435">
        <v>0</v>
      </c>
      <c r="C3435">
        <v>0</v>
      </c>
      <c r="D3435">
        <v>1</v>
      </c>
      <c r="E3435">
        <v>2</v>
      </c>
      <c r="F3435">
        <v>17</v>
      </c>
      <c r="G3435">
        <v>50</v>
      </c>
      <c r="H3435">
        <v>964</v>
      </c>
    </row>
    <row r="3436" spans="1:8" x14ac:dyDescent="0.25">
      <c r="A3436">
        <v>17739171</v>
      </c>
      <c r="B3436">
        <v>-1</v>
      </c>
      <c r="C3436">
        <v>0</v>
      </c>
      <c r="D3436">
        <v>0</v>
      </c>
      <c r="E3436">
        <v>0</v>
      </c>
      <c r="F3436">
        <v>1</v>
      </c>
      <c r="G3436">
        <v>11</v>
      </c>
      <c r="H3436">
        <v>0</v>
      </c>
    </row>
    <row r="3437" spans="1:8" x14ac:dyDescent="0.25">
      <c r="A3437">
        <v>17739260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  <c r="H3437">
        <v>0</v>
      </c>
    </row>
    <row r="3438" spans="1:8" x14ac:dyDescent="0.25">
      <c r="A3438">
        <v>17739261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  <c r="H3438">
        <v>0</v>
      </c>
    </row>
    <row r="3439" spans="1:8" x14ac:dyDescent="0.25">
      <c r="A3439">
        <v>17753583</v>
      </c>
      <c r="B3439">
        <v>38</v>
      </c>
      <c r="C3439">
        <v>0</v>
      </c>
      <c r="D3439">
        <v>5</v>
      </c>
      <c r="E3439">
        <v>18</v>
      </c>
      <c r="F3439">
        <v>67</v>
      </c>
      <c r="G3439">
        <v>143</v>
      </c>
      <c r="H3439">
        <v>387.14600000000002</v>
      </c>
    </row>
    <row r="3440" spans="1:8" x14ac:dyDescent="0.25">
      <c r="A3440">
        <v>17753584</v>
      </c>
      <c r="B3440">
        <v>35</v>
      </c>
      <c r="C3440">
        <v>0</v>
      </c>
      <c r="D3440">
        <v>1</v>
      </c>
      <c r="E3440">
        <v>2</v>
      </c>
      <c r="F3440">
        <v>6</v>
      </c>
      <c r="G3440">
        <v>16</v>
      </c>
      <c r="H3440">
        <v>29.97</v>
      </c>
    </row>
    <row r="3441" spans="1:8" x14ac:dyDescent="0.25">
      <c r="A3441">
        <v>17754108</v>
      </c>
      <c r="B3441">
        <v>12</v>
      </c>
      <c r="C3441">
        <v>0</v>
      </c>
      <c r="D3441">
        <v>0</v>
      </c>
      <c r="E3441">
        <v>0</v>
      </c>
      <c r="F3441">
        <v>1</v>
      </c>
      <c r="G3441">
        <v>1</v>
      </c>
      <c r="H3441">
        <v>0</v>
      </c>
    </row>
    <row r="3442" spans="1:8" x14ac:dyDescent="0.25">
      <c r="A3442">
        <v>17754109</v>
      </c>
      <c r="B3442">
        <v>-6</v>
      </c>
      <c r="C3442">
        <v>0</v>
      </c>
      <c r="D3442">
        <v>0</v>
      </c>
      <c r="E3442">
        <v>2</v>
      </c>
      <c r="F3442">
        <v>4</v>
      </c>
      <c r="G3442">
        <v>42</v>
      </c>
      <c r="H3442">
        <v>0</v>
      </c>
    </row>
    <row r="3443" spans="1:8" x14ac:dyDescent="0.25">
      <c r="A3443">
        <v>17754110</v>
      </c>
      <c r="B3443">
        <v>1</v>
      </c>
      <c r="C3443">
        <v>0</v>
      </c>
      <c r="D3443">
        <v>0</v>
      </c>
      <c r="E3443">
        <v>0</v>
      </c>
      <c r="F3443">
        <v>2</v>
      </c>
      <c r="G3443">
        <v>67</v>
      </c>
      <c r="H3443">
        <v>0</v>
      </c>
    </row>
    <row r="3444" spans="1:8" x14ac:dyDescent="0.25">
      <c r="A3444">
        <v>17754111</v>
      </c>
      <c r="B3444">
        <v>3</v>
      </c>
      <c r="C3444">
        <v>0</v>
      </c>
      <c r="D3444">
        <v>0</v>
      </c>
      <c r="E3444">
        <v>2</v>
      </c>
      <c r="F3444">
        <v>4</v>
      </c>
      <c r="G3444">
        <v>94</v>
      </c>
      <c r="H3444">
        <v>0</v>
      </c>
    </row>
    <row r="3445" spans="1:8" x14ac:dyDescent="0.25">
      <c r="A3445">
        <v>17754112</v>
      </c>
      <c r="B3445">
        <v>1</v>
      </c>
      <c r="C3445">
        <v>0</v>
      </c>
      <c r="D3445">
        <v>1</v>
      </c>
      <c r="E3445">
        <v>1</v>
      </c>
      <c r="F3445">
        <v>2</v>
      </c>
      <c r="G3445">
        <v>48</v>
      </c>
      <c r="H3445">
        <v>1699.55</v>
      </c>
    </row>
    <row r="3446" spans="1:8" x14ac:dyDescent="0.25">
      <c r="A3446">
        <v>17754113</v>
      </c>
      <c r="B3446">
        <v>1</v>
      </c>
      <c r="C3446">
        <v>0</v>
      </c>
      <c r="D3446">
        <v>0</v>
      </c>
      <c r="E3446">
        <v>0</v>
      </c>
      <c r="F3446">
        <v>0</v>
      </c>
      <c r="G3446">
        <v>0</v>
      </c>
      <c r="H3446">
        <v>0</v>
      </c>
    </row>
    <row r="3447" spans="1:8" x14ac:dyDescent="0.25">
      <c r="A3447">
        <v>17754114</v>
      </c>
      <c r="B3447">
        <v>-2</v>
      </c>
      <c r="C3447">
        <v>0</v>
      </c>
      <c r="D3447">
        <v>0</v>
      </c>
      <c r="E3447">
        <v>0</v>
      </c>
      <c r="F3447">
        <v>0</v>
      </c>
      <c r="G3447">
        <v>36</v>
      </c>
      <c r="H3447">
        <v>0</v>
      </c>
    </row>
    <row r="3448" spans="1:8" x14ac:dyDescent="0.25">
      <c r="A3448">
        <v>17754115</v>
      </c>
      <c r="B3448">
        <v>15</v>
      </c>
      <c r="C3448">
        <v>0</v>
      </c>
      <c r="D3448">
        <v>0</v>
      </c>
      <c r="E3448">
        <v>8</v>
      </c>
      <c r="F3448">
        <v>46</v>
      </c>
      <c r="G3448">
        <v>111</v>
      </c>
      <c r="H3448">
        <v>0</v>
      </c>
    </row>
    <row r="3449" spans="1:8" x14ac:dyDescent="0.25">
      <c r="A3449">
        <v>17754116</v>
      </c>
      <c r="B3449">
        <v>2</v>
      </c>
      <c r="C3449">
        <v>0</v>
      </c>
      <c r="D3449">
        <v>0</v>
      </c>
      <c r="E3449">
        <v>0</v>
      </c>
      <c r="F3449">
        <v>13</v>
      </c>
      <c r="G3449">
        <v>28</v>
      </c>
      <c r="H3449">
        <v>0</v>
      </c>
    </row>
    <row r="3450" spans="1:8" x14ac:dyDescent="0.25">
      <c r="A3450">
        <v>17754117</v>
      </c>
      <c r="B3450">
        <v>26</v>
      </c>
      <c r="C3450">
        <v>0</v>
      </c>
      <c r="D3450">
        <v>0</v>
      </c>
      <c r="E3450">
        <v>2</v>
      </c>
      <c r="F3450">
        <v>17</v>
      </c>
      <c r="G3450">
        <v>54</v>
      </c>
      <c r="H3450">
        <v>0</v>
      </c>
    </row>
    <row r="3451" spans="1:8" x14ac:dyDescent="0.25">
      <c r="A3451">
        <v>17754118</v>
      </c>
      <c r="B3451">
        <v>21</v>
      </c>
      <c r="C3451">
        <v>0</v>
      </c>
      <c r="D3451">
        <v>0</v>
      </c>
      <c r="E3451">
        <v>2</v>
      </c>
      <c r="F3451">
        <v>18</v>
      </c>
      <c r="G3451">
        <v>64</v>
      </c>
      <c r="H3451">
        <v>0</v>
      </c>
    </row>
    <row r="3452" spans="1:8" x14ac:dyDescent="0.25">
      <c r="A3452">
        <v>17754119</v>
      </c>
      <c r="B3452">
        <v>35</v>
      </c>
      <c r="C3452">
        <v>0</v>
      </c>
      <c r="D3452">
        <v>0</v>
      </c>
      <c r="E3452">
        <v>7</v>
      </c>
      <c r="F3452">
        <v>48</v>
      </c>
      <c r="G3452">
        <v>129</v>
      </c>
      <c r="H3452">
        <v>0</v>
      </c>
    </row>
    <row r="3453" spans="1:8" x14ac:dyDescent="0.25">
      <c r="A3453">
        <v>17754120</v>
      </c>
      <c r="B3453">
        <v>28</v>
      </c>
      <c r="C3453">
        <v>0</v>
      </c>
      <c r="D3453">
        <v>1</v>
      </c>
      <c r="E3453">
        <v>3</v>
      </c>
      <c r="F3453">
        <v>14</v>
      </c>
      <c r="G3453">
        <v>56</v>
      </c>
      <c r="H3453">
        <v>2239.9699999999998</v>
      </c>
    </row>
    <row r="3454" spans="1:8" x14ac:dyDescent="0.25">
      <c r="A3454">
        <v>17754121</v>
      </c>
      <c r="B3454">
        <v>22</v>
      </c>
      <c r="C3454">
        <v>0</v>
      </c>
      <c r="D3454">
        <v>2</v>
      </c>
      <c r="E3454">
        <v>4</v>
      </c>
      <c r="F3454">
        <v>19</v>
      </c>
      <c r="G3454">
        <v>43</v>
      </c>
      <c r="H3454">
        <v>2639.97</v>
      </c>
    </row>
    <row r="3455" spans="1:8" x14ac:dyDescent="0.25">
      <c r="A3455">
        <v>17754122</v>
      </c>
      <c r="B3455">
        <v>9</v>
      </c>
      <c r="C3455">
        <v>0</v>
      </c>
      <c r="D3455">
        <v>0</v>
      </c>
      <c r="E3455">
        <v>4</v>
      </c>
      <c r="F3455">
        <v>24</v>
      </c>
      <c r="G3455">
        <v>62</v>
      </c>
      <c r="H3455">
        <v>0</v>
      </c>
    </row>
    <row r="3456" spans="1:8" x14ac:dyDescent="0.25">
      <c r="A3456">
        <v>17763590</v>
      </c>
      <c r="B3456">
        <v>299</v>
      </c>
      <c r="C3456">
        <v>112</v>
      </c>
      <c r="D3456">
        <v>14</v>
      </c>
      <c r="E3456">
        <v>43</v>
      </c>
      <c r="F3456">
        <v>142</v>
      </c>
      <c r="G3456">
        <v>384</v>
      </c>
      <c r="H3456">
        <v>94.35</v>
      </c>
    </row>
    <row r="3457" spans="1:8" x14ac:dyDescent="0.25">
      <c r="A3457">
        <v>17763591</v>
      </c>
      <c r="B3457">
        <v>128</v>
      </c>
      <c r="C3457">
        <v>16</v>
      </c>
      <c r="D3457">
        <v>0</v>
      </c>
      <c r="E3457">
        <v>11</v>
      </c>
      <c r="F3457">
        <v>44</v>
      </c>
      <c r="G3457">
        <v>130</v>
      </c>
      <c r="H3457">
        <v>0</v>
      </c>
    </row>
    <row r="3458" spans="1:8" x14ac:dyDescent="0.25">
      <c r="A3458">
        <v>17763592</v>
      </c>
      <c r="B3458">
        <v>1100</v>
      </c>
      <c r="C3458">
        <v>217</v>
      </c>
      <c r="D3458">
        <v>27</v>
      </c>
      <c r="E3458">
        <v>84</v>
      </c>
      <c r="F3458">
        <v>402</v>
      </c>
      <c r="G3458">
        <v>1250</v>
      </c>
      <c r="H3458">
        <v>31.8233</v>
      </c>
    </row>
    <row r="3459" spans="1:8" x14ac:dyDescent="0.25">
      <c r="A3459">
        <v>17819101</v>
      </c>
      <c r="B3459">
        <v>0</v>
      </c>
      <c r="C3459">
        <v>0</v>
      </c>
      <c r="D3459">
        <v>0</v>
      </c>
      <c r="E3459">
        <v>0</v>
      </c>
      <c r="F3459">
        <v>5</v>
      </c>
      <c r="G3459">
        <v>6</v>
      </c>
      <c r="H3459">
        <v>0</v>
      </c>
    </row>
    <row r="3460" spans="1:8" x14ac:dyDescent="0.25">
      <c r="A3460">
        <v>17819103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2</v>
      </c>
      <c r="H3460">
        <v>0</v>
      </c>
    </row>
    <row r="3461" spans="1:8" x14ac:dyDescent="0.25">
      <c r="A3461">
        <v>17819104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2</v>
      </c>
      <c r="H3461">
        <v>0</v>
      </c>
    </row>
    <row r="3462" spans="1:8" x14ac:dyDescent="0.25">
      <c r="A3462">
        <v>17819105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1</v>
      </c>
      <c r="H3462">
        <v>0</v>
      </c>
    </row>
    <row r="3463" spans="1:8" x14ac:dyDescent="0.25">
      <c r="A3463">
        <v>17819108</v>
      </c>
      <c r="B3463">
        <v>0</v>
      </c>
      <c r="C3463">
        <v>0</v>
      </c>
      <c r="D3463">
        <v>0</v>
      </c>
      <c r="E3463">
        <v>1</v>
      </c>
      <c r="F3463">
        <v>1</v>
      </c>
      <c r="G3463">
        <v>3</v>
      </c>
      <c r="H3463">
        <v>0</v>
      </c>
    </row>
    <row r="3464" spans="1:8" x14ac:dyDescent="0.25">
      <c r="A3464">
        <v>17819109</v>
      </c>
      <c r="B3464">
        <v>0</v>
      </c>
      <c r="C3464">
        <v>0</v>
      </c>
      <c r="D3464">
        <v>0</v>
      </c>
      <c r="E3464">
        <v>1</v>
      </c>
      <c r="F3464">
        <v>1</v>
      </c>
      <c r="G3464">
        <v>3</v>
      </c>
      <c r="H3464">
        <v>0</v>
      </c>
    </row>
    <row r="3465" spans="1:8" x14ac:dyDescent="0.25">
      <c r="A3465">
        <v>17819111</v>
      </c>
      <c r="B3465">
        <v>0</v>
      </c>
      <c r="C3465">
        <v>0</v>
      </c>
      <c r="D3465">
        <v>0</v>
      </c>
      <c r="E3465">
        <v>0</v>
      </c>
      <c r="F3465">
        <v>1</v>
      </c>
      <c r="G3465">
        <v>5</v>
      </c>
      <c r="H3465">
        <v>0</v>
      </c>
    </row>
    <row r="3466" spans="1:8" x14ac:dyDescent="0.25">
      <c r="A3466">
        <v>17819112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1</v>
      </c>
      <c r="H3466">
        <v>0</v>
      </c>
    </row>
    <row r="3467" spans="1:8" x14ac:dyDescent="0.25">
      <c r="A3467">
        <v>17819113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2</v>
      </c>
      <c r="H3467">
        <v>0</v>
      </c>
    </row>
    <row r="3468" spans="1:8" x14ac:dyDescent="0.25">
      <c r="A3468">
        <v>17824043</v>
      </c>
      <c r="B3468">
        <v>20</v>
      </c>
      <c r="C3468">
        <v>0</v>
      </c>
      <c r="D3468">
        <v>2</v>
      </c>
      <c r="E3468">
        <v>2</v>
      </c>
      <c r="F3468">
        <v>4</v>
      </c>
      <c r="G3468">
        <v>20</v>
      </c>
      <c r="H3468">
        <v>949.99</v>
      </c>
    </row>
    <row r="3469" spans="1:8" x14ac:dyDescent="0.25">
      <c r="A3469">
        <v>17824044</v>
      </c>
      <c r="B3469">
        <v>43</v>
      </c>
      <c r="C3469">
        <v>6</v>
      </c>
      <c r="D3469">
        <v>4</v>
      </c>
      <c r="E3469">
        <v>10</v>
      </c>
      <c r="F3469">
        <v>28</v>
      </c>
      <c r="G3469">
        <v>80</v>
      </c>
      <c r="H3469">
        <v>847.73500000000001</v>
      </c>
    </row>
    <row r="3470" spans="1:8" x14ac:dyDescent="0.25">
      <c r="A3470">
        <v>17824046</v>
      </c>
      <c r="B3470">
        <v>23</v>
      </c>
      <c r="C3470">
        <v>0</v>
      </c>
      <c r="D3470">
        <v>0</v>
      </c>
      <c r="E3470">
        <v>0</v>
      </c>
      <c r="F3470">
        <v>2</v>
      </c>
      <c r="G3470">
        <v>5</v>
      </c>
      <c r="H3470">
        <v>0</v>
      </c>
    </row>
    <row r="3471" spans="1:8" x14ac:dyDescent="0.25">
      <c r="A3471">
        <v>17824047</v>
      </c>
      <c r="B3471">
        <v>0</v>
      </c>
      <c r="C3471">
        <v>0</v>
      </c>
      <c r="D3471">
        <v>0</v>
      </c>
      <c r="E3471">
        <v>0</v>
      </c>
      <c r="F3471">
        <v>3</v>
      </c>
      <c r="G3471">
        <v>18</v>
      </c>
      <c r="H3471">
        <v>0</v>
      </c>
    </row>
    <row r="3472" spans="1:8" x14ac:dyDescent="0.25">
      <c r="A3472">
        <v>17829028</v>
      </c>
      <c r="B3472">
        <v>49</v>
      </c>
      <c r="C3472">
        <v>7</v>
      </c>
      <c r="D3472">
        <v>4</v>
      </c>
      <c r="E3472">
        <v>14</v>
      </c>
      <c r="F3472">
        <v>39</v>
      </c>
      <c r="G3472">
        <v>127</v>
      </c>
      <c r="H3472">
        <v>137.41</v>
      </c>
    </row>
    <row r="3473" spans="1:8" x14ac:dyDescent="0.25">
      <c r="A3473">
        <v>17848852</v>
      </c>
      <c r="B3473">
        <v>185</v>
      </c>
      <c r="C3473">
        <v>0</v>
      </c>
      <c r="D3473">
        <v>5</v>
      </c>
      <c r="E3473">
        <v>19</v>
      </c>
      <c r="F3473">
        <v>57</v>
      </c>
      <c r="G3473">
        <v>122</v>
      </c>
      <c r="H3473">
        <v>53.177999999999997</v>
      </c>
    </row>
    <row r="3474" spans="1:8" x14ac:dyDescent="0.25">
      <c r="A3474">
        <v>17848853</v>
      </c>
      <c r="B3474">
        <v>40</v>
      </c>
      <c r="C3474">
        <v>0</v>
      </c>
      <c r="D3474">
        <v>2</v>
      </c>
      <c r="E3474">
        <v>7</v>
      </c>
      <c r="F3474">
        <v>24</v>
      </c>
      <c r="G3474">
        <v>59</v>
      </c>
      <c r="H3474">
        <v>262.02</v>
      </c>
    </row>
    <row r="3475" spans="1:8" x14ac:dyDescent="0.25">
      <c r="A3475">
        <v>17913798</v>
      </c>
      <c r="B3475">
        <v>1</v>
      </c>
      <c r="C3475">
        <v>0</v>
      </c>
      <c r="D3475">
        <v>0</v>
      </c>
      <c r="E3475">
        <v>0</v>
      </c>
      <c r="F3475">
        <v>16</v>
      </c>
      <c r="G3475">
        <v>40</v>
      </c>
      <c r="H3475">
        <v>0</v>
      </c>
    </row>
    <row r="3476" spans="1:8" x14ac:dyDescent="0.25">
      <c r="A3476">
        <v>17913799</v>
      </c>
      <c r="B3476">
        <v>1</v>
      </c>
      <c r="C3476">
        <v>0</v>
      </c>
      <c r="D3476">
        <v>0</v>
      </c>
      <c r="E3476">
        <v>0</v>
      </c>
      <c r="F3476">
        <v>0</v>
      </c>
      <c r="G3476">
        <v>0</v>
      </c>
      <c r="H3476">
        <v>0</v>
      </c>
    </row>
    <row r="3477" spans="1:8" x14ac:dyDescent="0.25">
      <c r="A3477">
        <v>17913800</v>
      </c>
      <c r="B3477">
        <v>20</v>
      </c>
      <c r="C3477">
        <v>0</v>
      </c>
      <c r="D3477">
        <v>0</v>
      </c>
      <c r="E3477">
        <v>3</v>
      </c>
      <c r="F3477">
        <v>4</v>
      </c>
      <c r="G3477">
        <v>24</v>
      </c>
      <c r="H3477">
        <v>0</v>
      </c>
    </row>
    <row r="3478" spans="1:8" x14ac:dyDescent="0.25">
      <c r="A3478">
        <v>17913801</v>
      </c>
      <c r="B3478">
        <v>23</v>
      </c>
      <c r="C3478">
        <v>0</v>
      </c>
      <c r="D3478">
        <v>1</v>
      </c>
      <c r="E3478">
        <v>4</v>
      </c>
      <c r="F3478">
        <v>15</v>
      </c>
      <c r="G3478">
        <v>38</v>
      </c>
      <c r="H3478">
        <v>29.97</v>
      </c>
    </row>
    <row r="3479" spans="1:8" x14ac:dyDescent="0.25">
      <c r="A3479">
        <v>18023724</v>
      </c>
      <c r="B3479">
        <v>24</v>
      </c>
      <c r="C3479">
        <v>0</v>
      </c>
      <c r="D3479">
        <v>0</v>
      </c>
      <c r="E3479">
        <v>3</v>
      </c>
      <c r="F3479">
        <v>6</v>
      </c>
      <c r="G3479">
        <v>17</v>
      </c>
      <c r="H3479">
        <v>0</v>
      </c>
    </row>
    <row r="3480" spans="1:8" x14ac:dyDescent="0.25">
      <c r="A3480">
        <v>18023726</v>
      </c>
      <c r="B3480">
        <v>13</v>
      </c>
      <c r="C3480">
        <v>10</v>
      </c>
      <c r="D3480">
        <v>1</v>
      </c>
      <c r="E3480">
        <v>4</v>
      </c>
      <c r="F3480">
        <v>13</v>
      </c>
      <c r="G3480">
        <v>29</v>
      </c>
      <c r="H3480">
        <v>10.79</v>
      </c>
    </row>
    <row r="3481" spans="1:8" x14ac:dyDescent="0.25">
      <c r="A3481">
        <v>18338940</v>
      </c>
      <c r="B3481">
        <v>43</v>
      </c>
      <c r="C3481">
        <v>20</v>
      </c>
      <c r="D3481">
        <v>7</v>
      </c>
      <c r="E3481">
        <v>16</v>
      </c>
      <c r="F3481">
        <v>49</v>
      </c>
      <c r="G3481">
        <v>92</v>
      </c>
      <c r="H3481">
        <v>11.59</v>
      </c>
    </row>
    <row r="3482" spans="1:8" x14ac:dyDescent="0.25">
      <c r="A3482">
        <v>18358967</v>
      </c>
      <c r="B3482">
        <v>2</v>
      </c>
      <c r="C3482">
        <v>0</v>
      </c>
      <c r="D3482">
        <v>0</v>
      </c>
      <c r="E3482">
        <v>0</v>
      </c>
      <c r="F3482">
        <v>2</v>
      </c>
      <c r="G3482">
        <v>4</v>
      </c>
      <c r="H3482">
        <v>0</v>
      </c>
    </row>
    <row r="3483" spans="1:8" x14ac:dyDescent="0.25">
      <c r="A3483">
        <v>18373752</v>
      </c>
      <c r="B3483">
        <v>37</v>
      </c>
      <c r="C3483">
        <v>0</v>
      </c>
      <c r="D3483">
        <v>1</v>
      </c>
      <c r="E3483">
        <v>1</v>
      </c>
      <c r="F3483">
        <v>9</v>
      </c>
      <c r="G3483">
        <v>20</v>
      </c>
      <c r="H3483">
        <v>17.989999999999998</v>
      </c>
    </row>
    <row r="3484" spans="1:8" x14ac:dyDescent="0.25">
      <c r="A3484">
        <v>18373753</v>
      </c>
      <c r="B3484">
        <v>101</v>
      </c>
      <c r="C3484">
        <v>25</v>
      </c>
      <c r="D3484">
        <v>2</v>
      </c>
      <c r="E3484">
        <v>5</v>
      </c>
      <c r="F3484">
        <v>7</v>
      </c>
      <c r="G3484">
        <v>11</v>
      </c>
      <c r="H3484">
        <v>67.790000000000006</v>
      </c>
    </row>
    <row r="3485" spans="1:8" x14ac:dyDescent="0.25">
      <c r="A3485">
        <v>18373754</v>
      </c>
      <c r="B3485">
        <v>78</v>
      </c>
      <c r="C3485">
        <v>3</v>
      </c>
      <c r="D3485">
        <v>1</v>
      </c>
      <c r="E3485">
        <v>3</v>
      </c>
      <c r="F3485">
        <v>13</v>
      </c>
      <c r="G3485">
        <v>21</v>
      </c>
      <c r="H3485">
        <v>29.99</v>
      </c>
    </row>
    <row r="3486" spans="1:8" x14ac:dyDescent="0.25">
      <c r="A3486">
        <v>18373755</v>
      </c>
      <c r="B3486">
        <v>102</v>
      </c>
      <c r="C3486">
        <v>36</v>
      </c>
      <c r="D3486">
        <v>3</v>
      </c>
      <c r="E3486">
        <v>9</v>
      </c>
      <c r="F3486">
        <v>32</v>
      </c>
      <c r="G3486">
        <v>40</v>
      </c>
      <c r="H3486">
        <v>24.99</v>
      </c>
    </row>
    <row r="3487" spans="1:8" x14ac:dyDescent="0.25">
      <c r="A3487">
        <v>18373756</v>
      </c>
      <c r="B3487">
        <v>149</v>
      </c>
      <c r="C3487">
        <v>13</v>
      </c>
      <c r="D3487">
        <v>7</v>
      </c>
      <c r="E3487">
        <v>18</v>
      </c>
      <c r="F3487">
        <v>70</v>
      </c>
      <c r="G3487">
        <v>109</v>
      </c>
      <c r="H3487">
        <v>29.99</v>
      </c>
    </row>
    <row r="3488" spans="1:8" x14ac:dyDescent="0.25">
      <c r="A3488">
        <v>18373757</v>
      </c>
      <c r="B3488">
        <v>136</v>
      </c>
      <c r="C3488">
        <v>0</v>
      </c>
      <c r="D3488">
        <v>0</v>
      </c>
      <c r="E3488">
        <v>6</v>
      </c>
      <c r="F3488">
        <v>31</v>
      </c>
      <c r="G3488">
        <v>51</v>
      </c>
      <c r="H3488">
        <v>0</v>
      </c>
    </row>
    <row r="3489" spans="1:8" x14ac:dyDescent="0.25">
      <c r="A3489">
        <v>18373758</v>
      </c>
      <c r="B3489">
        <v>59</v>
      </c>
      <c r="C3489">
        <v>0</v>
      </c>
      <c r="D3489">
        <v>4</v>
      </c>
      <c r="E3489">
        <v>6</v>
      </c>
      <c r="F3489">
        <v>17</v>
      </c>
      <c r="G3489">
        <v>26</v>
      </c>
      <c r="H3489">
        <v>17.989999999999998</v>
      </c>
    </row>
    <row r="3490" spans="1:8" x14ac:dyDescent="0.25">
      <c r="A3490">
        <v>18373759</v>
      </c>
      <c r="B3490">
        <v>32</v>
      </c>
      <c r="C3490">
        <v>1</v>
      </c>
      <c r="D3490">
        <v>0</v>
      </c>
      <c r="E3490">
        <v>3</v>
      </c>
      <c r="F3490">
        <v>5</v>
      </c>
      <c r="G3490">
        <v>18</v>
      </c>
      <c r="H3490">
        <v>0</v>
      </c>
    </row>
    <row r="3491" spans="1:8" x14ac:dyDescent="0.25">
      <c r="A3491">
        <v>18373760</v>
      </c>
      <c r="B3491">
        <v>25</v>
      </c>
      <c r="C3491">
        <v>7</v>
      </c>
      <c r="D3491">
        <v>0</v>
      </c>
      <c r="E3491">
        <v>4</v>
      </c>
      <c r="F3491">
        <v>11</v>
      </c>
      <c r="G3491">
        <v>21</v>
      </c>
      <c r="H3491">
        <v>0</v>
      </c>
    </row>
    <row r="3492" spans="1:8" x14ac:dyDescent="0.25">
      <c r="A3492">
        <v>18373761</v>
      </c>
      <c r="B3492">
        <v>18</v>
      </c>
      <c r="C3492">
        <v>0</v>
      </c>
      <c r="D3492">
        <v>0</v>
      </c>
      <c r="E3492">
        <v>0</v>
      </c>
      <c r="F3492">
        <v>4</v>
      </c>
      <c r="G3492">
        <v>8</v>
      </c>
      <c r="H3492">
        <v>0</v>
      </c>
    </row>
    <row r="3493" spans="1:8" x14ac:dyDescent="0.25">
      <c r="A3493">
        <v>18373762</v>
      </c>
      <c r="B3493">
        <v>42</v>
      </c>
      <c r="C3493">
        <v>0</v>
      </c>
      <c r="D3493">
        <v>0</v>
      </c>
      <c r="E3493">
        <v>0</v>
      </c>
      <c r="F3493">
        <v>1</v>
      </c>
      <c r="G3493">
        <v>6</v>
      </c>
      <c r="H3493">
        <v>0</v>
      </c>
    </row>
    <row r="3494" spans="1:8" x14ac:dyDescent="0.25">
      <c r="A3494">
        <v>18373763</v>
      </c>
      <c r="B3494">
        <v>44</v>
      </c>
      <c r="C3494">
        <v>0</v>
      </c>
      <c r="D3494">
        <v>0</v>
      </c>
      <c r="E3494">
        <v>2</v>
      </c>
      <c r="F3494">
        <v>2</v>
      </c>
      <c r="G3494">
        <v>7</v>
      </c>
      <c r="H3494">
        <v>0</v>
      </c>
    </row>
    <row r="3495" spans="1:8" x14ac:dyDescent="0.25">
      <c r="A3495">
        <v>18373764</v>
      </c>
      <c r="B3495">
        <v>29</v>
      </c>
      <c r="C3495">
        <v>6</v>
      </c>
      <c r="D3495">
        <v>0</v>
      </c>
      <c r="E3495">
        <v>7</v>
      </c>
      <c r="F3495">
        <v>77</v>
      </c>
      <c r="G3495">
        <v>158</v>
      </c>
      <c r="H3495">
        <v>0</v>
      </c>
    </row>
    <row r="3496" spans="1:8" x14ac:dyDescent="0.25">
      <c r="A3496">
        <v>18373765</v>
      </c>
      <c r="B3496">
        <v>52</v>
      </c>
      <c r="C3496">
        <v>33</v>
      </c>
      <c r="D3496">
        <v>6</v>
      </c>
      <c r="E3496">
        <v>21</v>
      </c>
      <c r="F3496">
        <v>55</v>
      </c>
      <c r="G3496">
        <v>74</v>
      </c>
      <c r="H3496">
        <v>27.99</v>
      </c>
    </row>
    <row r="3497" spans="1:8" x14ac:dyDescent="0.25">
      <c r="A3497">
        <v>18373766</v>
      </c>
      <c r="B3497">
        <v>124</v>
      </c>
      <c r="C3497">
        <v>137</v>
      </c>
      <c r="D3497">
        <v>13</v>
      </c>
      <c r="E3497">
        <v>62</v>
      </c>
      <c r="F3497">
        <v>205</v>
      </c>
      <c r="G3497">
        <v>311</v>
      </c>
      <c r="H3497">
        <v>34.545400000000001</v>
      </c>
    </row>
    <row r="3498" spans="1:8" x14ac:dyDescent="0.25">
      <c r="A3498">
        <v>18373767</v>
      </c>
      <c r="B3498">
        <v>103</v>
      </c>
      <c r="C3498">
        <v>63</v>
      </c>
      <c r="D3498">
        <v>17</v>
      </c>
      <c r="E3498">
        <v>74</v>
      </c>
      <c r="F3498">
        <v>159</v>
      </c>
      <c r="G3498">
        <v>240</v>
      </c>
      <c r="H3498">
        <v>41.516500000000001</v>
      </c>
    </row>
    <row r="3499" spans="1:8" x14ac:dyDescent="0.25">
      <c r="A3499">
        <v>18373768</v>
      </c>
      <c r="B3499">
        <v>9</v>
      </c>
      <c r="C3499">
        <v>7</v>
      </c>
      <c r="D3499">
        <v>1</v>
      </c>
      <c r="E3499">
        <v>27</v>
      </c>
      <c r="F3499">
        <v>79</v>
      </c>
      <c r="G3499">
        <v>125</v>
      </c>
      <c r="H3499">
        <v>69.989999999999995</v>
      </c>
    </row>
    <row r="3500" spans="1:8" x14ac:dyDescent="0.25">
      <c r="A3500">
        <v>18373769</v>
      </c>
      <c r="B3500">
        <v>26</v>
      </c>
      <c r="C3500">
        <v>35</v>
      </c>
      <c r="D3500">
        <v>3</v>
      </c>
      <c r="E3500">
        <v>11</v>
      </c>
      <c r="F3500">
        <v>46</v>
      </c>
      <c r="G3500">
        <v>61</v>
      </c>
      <c r="H3500">
        <v>14.99</v>
      </c>
    </row>
    <row r="3501" spans="1:8" x14ac:dyDescent="0.25">
      <c r="A3501">
        <v>18373770</v>
      </c>
      <c r="B3501">
        <v>9</v>
      </c>
      <c r="C3501">
        <v>30</v>
      </c>
      <c r="D3501">
        <v>1</v>
      </c>
      <c r="E3501">
        <v>10</v>
      </c>
      <c r="F3501">
        <v>36</v>
      </c>
      <c r="G3501">
        <v>52</v>
      </c>
      <c r="H3501">
        <v>14.99</v>
      </c>
    </row>
    <row r="3502" spans="1:8" x14ac:dyDescent="0.25">
      <c r="A3502">
        <v>18373771</v>
      </c>
      <c r="B3502">
        <v>6</v>
      </c>
      <c r="C3502">
        <v>0</v>
      </c>
      <c r="D3502">
        <v>0</v>
      </c>
      <c r="E3502">
        <v>0</v>
      </c>
      <c r="F3502">
        <v>0</v>
      </c>
      <c r="G3502">
        <v>5</v>
      </c>
      <c r="H3502">
        <v>0</v>
      </c>
    </row>
    <row r="3503" spans="1:8" x14ac:dyDescent="0.25">
      <c r="A3503">
        <v>18373772</v>
      </c>
      <c r="B3503">
        <v>85</v>
      </c>
      <c r="C3503">
        <v>27</v>
      </c>
      <c r="D3503">
        <v>2</v>
      </c>
      <c r="E3503">
        <v>7</v>
      </c>
      <c r="F3503">
        <v>21</v>
      </c>
      <c r="G3503">
        <v>33</v>
      </c>
      <c r="H3503">
        <v>26.42</v>
      </c>
    </row>
    <row r="3504" spans="1:8" x14ac:dyDescent="0.25">
      <c r="A3504">
        <v>18373773</v>
      </c>
      <c r="B3504">
        <v>38</v>
      </c>
      <c r="C3504">
        <v>32</v>
      </c>
      <c r="D3504">
        <v>1</v>
      </c>
      <c r="E3504">
        <v>7</v>
      </c>
      <c r="F3504">
        <v>19</v>
      </c>
      <c r="G3504">
        <v>27</v>
      </c>
      <c r="H3504">
        <v>27.99</v>
      </c>
    </row>
    <row r="3505" spans="1:8" x14ac:dyDescent="0.25">
      <c r="A3505">
        <v>18373774</v>
      </c>
      <c r="B3505">
        <v>0</v>
      </c>
      <c r="C3505">
        <v>0</v>
      </c>
      <c r="D3505">
        <v>0</v>
      </c>
      <c r="E3505">
        <v>0</v>
      </c>
      <c r="F3505">
        <v>11</v>
      </c>
      <c r="G3505">
        <v>21</v>
      </c>
      <c r="H3505">
        <v>0</v>
      </c>
    </row>
    <row r="3506" spans="1:8" x14ac:dyDescent="0.25">
      <c r="A3506">
        <v>18373775</v>
      </c>
      <c r="B3506">
        <v>67</v>
      </c>
      <c r="C3506">
        <v>19</v>
      </c>
      <c r="D3506">
        <v>1</v>
      </c>
      <c r="E3506">
        <v>6</v>
      </c>
      <c r="F3506">
        <v>23</v>
      </c>
      <c r="G3506">
        <v>43</v>
      </c>
      <c r="H3506">
        <v>15.7</v>
      </c>
    </row>
    <row r="3507" spans="1:8" x14ac:dyDescent="0.25">
      <c r="A3507">
        <v>18373776</v>
      </c>
      <c r="B3507">
        <v>17</v>
      </c>
      <c r="C3507">
        <v>7</v>
      </c>
      <c r="D3507">
        <v>1</v>
      </c>
      <c r="E3507">
        <v>4</v>
      </c>
      <c r="F3507">
        <v>12</v>
      </c>
      <c r="G3507">
        <v>19</v>
      </c>
      <c r="H3507">
        <v>38.71</v>
      </c>
    </row>
    <row r="3508" spans="1:8" x14ac:dyDescent="0.25">
      <c r="A3508">
        <v>18373777</v>
      </c>
      <c r="B3508">
        <v>14</v>
      </c>
      <c r="C3508">
        <v>2</v>
      </c>
      <c r="D3508">
        <v>0</v>
      </c>
      <c r="E3508">
        <v>2</v>
      </c>
      <c r="F3508">
        <v>5</v>
      </c>
      <c r="G3508">
        <v>11</v>
      </c>
      <c r="H3508">
        <v>0</v>
      </c>
    </row>
    <row r="3509" spans="1:8" x14ac:dyDescent="0.25">
      <c r="A3509">
        <v>18373778</v>
      </c>
      <c r="B3509">
        <v>11</v>
      </c>
      <c r="C3509">
        <v>0</v>
      </c>
      <c r="D3509">
        <v>0</v>
      </c>
      <c r="E3509">
        <v>2</v>
      </c>
      <c r="F3509">
        <v>10</v>
      </c>
      <c r="G3509">
        <v>28</v>
      </c>
      <c r="H3509">
        <v>0</v>
      </c>
    </row>
    <row r="3510" spans="1:8" x14ac:dyDescent="0.25">
      <c r="A3510">
        <v>18664947</v>
      </c>
      <c r="B3510">
        <v>329</v>
      </c>
      <c r="C3510">
        <v>10</v>
      </c>
      <c r="D3510">
        <v>-1</v>
      </c>
      <c r="E3510">
        <v>8</v>
      </c>
      <c r="F3510">
        <v>28</v>
      </c>
      <c r="G3510">
        <v>60</v>
      </c>
      <c r="H3510">
        <v>159.99</v>
      </c>
    </row>
    <row r="3511" spans="1:8" x14ac:dyDescent="0.25">
      <c r="A3511">
        <v>18664948</v>
      </c>
      <c r="B3511">
        <v>155</v>
      </c>
      <c r="C3511">
        <v>0</v>
      </c>
      <c r="D3511">
        <v>0</v>
      </c>
      <c r="E3511">
        <v>4</v>
      </c>
      <c r="F3511">
        <v>9</v>
      </c>
      <c r="G3511">
        <v>19</v>
      </c>
      <c r="H3511">
        <v>0</v>
      </c>
    </row>
    <row r="3512" spans="1:8" x14ac:dyDescent="0.25">
      <c r="A3512">
        <v>18664949</v>
      </c>
      <c r="B3512">
        <v>287</v>
      </c>
      <c r="C3512">
        <v>30</v>
      </c>
      <c r="D3512">
        <v>9</v>
      </c>
      <c r="E3512">
        <v>33</v>
      </c>
      <c r="F3512">
        <v>114</v>
      </c>
      <c r="G3512">
        <v>236</v>
      </c>
      <c r="H3512">
        <v>158.37219999999999</v>
      </c>
    </row>
    <row r="3513" spans="1:8" x14ac:dyDescent="0.25">
      <c r="A3513">
        <v>18664950</v>
      </c>
      <c r="B3513">
        <v>211</v>
      </c>
      <c r="C3513">
        <v>0</v>
      </c>
      <c r="D3513">
        <v>2</v>
      </c>
      <c r="E3513">
        <v>7</v>
      </c>
      <c r="F3513">
        <v>23</v>
      </c>
      <c r="G3513">
        <v>64</v>
      </c>
      <c r="H3513">
        <v>159.99</v>
      </c>
    </row>
    <row r="3514" spans="1:8" x14ac:dyDescent="0.25">
      <c r="A3514">
        <v>18664951</v>
      </c>
      <c r="B3514">
        <v>234</v>
      </c>
      <c r="C3514">
        <v>80</v>
      </c>
      <c r="D3514">
        <v>15</v>
      </c>
      <c r="E3514">
        <v>96</v>
      </c>
      <c r="F3514">
        <v>384</v>
      </c>
      <c r="G3514">
        <v>748</v>
      </c>
      <c r="H3514">
        <v>47.544699999999999</v>
      </c>
    </row>
    <row r="3515" spans="1:8" x14ac:dyDescent="0.25">
      <c r="A3515">
        <v>18666300</v>
      </c>
      <c r="B3515">
        <v>41</v>
      </c>
      <c r="C3515">
        <v>0</v>
      </c>
      <c r="D3515">
        <v>4</v>
      </c>
      <c r="E3515">
        <v>26</v>
      </c>
      <c r="F3515">
        <v>79</v>
      </c>
      <c r="G3515">
        <v>198</v>
      </c>
      <c r="H3515">
        <v>671.10500000000002</v>
      </c>
    </row>
    <row r="3516" spans="1:8" x14ac:dyDescent="0.25">
      <c r="A3516">
        <v>18676297</v>
      </c>
      <c r="B3516">
        <v>12</v>
      </c>
      <c r="C3516">
        <v>0</v>
      </c>
      <c r="D3516">
        <v>0</v>
      </c>
      <c r="E3516">
        <v>0</v>
      </c>
      <c r="F3516">
        <v>27</v>
      </c>
      <c r="G3516">
        <v>681</v>
      </c>
      <c r="H3516">
        <v>0</v>
      </c>
    </row>
    <row r="3517" spans="1:8" x14ac:dyDescent="0.25">
      <c r="A3517">
        <v>18676299</v>
      </c>
      <c r="B3517">
        <v>2901</v>
      </c>
      <c r="C3517">
        <v>280</v>
      </c>
      <c r="D3517">
        <v>200</v>
      </c>
      <c r="E3517">
        <v>783</v>
      </c>
      <c r="F3517">
        <v>2802</v>
      </c>
      <c r="G3517">
        <v>5747</v>
      </c>
      <c r="H3517">
        <v>17.6113</v>
      </c>
    </row>
    <row r="3518" spans="1:8" x14ac:dyDescent="0.25">
      <c r="A3518">
        <v>18696461</v>
      </c>
      <c r="B3518">
        <v>462</v>
      </c>
      <c r="C3518">
        <v>94</v>
      </c>
      <c r="D3518">
        <v>38</v>
      </c>
      <c r="E3518">
        <v>162</v>
      </c>
      <c r="F3518">
        <v>489</v>
      </c>
      <c r="G3518">
        <v>1055</v>
      </c>
      <c r="H3518">
        <v>224.2595</v>
      </c>
    </row>
    <row r="3519" spans="1:8" x14ac:dyDescent="0.25">
      <c r="A3519">
        <v>18696462</v>
      </c>
      <c r="B3519">
        <v>140</v>
      </c>
      <c r="C3519">
        <v>34</v>
      </c>
      <c r="D3519">
        <v>17</v>
      </c>
      <c r="E3519">
        <v>38</v>
      </c>
      <c r="F3519">
        <v>141</v>
      </c>
      <c r="G3519">
        <v>345</v>
      </c>
      <c r="H3519">
        <v>224.17529999999999</v>
      </c>
    </row>
    <row r="3520" spans="1:8" x14ac:dyDescent="0.25">
      <c r="A3520">
        <v>18704119</v>
      </c>
      <c r="B3520">
        <v>125</v>
      </c>
      <c r="C3520">
        <v>20</v>
      </c>
      <c r="D3520">
        <v>3</v>
      </c>
      <c r="E3520">
        <v>11</v>
      </c>
      <c r="F3520">
        <v>40</v>
      </c>
      <c r="G3520">
        <v>118</v>
      </c>
      <c r="H3520">
        <v>324.94</v>
      </c>
    </row>
    <row r="3521" spans="1:8" x14ac:dyDescent="0.25">
      <c r="A3521">
        <v>18704120</v>
      </c>
      <c r="B3521">
        <v>323</v>
      </c>
      <c r="C3521">
        <v>70</v>
      </c>
      <c r="D3521">
        <v>6</v>
      </c>
      <c r="E3521">
        <v>19</v>
      </c>
      <c r="F3521">
        <v>47</v>
      </c>
      <c r="G3521">
        <v>132</v>
      </c>
      <c r="H3521">
        <v>18.318300000000001</v>
      </c>
    </row>
    <row r="3522" spans="1:8" x14ac:dyDescent="0.25">
      <c r="A3522">
        <v>18719000</v>
      </c>
      <c r="B3522">
        <v>512</v>
      </c>
      <c r="C3522">
        <v>0</v>
      </c>
      <c r="D3522">
        <v>0</v>
      </c>
      <c r="E3522">
        <v>7</v>
      </c>
      <c r="F3522">
        <v>60</v>
      </c>
      <c r="G3522">
        <v>124</v>
      </c>
      <c r="H3522">
        <v>0</v>
      </c>
    </row>
    <row r="3523" spans="1:8" x14ac:dyDescent="0.25">
      <c r="A3523">
        <v>18719001</v>
      </c>
      <c r="B3523">
        <v>236</v>
      </c>
      <c r="C3523">
        <v>28</v>
      </c>
      <c r="D3523">
        <v>3</v>
      </c>
      <c r="E3523">
        <v>20</v>
      </c>
      <c r="F3523">
        <v>139</v>
      </c>
      <c r="G3523">
        <v>358</v>
      </c>
      <c r="H3523">
        <v>137.32329999999999</v>
      </c>
    </row>
    <row r="3524" spans="1:8" x14ac:dyDescent="0.25">
      <c r="A3524">
        <v>18719002</v>
      </c>
      <c r="B3524">
        <v>405</v>
      </c>
      <c r="C3524">
        <v>200</v>
      </c>
      <c r="D3524">
        <v>24</v>
      </c>
      <c r="E3524">
        <v>99</v>
      </c>
      <c r="F3524">
        <v>328</v>
      </c>
      <c r="G3524">
        <v>1202</v>
      </c>
      <c r="H3524">
        <v>195.84829999999999</v>
      </c>
    </row>
    <row r="3525" spans="1:8" x14ac:dyDescent="0.25">
      <c r="A3525">
        <v>18729138</v>
      </c>
      <c r="B3525">
        <v>101</v>
      </c>
      <c r="C3525">
        <v>12</v>
      </c>
      <c r="D3525">
        <v>7</v>
      </c>
      <c r="E3525">
        <v>54</v>
      </c>
      <c r="F3525">
        <v>193</v>
      </c>
      <c r="G3525">
        <v>641</v>
      </c>
      <c r="H3525">
        <v>217.53710000000001</v>
      </c>
    </row>
    <row r="3526" spans="1:8" x14ac:dyDescent="0.25">
      <c r="A3526">
        <v>18732024</v>
      </c>
      <c r="B3526">
        <v>170</v>
      </c>
      <c r="C3526">
        <v>0</v>
      </c>
      <c r="D3526">
        <v>2</v>
      </c>
      <c r="E3526">
        <v>23</v>
      </c>
      <c r="F3526">
        <v>72</v>
      </c>
      <c r="G3526">
        <v>155</v>
      </c>
      <c r="H3526">
        <v>549.99</v>
      </c>
    </row>
    <row r="3527" spans="1:8" x14ac:dyDescent="0.25">
      <c r="A3527">
        <v>18732025</v>
      </c>
      <c r="B3527">
        <v>176</v>
      </c>
      <c r="C3527">
        <v>80</v>
      </c>
      <c r="D3527">
        <v>1</v>
      </c>
      <c r="E3527">
        <v>19</v>
      </c>
      <c r="F3527">
        <v>99</v>
      </c>
      <c r="G3527">
        <v>274</v>
      </c>
      <c r="H3527">
        <v>489.99</v>
      </c>
    </row>
    <row r="3528" spans="1:8" x14ac:dyDescent="0.25">
      <c r="A3528">
        <v>18732026</v>
      </c>
      <c r="B3528">
        <v>99</v>
      </c>
      <c r="C3528">
        <v>0</v>
      </c>
      <c r="D3528">
        <v>3</v>
      </c>
      <c r="E3528">
        <v>33</v>
      </c>
      <c r="F3528">
        <v>155</v>
      </c>
      <c r="G3528">
        <v>1666</v>
      </c>
      <c r="H3528">
        <v>198.32329999999999</v>
      </c>
    </row>
    <row r="3529" spans="1:8" x14ac:dyDescent="0.25">
      <c r="A3529">
        <v>18738904</v>
      </c>
      <c r="B3529">
        <v>0</v>
      </c>
      <c r="C3529">
        <v>0</v>
      </c>
      <c r="D3529">
        <v>0</v>
      </c>
      <c r="E3529">
        <v>0</v>
      </c>
      <c r="F3529">
        <v>2</v>
      </c>
      <c r="G3529">
        <v>94</v>
      </c>
      <c r="H3529">
        <v>0</v>
      </c>
    </row>
    <row r="3530" spans="1:8" x14ac:dyDescent="0.25">
      <c r="A3530">
        <v>18738905</v>
      </c>
      <c r="B3530">
        <v>-2</v>
      </c>
      <c r="C3530">
        <v>0</v>
      </c>
      <c r="D3530">
        <v>0</v>
      </c>
      <c r="E3530">
        <v>0</v>
      </c>
      <c r="F3530">
        <v>52</v>
      </c>
      <c r="G3530">
        <v>289</v>
      </c>
      <c r="H3530">
        <v>0</v>
      </c>
    </row>
    <row r="3531" spans="1:8" x14ac:dyDescent="0.25">
      <c r="A3531">
        <v>18738906</v>
      </c>
      <c r="B3531">
        <v>1</v>
      </c>
      <c r="C3531">
        <v>0</v>
      </c>
      <c r="D3531">
        <v>0</v>
      </c>
      <c r="E3531">
        <v>0</v>
      </c>
      <c r="F3531">
        <v>46</v>
      </c>
      <c r="G3531">
        <v>239</v>
      </c>
      <c r="H3531">
        <v>0</v>
      </c>
    </row>
    <row r="3532" spans="1:8" x14ac:dyDescent="0.25">
      <c r="A3532">
        <v>18739147</v>
      </c>
      <c r="B3532">
        <v>153</v>
      </c>
      <c r="C3532">
        <v>36</v>
      </c>
      <c r="D3532">
        <v>1</v>
      </c>
      <c r="E3532">
        <v>3</v>
      </c>
      <c r="F3532">
        <v>23</v>
      </c>
      <c r="G3532">
        <v>88</v>
      </c>
      <c r="H3532">
        <v>229</v>
      </c>
    </row>
    <row r="3533" spans="1:8" x14ac:dyDescent="0.25">
      <c r="A3533">
        <v>18739148</v>
      </c>
      <c r="B3533">
        <v>237</v>
      </c>
      <c r="C3533">
        <v>24</v>
      </c>
      <c r="D3533">
        <v>7</v>
      </c>
      <c r="E3533">
        <v>15</v>
      </c>
      <c r="F3533">
        <v>57</v>
      </c>
      <c r="G3533">
        <v>143</v>
      </c>
      <c r="H3533">
        <v>259.75290000000001</v>
      </c>
    </row>
    <row r="3534" spans="1:8" x14ac:dyDescent="0.25">
      <c r="A3534">
        <v>18823950</v>
      </c>
      <c r="B3534">
        <v>308</v>
      </c>
      <c r="C3534">
        <v>87</v>
      </c>
      <c r="D3534">
        <v>10</v>
      </c>
      <c r="E3534">
        <v>29</v>
      </c>
      <c r="F3534">
        <v>140</v>
      </c>
      <c r="G3534">
        <v>366</v>
      </c>
      <c r="H3534">
        <v>388.83100000000002</v>
      </c>
    </row>
    <row r="3535" spans="1:8" x14ac:dyDescent="0.25">
      <c r="A3535">
        <v>18823951</v>
      </c>
      <c r="B3535">
        <v>84</v>
      </c>
      <c r="C3535">
        <v>11</v>
      </c>
      <c r="D3535">
        <v>1</v>
      </c>
      <c r="E3535">
        <v>2</v>
      </c>
      <c r="F3535">
        <v>38</v>
      </c>
      <c r="G3535">
        <v>116</v>
      </c>
      <c r="H3535">
        <v>319.99</v>
      </c>
    </row>
    <row r="3536" spans="1:8" x14ac:dyDescent="0.25">
      <c r="A3536">
        <v>18823952</v>
      </c>
      <c r="B3536">
        <v>134</v>
      </c>
      <c r="C3536">
        <v>150</v>
      </c>
      <c r="D3536">
        <v>25</v>
      </c>
      <c r="E3536">
        <v>48</v>
      </c>
      <c r="F3536">
        <v>465</v>
      </c>
      <c r="G3536">
        <v>960</v>
      </c>
      <c r="H3536">
        <v>150.73240000000001</v>
      </c>
    </row>
    <row r="3537" spans="1:8" x14ac:dyDescent="0.25">
      <c r="A3537">
        <v>18823953</v>
      </c>
      <c r="B3537">
        <v>98</v>
      </c>
      <c r="C3537">
        <v>10</v>
      </c>
      <c r="D3537">
        <v>3</v>
      </c>
      <c r="E3537">
        <v>9</v>
      </c>
      <c r="F3537">
        <v>37</v>
      </c>
      <c r="G3537">
        <v>113</v>
      </c>
      <c r="H3537">
        <v>369.99</v>
      </c>
    </row>
    <row r="3538" spans="1:8" x14ac:dyDescent="0.25">
      <c r="A3538">
        <v>18823954</v>
      </c>
      <c r="B3538">
        <v>52</v>
      </c>
      <c r="C3538">
        <v>2</v>
      </c>
      <c r="D3538">
        <v>0</v>
      </c>
      <c r="E3538">
        <v>2</v>
      </c>
      <c r="F3538">
        <v>13</v>
      </c>
      <c r="G3538">
        <v>47</v>
      </c>
      <c r="H3538">
        <v>0</v>
      </c>
    </row>
    <row r="3539" spans="1:8" x14ac:dyDescent="0.25">
      <c r="A3539">
        <v>18823958</v>
      </c>
      <c r="B3539">
        <v>1</v>
      </c>
      <c r="C3539">
        <v>0</v>
      </c>
      <c r="D3539">
        <v>0</v>
      </c>
      <c r="E3539">
        <v>0</v>
      </c>
      <c r="F3539">
        <v>0</v>
      </c>
      <c r="G3539">
        <v>1</v>
      </c>
      <c r="H3539">
        <v>0</v>
      </c>
    </row>
    <row r="3540" spans="1:8" x14ac:dyDescent="0.25">
      <c r="A3540">
        <v>18831243</v>
      </c>
      <c r="B3540">
        <v>-1</v>
      </c>
      <c r="C3540">
        <v>0</v>
      </c>
      <c r="D3540">
        <v>0</v>
      </c>
      <c r="E3540">
        <v>0</v>
      </c>
      <c r="F3540">
        <v>4</v>
      </c>
      <c r="G3540">
        <v>12</v>
      </c>
      <c r="H3540">
        <v>0</v>
      </c>
    </row>
    <row r="3541" spans="1:8" x14ac:dyDescent="0.25">
      <c r="A3541">
        <v>18831268</v>
      </c>
      <c r="B3541">
        <v>224</v>
      </c>
      <c r="C3541">
        <v>0</v>
      </c>
      <c r="D3541">
        <v>8</v>
      </c>
      <c r="E3541">
        <v>14</v>
      </c>
      <c r="F3541">
        <v>43</v>
      </c>
      <c r="G3541">
        <v>180</v>
      </c>
      <c r="H3541">
        <v>43.052500000000002</v>
      </c>
    </row>
    <row r="3542" spans="1:8" x14ac:dyDescent="0.25">
      <c r="A3542">
        <v>18831269</v>
      </c>
      <c r="B3542">
        <v>115</v>
      </c>
      <c r="C3542">
        <v>0</v>
      </c>
      <c r="D3542">
        <v>3</v>
      </c>
      <c r="E3542">
        <v>7</v>
      </c>
      <c r="F3542">
        <v>15</v>
      </c>
      <c r="G3542">
        <v>70</v>
      </c>
      <c r="H3542">
        <v>104.4267</v>
      </c>
    </row>
    <row r="3543" spans="1:8" x14ac:dyDescent="0.25">
      <c r="A3543">
        <v>18831270</v>
      </c>
      <c r="B3543">
        <v>705</v>
      </c>
      <c r="C3543">
        <v>0</v>
      </c>
      <c r="D3543">
        <v>2</v>
      </c>
      <c r="E3543">
        <v>18</v>
      </c>
      <c r="F3543">
        <v>83</v>
      </c>
      <c r="G3543">
        <v>358</v>
      </c>
      <c r="H3543">
        <v>127.85</v>
      </c>
    </row>
    <row r="3544" spans="1:8" x14ac:dyDescent="0.25">
      <c r="A3544">
        <v>18831271</v>
      </c>
      <c r="B3544">
        <v>255</v>
      </c>
      <c r="C3544">
        <v>0</v>
      </c>
      <c r="D3544">
        <v>8</v>
      </c>
      <c r="E3544">
        <v>23</v>
      </c>
      <c r="F3544">
        <v>64</v>
      </c>
      <c r="G3544">
        <v>205</v>
      </c>
      <c r="H3544">
        <v>168.84870000000001</v>
      </c>
    </row>
    <row r="3545" spans="1:8" x14ac:dyDescent="0.25">
      <c r="A3545">
        <v>18833435</v>
      </c>
      <c r="B3545">
        <v>12</v>
      </c>
      <c r="C3545">
        <v>0</v>
      </c>
      <c r="D3545">
        <v>0</v>
      </c>
      <c r="E3545">
        <v>3</v>
      </c>
      <c r="F3545">
        <v>27</v>
      </c>
      <c r="G3545">
        <v>77</v>
      </c>
      <c r="H3545">
        <v>0</v>
      </c>
    </row>
    <row r="3546" spans="1:8" x14ac:dyDescent="0.25">
      <c r="A3546">
        <v>18833436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1</v>
      </c>
      <c r="H3546">
        <v>0</v>
      </c>
    </row>
    <row r="3547" spans="1:8" x14ac:dyDescent="0.25">
      <c r="A3547">
        <v>18833486</v>
      </c>
      <c r="B3547">
        <v>22</v>
      </c>
      <c r="C3547">
        <v>0</v>
      </c>
      <c r="D3547">
        <v>0</v>
      </c>
      <c r="E3547">
        <v>1</v>
      </c>
      <c r="F3547">
        <v>15</v>
      </c>
      <c r="G3547">
        <v>175</v>
      </c>
      <c r="H3547">
        <v>0</v>
      </c>
    </row>
    <row r="3548" spans="1:8" x14ac:dyDescent="0.25">
      <c r="A3548">
        <v>18833487</v>
      </c>
      <c r="B3548">
        <v>43</v>
      </c>
      <c r="C3548">
        <v>0</v>
      </c>
      <c r="D3548">
        <v>0</v>
      </c>
      <c r="E3548">
        <v>2</v>
      </c>
      <c r="F3548">
        <v>12</v>
      </c>
      <c r="G3548">
        <v>83</v>
      </c>
      <c r="H3548">
        <v>0</v>
      </c>
    </row>
    <row r="3549" spans="1:8" x14ac:dyDescent="0.25">
      <c r="A3549">
        <v>18838730</v>
      </c>
      <c r="B3549">
        <v>2</v>
      </c>
      <c r="C3549">
        <v>0</v>
      </c>
      <c r="D3549">
        <v>0</v>
      </c>
      <c r="E3549">
        <v>0</v>
      </c>
      <c r="F3549">
        <v>2</v>
      </c>
      <c r="G3549">
        <v>13</v>
      </c>
      <c r="H3549">
        <v>0</v>
      </c>
    </row>
    <row r="3550" spans="1:8" x14ac:dyDescent="0.25">
      <c r="A3550">
        <v>18838731</v>
      </c>
      <c r="B3550">
        <v>0</v>
      </c>
      <c r="C3550">
        <v>1</v>
      </c>
      <c r="D3550">
        <v>0</v>
      </c>
      <c r="E3550">
        <v>0</v>
      </c>
      <c r="F3550">
        <v>-1</v>
      </c>
      <c r="G3550">
        <v>15</v>
      </c>
      <c r="H3550">
        <v>0</v>
      </c>
    </row>
    <row r="3551" spans="1:8" x14ac:dyDescent="0.25">
      <c r="A3551">
        <v>18841001</v>
      </c>
      <c r="B3551">
        <v>147</v>
      </c>
      <c r="C3551">
        <v>0</v>
      </c>
      <c r="D3551">
        <v>10</v>
      </c>
      <c r="E3551">
        <v>46</v>
      </c>
      <c r="F3551">
        <v>179</v>
      </c>
      <c r="G3551">
        <v>548</v>
      </c>
      <c r="H3551">
        <v>150.88300000000001</v>
      </c>
    </row>
    <row r="3552" spans="1:8" x14ac:dyDescent="0.25">
      <c r="A3552">
        <v>18869962</v>
      </c>
      <c r="B3552">
        <v>2</v>
      </c>
      <c r="C3552">
        <v>0</v>
      </c>
      <c r="D3552">
        <v>0</v>
      </c>
      <c r="E3552">
        <v>6</v>
      </c>
      <c r="F3552">
        <v>56</v>
      </c>
      <c r="G3552">
        <v>168</v>
      </c>
      <c r="H3552">
        <v>0</v>
      </c>
    </row>
    <row r="3553" spans="1:8" x14ac:dyDescent="0.25">
      <c r="A3553">
        <v>18870177</v>
      </c>
      <c r="B3553">
        <v>376</v>
      </c>
      <c r="C3553">
        <v>0</v>
      </c>
      <c r="D3553">
        <v>8</v>
      </c>
      <c r="E3553">
        <v>27</v>
      </c>
      <c r="F3553">
        <v>92</v>
      </c>
      <c r="G3553">
        <v>586</v>
      </c>
      <c r="H3553">
        <v>198.1337</v>
      </c>
    </row>
    <row r="3554" spans="1:8" x14ac:dyDescent="0.25">
      <c r="A3554">
        <v>18893776</v>
      </c>
      <c r="B3554">
        <v>80</v>
      </c>
      <c r="C3554">
        <v>0</v>
      </c>
      <c r="D3554">
        <v>6</v>
      </c>
      <c r="E3554">
        <v>12</v>
      </c>
      <c r="F3554">
        <v>53</v>
      </c>
      <c r="G3554">
        <v>101</v>
      </c>
      <c r="H3554">
        <v>1920.28</v>
      </c>
    </row>
    <row r="3555" spans="1:8" x14ac:dyDescent="0.25">
      <c r="A3555">
        <v>18893777</v>
      </c>
      <c r="B3555">
        <v>48</v>
      </c>
      <c r="C3555">
        <v>0</v>
      </c>
      <c r="D3555">
        <v>2</v>
      </c>
      <c r="E3555">
        <v>10</v>
      </c>
      <c r="F3555">
        <v>46</v>
      </c>
      <c r="G3555">
        <v>123</v>
      </c>
      <c r="H3555">
        <v>1149.99</v>
      </c>
    </row>
    <row r="3556" spans="1:8" x14ac:dyDescent="0.25">
      <c r="A3556">
        <v>18893778</v>
      </c>
      <c r="B3556">
        <v>27</v>
      </c>
      <c r="C3556">
        <v>0</v>
      </c>
      <c r="D3556">
        <v>3</v>
      </c>
      <c r="E3556">
        <v>7</v>
      </c>
      <c r="F3556">
        <v>34</v>
      </c>
      <c r="G3556">
        <v>74</v>
      </c>
      <c r="H3556">
        <v>699.99</v>
      </c>
    </row>
    <row r="3557" spans="1:8" x14ac:dyDescent="0.25">
      <c r="A3557">
        <v>18894072</v>
      </c>
      <c r="B3557">
        <v>40</v>
      </c>
      <c r="C3557">
        <v>0</v>
      </c>
      <c r="D3557">
        <v>-1</v>
      </c>
      <c r="E3557">
        <v>9</v>
      </c>
      <c r="F3557">
        <v>47</v>
      </c>
      <c r="G3557">
        <v>141</v>
      </c>
      <c r="H3557">
        <v>3</v>
      </c>
    </row>
    <row r="3558" spans="1:8" x14ac:dyDescent="0.25">
      <c r="A3558">
        <v>18895138</v>
      </c>
      <c r="B3558">
        <v>19</v>
      </c>
      <c r="C3558">
        <v>0</v>
      </c>
      <c r="D3558">
        <v>4</v>
      </c>
      <c r="E3558">
        <v>15</v>
      </c>
      <c r="F3558">
        <v>19</v>
      </c>
      <c r="G3558">
        <v>43</v>
      </c>
      <c r="H3558">
        <v>18.245000000000001</v>
      </c>
    </row>
    <row r="3559" spans="1:8" x14ac:dyDescent="0.25">
      <c r="A3559">
        <v>18895139</v>
      </c>
      <c r="B3559">
        <v>17</v>
      </c>
      <c r="C3559">
        <v>0</v>
      </c>
      <c r="D3559">
        <v>0</v>
      </c>
      <c r="E3559">
        <v>0</v>
      </c>
      <c r="F3559">
        <v>0</v>
      </c>
      <c r="G3559">
        <v>1</v>
      </c>
      <c r="H3559">
        <v>0</v>
      </c>
    </row>
    <row r="3560" spans="1:8" x14ac:dyDescent="0.25">
      <c r="A3560">
        <v>18895140</v>
      </c>
      <c r="B3560">
        <v>1</v>
      </c>
      <c r="C3560">
        <v>10</v>
      </c>
      <c r="D3560">
        <v>1</v>
      </c>
      <c r="E3560">
        <v>5</v>
      </c>
      <c r="F3560">
        <v>15</v>
      </c>
      <c r="G3560">
        <v>22</v>
      </c>
      <c r="H3560">
        <v>14.99</v>
      </c>
    </row>
    <row r="3561" spans="1:8" x14ac:dyDescent="0.25">
      <c r="A3561">
        <v>18895141</v>
      </c>
      <c r="B3561">
        <v>2</v>
      </c>
      <c r="C3561">
        <v>30</v>
      </c>
      <c r="D3561">
        <v>1</v>
      </c>
      <c r="E3561">
        <v>20</v>
      </c>
      <c r="F3561">
        <v>90</v>
      </c>
      <c r="G3561">
        <v>169</v>
      </c>
      <c r="H3561">
        <v>16.010000000000002</v>
      </c>
    </row>
    <row r="3562" spans="1:8" x14ac:dyDescent="0.25">
      <c r="A3562">
        <v>18895142</v>
      </c>
      <c r="B3562">
        <v>-1</v>
      </c>
      <c r="C3562">
        <v>30</v>
      </c>
      <c r="D3562">
        <v>5</v>
      </c>
      <c r="E3562">
        <v>18</v>
      </c>
      <c r="F3562">
        <v>52</v>
      </c>
      <c r="G3562">
        <v>95</v>
      </c>
      <c r="H3562">
        <v>10.816000000000001</v>
      </c>
    </row>
    <row r="3563" spans="1:8" x14ac:dyDescent="0.25">
      <c r="A3563">
        <v>18895143</v>
      </c>
      <c r="B3563">
        <v>6</v>
      </c>
      <c r="C3563">
        <v>25</v>
      </c>
      <c r="D3563">
        <v>1</v>
      </c>
      <c r="E3563">
        <v>17</v>
      </c>
      <c r="F3563">
        <v>71</v>
      </c>
      <c r="G3563">
        <v>118</v>
      </c>
      <c r="H3563">
        <v>10.99</v>
      </c>
    </row>
    <row r="3564" spans="1:8" x14ac:dyDescent="0.25">
      <c r="A3564">
        <v>18895144</v>
      </c>
      <c r="B3564">
        <v>11</v>
      </c>
      <c r="C3564">
        <v>5</v>
      </c>
      <c r="D3564">
        <v>4</v>
      </c>
      <c r="E3564">
        <v>4</v>
      </c>
      <c r="F3564">
        <v>16</v>
      </c>
      <c r="G3564">
        <v>27</v>
      </c>
      <c r="H3564">
        <v>14.99</v>
      </c>
    </row>
    <row r="3565" spans="1:8" x14ac:dyDescent="0.25">
      <c r="A3565">
        <v>18895145</v>
      </c>
      <c r="B3565">
        <v>27</v>
      </c>
      <c r="C3565">
        <v>10</v>
      </c>
      <c r="D3565">
        <v>1</v>
      </c>
      <c r="E3565">
        <v>8</v>
      </c>
      <c r="F3565">
        <v>46</v>
      </c>
      <c r="G3565">
        <v>70</v>
      </c>
      <c r="H3565">
        <v>29.99</v>
      </c>
    </row>
    <row r="3566" spans="1:8" x14ac:dyDescent="0.25">
      <c r="A3566">
        <v>18895146</v>
      </c>
      <c r="B3566">
        <v>28</v>
      </c>
      <c r="C3566">
        <v>25</v>
      </c>
      <c r="D3566">
        <v>0</v>
      </c>
      <c r="E3566">
        <v>0</v>
      </c>
      <c r="F3566">
        <v>19</v>
      </c>
      <c r="G3566">
        <v>26</v>
      </c>
      <c r="H3566">
        <v>0</v>
      </c>
    </row>
    <row r="3567" spans="1:8" x14ac:dyDescent="0.25">
      <c r="A3567">
        <v>18895147</v>
      </c>
      <c r="B3567">
        <v>10</v>
      </c>
      <c r="C3567">
        <v>30</v>
      </c>
      <c r="D3567">
        <v>2</v>
      </c>
      <c r="E3567">
        <v>24</v>
      </c>
      <c r="F3567">
        <v>79</v>
      </c>
      <c r="G3567">
        <v>127</v>
      </c>
      <c r="H3567">
        <v>27.99</v>
      </c>
    </row>
    <row r="3568" spans="1:8" x14ac:dyDescent="0.25">
      <c r="A3568">
        <v>18895148</v>
      </c>
      <c r="B3568">
        <v>22</v>
      </c>
      <c r="C3568">
        <v>10</v>
      </c>
      <c r="D3568">
        <v>1</v>
      </c>
      <c r="E3568">
        <v>8</v>
      </c>
      <c r="F3568">
        <v>17</v>
      </c>
      <c r="G3568">
        <v>29</v>
      </c>
      <c r="H3568">
        <v>4.99</v>
      </c>
    </row>
    <row r="3569" spans="1:8" x14ac:dyDescent="0.25">
      <c r="A3569">
        <v>18895149</v>
      </c>
      <c r="B3569">
        <v>41</v>
      </c>
      <c r="C3569">
        <v>20</v>
      </c>
      <c r="D3569">
        <v>2</v>
      </c>
      <c r="E3569">
        <v>17</v>
      </c>
      <c r="F3569">
        <v>57</v>
      </c>
      <c r="G3569">
        <v>67</v>
      </c>
      <c r="H3569">
        <v>49.99</v>
      </c>
    </row>
    <row r="3570" spans="1:8" x14ac:dyDescent="0.25">
      <c r="A3570">
        <v>18895150</v>
      </c>
      <c r="B3570">
        <v>18</v>
      </c>
      <c r="C3570">
        <v>5</v>
      </c>
      <c r="D3570">
        <v>1</v>
      </c>
      <c r="E3570">
        <v>5</v>
      </c>
      <c r="F3570">
        <v>17</v>
      </c>
      <c r="G3570">
        <v>21</v>
      </c>
      <c r="H3570">
        <v>39.99</v>
      </c>
    </row>
    <row r="3571" spans="1:8" x14ac:dyDescent="0.25">
      <c r="A3571">
        <v>18895151</v>
      </c>
      <c r="B3571">
        <v>17</v>
      </c>
      <c r="C3571">
        <v>0</v>
      </c>
      <c r="D3571">
        <v>0</v>
      </c>
      <c r="E3571">
        <v>0</v>
      </c>
      <c r="F3571">
        <v>0</v>
      </c>
      <c r="G3571">
        <v>0</v>
      </c>
      <c r="H3571">
        <v>0</v>
      </c>
    </row>
    <row r="3572" spans="1:8" x14ac:dyDescent="0.25">
      <c r="A3572">
        <v>18895152</v>
      </c>
      <c r="B3572">
        <v>23</v>
      </c>
      <c r="C3572">
        <v>5</v>
      </c>
      <c r="D3572">
        <v>0</v>
      </c>
      <c r="E3572">
        <v>4</v>
      </c>
      <c r="F3572">
        <v>9</v>
      </c>
      <c r="G3572">
        <v>9</v>
      </c>
      <c r="H3572">
        <v>0</v>
      </c>
    </row>
    <row r="3573" spans="1:8" x14ac:dyDescent="0.25">
      <c r="A3573">
        <v>18895153</v>
      </c>
      <c r="B3573">
        <v>8</v>
      </c>
      <c r="C3573">
        <v>0</v>
      </c>
      <c r="D3573">
        <v>0</v>
      </c>
      <c r="E3573">
        <v>0</v>
      </c>
      <c r="F3573">
        <v>4</v>
      </c>
      <c r="G3573">
        <v>6</v>
      </c>
      <c r="H3573">
        <v>0</v>
      </c>
    </row>
    <row r="3574" spans="1:8" x14ac:dyDescent="0.25">
      <c r="A3574">
        <v>18895154</v>
      </c>
      <c r="B3574">
        <v>10</v>
      </c>
      <c r="C3574">
        <v>10</v>
      </c>
      <c r="D3574">
        <v>0</v>
      </c>
      <c r="E3574">
        <v>4</v>
      </c>
      <c r="F3574">
        <v>11</v>
      </c>
      <c r="G3574">
        <v>18</v>
      </c>
      <c r="H3574">
        <v>0</v>
      </c>
    </row>
    <row r="3575" spans="1:8" x14ac:dyDescent="0.25">
      <c r="A3575">
        <v>18895155</v>
      </c>
      <c r="B3575">
        <v>16</v>
      </c>
      <c r="C3575">
        <v>0</v>
      </c>
      <c r="D3575">
        <v>0</v>
      </c>
      <c r="E3575">
        <v>0</v>
      </c>
      <c r="F3575">
        <v>0</v>
      </c>
      <c r="G3575">
        <v>0</v>
      </c>
      <c r="H3575">
        <v>0</v>
      </c>
    </row>
    <row r="3576" spans="1:8" x14ac:dyDescent="0.25">
      <c r="A3576">
        <v>18897424</v>
      </c>
      <c r="B3576">
        <v>11</v>
      </c>
      <c r="C3576">
        <v>0</v>
      </c>
      <c r="D3576">
        <v>3</v>
      </c>
      <c r="E3576">
        <v>13</v>
      </c>
      <c r="F3576">
        <v>40</v>
      </c>
      <c r="G3576">
        <v>135</v>
      </c>
      <c r="H3576">
        <v>2498.66</v>
      </c>
    </row>
    <row r="3577" spans="1:8" x14ac:dyDescent="0.25">
      <c r="A3577">
        <v>18897425</v>
      </c>
      <c r="B3577">
        <v>20</v>
      </c>
      <c r="C3577">
        <v>0</v>
      </c>
      <c r="D3577">
        <v>4</v>
      </c>
      <c r="E3577">
        <v>9</v>
      </c>
      <c r="F3577">
        <v>30</v>
      </c>
      <c r="G3577">
        <v>82</v>
      </c>
      <c r="H3577">
        <v>3099.99</v>
      </c>
    </row>
    <row r="3578" spans="1:8" x14ac:dyDescent="0.25">
      <c r="A3578">
        <v>18898177</v>
      </c>
      <c r="B3578">
        <v>17</v>
      </c>
      <c r="C3578">
        <v>0</v>
      </c>
      <c r="D3578">
        <v>0</v>
      </c>
      <c r="E3578">
        <v>1</v>
      </c>
      <c r="F3578">
        <v>13</v>
      </c>
      <c r="G3578">
        <v>18</v>
      </c>
      <c r="H3578">
        <v>0</v>
      </c>
    </row>
    <row r="3579" spans="1:8" x14ac:dyDescent="0.25">
      <c r="A3579">
        <v>18898178</v>
      </c>
      <c r="B3579">
        <v>13</v>
      </c>
      <c r="C3579">
        <v>0</v>
      </c>
      <c r="D3579">
        <v>0</v>
      </c>
      <c r="E3579">
        <v>1</v>
      </c>
      <c r="F3579">
        <v>3</v>
      </c>
      <c r="G3579">
        <v>11</v>
      </c>
      <c r="H3579">
        <v>0</v>
      </c>
    </row>
    <row r="3580" spans="1:8" x14ac:dyDescent="0.25">
      <c r="A3580">
        <v>18898179</v>
      </c>
      <c r="B3580">
        <v>20</v>
      </c>
      <c r="C3580">
        <v>0</v>
      </c>
      <c r="D3580">
        <v>0</v>
      </c>
      <c r="E3580">
        <v>1</v>
      </c>
      <c r="F3580">
        <v>6</v>
      </c>
      <c r="G3580">
        <v>18</v>
      </c>
      <c r="H3580">
        <v>0</v>
      </c>
    </row>
    <row r="3581" spans="1:8" x14ac:dyDescent="0.25">
      <c r="A3581">
        <v>18898180</v>
      </c>
      <c r="B3581">
        <v>8</v>
      </c>
      <c r="C3581">
        <v>0</v>
      </c>
      <c r="D3581">
        <v>0</v>
      </c>
      <c r="E3581">
        <v>3</v>
      </c>
      <c r="F3581">
        <v>10</v>
      </c>
      <c r="G3581">
        <v>19</v>
      </c>
      <c r="H3581">
        <v>0</v>
      </c>
    </row>
    <row r="3582" spans="1:8" x14ac:dyDescent="0.25">
      <c r="A3582">
        <v>18898181</v>
      </c>
      <c r="B3582">
        <v>10</v>
      </c>
      <c r="C3582">
        <v>0</v>
      </c>
      <c r="D3582">
        <v>0</v>
      </c>
      <c r="E3582">
        <v>0</v>
      </c>
      <c r="F3582">
        <v>2</v>
      </c>
      <c r="G3582">
        <v>10</v>
      </c>
      <c r="H3582">
        <v>0</v>
      </c>
    </row>
    <row r="3583" spans="1:8" x14ac:dyDescent="0.25">
      <c r="A3583">
        <v>18898182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6</v>
      </c>
      <c r="H3583">
        <v>0</v>
      </c>
    </row>
    <row r="3584" spans="1:8" x14ac:dyDescent="0.25">
      <c r="A3584">
        <v>18898183</v>
      </c>
      <c r="B3584">
        <v>4</v>
      </c>
      <c r="C3584">
        <v>0</v>
      </c>
      <c r="D3584">
        <v>0</v>
      </c>
      <c r="E3584">
        <v>1</v>
      </c>
      <c r="F3584">
        <v>1</v>
      </c>
      <c r="G3584">
        <v>7</v>
      </c>
      <c r="H3584">
        <v>0</v>
      </c>
    </row>
    <row r="3585" spans="1:8" x14ac:dyDescent="0.25">
      <c r="A3585">
        <v>18898184</v>
      </c>
      <c r="B3585">
        <v>21</v>
      </c>
      <c r="C3585">
        <v>0</v>
      </c>
      <c r="D3585">
        <v>0</v>
      </c>
      <c r="E3585">
        <v>4</v>
      </c>
      <c r="F3585">
        <v>7</v>
      </c>
      <c r="G3585">
        <v>11</v>
      </c>
      <c r="H3585">
        <v>0</v>
      </c>
    </row>
    <row r="3586" spans="1:8" x14ac:dyDescent="0.25">
      <c r="A3586">
        <v>18898185</v>
      </c>
      <c r="B3586">
        <v>6</v>
      </c>
      <c r="C3586">
        <v>0</v>
      </c>
      <c r="D3586">
        <v>0</v>
      </c>
      <c r="E3586">
        <v>0</v>
      </c>
      <c r="F3586">
        <v>0</v>
      </c>
      <c r="G3586">
        <v>4</v>
      </c>
      <c r="H3586">
        <v>0</v>
      </c>
    </row>
    <row r="3587" spans="1:8" x14ac:dyDescent="0.25">
      <c r="A3587">
        <v>18898186</v>
      </c>
      <c r="B3587">
        <v>14</v>
      </c>
      <c r="C3587">
        <v>0</v>
      </c>
      <c r="D3587">
        <v>0</v>
      </c>
      <c r="E3587">
        <v>0</v>
      </c>
      <c r="F3587">
        <v>10</v>
      </c>
      <c r="G3587">
        <v>21</v>
      </c>
      <c r="H3587">
        <v>0</v>
      </c>
    </row>
    <row r="3588" spans="1:8" x14ac:dyDescent="0.25">
      <c r="A3588">
        <v>18898187</v>
      </c>
      <c r="B3588">
        <v>15</v>
      </c>
      <c r="C3588">
        <v>0</v>
      </c>
      <c r="D3588">
        <v>0</v>
      </c>
      <c r="E3588">
        <v>3</v>
      </c>
      <c r="F3588">
        <v>11</v>
      </c>
      <c r="G3588">
        <v>20</v>
      </c>
      <c r="H3588">
        <v>0</v>
      </c>
    </row>
    <row r="3589" spans="1:8" x14ac:dyDescent="0.25">
      <c r="A3589">
        <v>18898188</v>
      </c>
      <c r="B3589">
        <v>18</v>
      </c>
      <c r="C3589">
        <v>0</v>
      </c>
      <c r="D3589">
        <v>0</v>
      </c>
      <c r="E3589">
        <v>5</v>
      </c>
      <c r="F3589">
        <v>14</v>
      </c>
      <c r="G3589">
        <v>24</v>
      </c>
      <c r="H3589">
        <v>0</v>
      </c>
    </row>
    <row r="3590" spans="1:8" x14ac:dyDescent="0.25">
      <c r="A3590">
        <v>18898352</v>
      </c>
      <c r="B3590">
        <v>0</v>
      </c>
      <c r="C3590">
        <v>0</v>
      </c>
      <c r="D3590">
        <v>0</v>
      </c>
      <c r="E3590">
        <v>0</v>
      </c>
      <c r="F3590">
        <v>6</v>
      </c>
      <c r="G3590">
        <v>50</v>
      </c>
      <c r="H3590">
        <v>0</v>
      </c>
    </row>
    <row r="3591" spans="1:8" x14ac:dyDescent="0.25">
      <c r="A3591">
        <v>18899721</v>
      </c>
      <c r="B3591">
        <v>141</v>
      </c>
      <c r="C3591">
        <v>40</v>
      </c>
      <c r="D3591">
        <v>6</v>
      </c>
      <c r="E3591">
        <v>32</v>
      </c>
      <c r="F3591">
        <v>121</v>
      </c>
      <c r="G3591">
        <v>258</v>
      </c>
      <c r="H3591">
        <v>108.54</v>
      </c>
    </row>
    <row r="3592" spans="1:8" x14ac:dyDescent="0.25">
      <c r="A3592">
        <v>18899722</v>
      </c>
      <c r="B3592">
        <v>618</v>
      </c>
      <c r="C3592">
        <v>150</v>
      </c>
      <c r="D3592">
        <v>51</v>
      </c>
      <c r="E3592">
        <v>193</v>
      </c>
      <c r="F3592">
        <v>805</v>
      </c>
      <c r="G3592">
        <v>1741</v>
      </c>
      <c r="H3592">
        <v>24.481200000000001</v>
      </c>
    </row>
    <row r="3593" spans="1:8" x14ac:dyDescent="0.25">
      <c r="A3593">
        <v>18899723</v>
      </c>
      <c r="B3593">
        <v>126</v>
      </c>
      <c r="C3593">
        <v>30</v>
      </c>
      <c r="D3593">
        <v>8</v>
      </c>
      <c r="E3593">
        <v>27</v>
      </c>
      <c r="F3593">
        <v>170</v>
      </c>
      <c r="G3593">
        <v>384</v>
      </c>
      <c r="H3593">
        <v>67.041300000000007</v>
      </c>
    </row>
    <row r="3594" spans="1:8" x14ac:dyDescent="0.25">
      <c r="A3594">
        <v>18899724</v>
      </c>
      <c r="B3594">
        <v>84</v>
      </c>
      <c r="C3594">
        <v>15</v>
      </c>
      <c r="D3594">
        <v>2</v>
      </c>
      <c r="E3594">
        <v>26</v>
      </c>
      <c r="F3594">
        <v>104</v>
      </c>
      <c r="G3594">
        <v>206</v>
      </c>
      <c r="H3594">
        <v>168.505</v>
      </c>
    </row>
    <row r="3595" spans="1:8" x14ac:dyDescent="0.25">
      <c r="A3595">
        <v>18899725</v>
      </c>
      <c r="B3595">
        <v>271</v>
      </c>
      <c r="C3595">
        <v>24</v>
      </c>
      <c r="D3595">
        <v>8</v>
      </c>
      <c r="E3595">
        <v>39</v>
      </c>
      <c r="F3595">
        <v>125</v>
      </c>
      <c r="G3595">
        <v>322</v>
      </c>
      <c r="H3595">
        <v>151.73750000000001</v>
      </c>
    </row>
    <row r="3596" spans="1:8" x14ac:dyDescent="0.25">
      <c r="A3596">
        <v>18900096</v>
      </c>
      <c r="B3596">
        <v>232</v>
      </c>
      <c r="C3596">
        <v>0</v>
      </c>
      <c r="D3596">
        <v>10</v>
      </c>
      <c r="E3596">
        <v>25</v>
      </c>
      <c r="F3596">
        <v>102</v>
      </c>
      <c r="G3596">
        <v>339</v>
      </c>
      <c r="H3596">
        <v>222.99</v>
      </c>
    </row>
    <row r="3597" spans="1:8" x14ac:dyDescent="0.25">
      <c r="A3597">
        <v>18900097</v>
      </c>
      <c r="B3597">
        <v>219</v>
      </c>
      <c r="C3597">
        <v>0</v>
      </c>
      <c r="D3597">
        <v>1</v>
      </c>
      <c r="E3597">
        <v>4</v>
      </c>
      <c r="F3597">
        <v>15</v>
      </c>
      <c r="G3597">
        <v>78</v>
      </c>
      <c r="H3597">
        <v>219.99</v>
      </c>
    </row>
    <row r="3598" spans="1:8" x14ac:dyDescent="0.25">
      <c r="A3598">
        <v>18900100</v>
      </c>
      <c r="B3598">
        <v>205</v>
      </c>
      <c r="C3598">
        <v>0</v>
      </c>
      <c r="D3598">
        <v>1</v>
      </c>
      <c r="E3598">
        <v>8</v>
      </c>
      <c r="F3598">
        <v>36</v>
      </c>
      <c r="G3598">
        <v>89</v>
      </c>
      <c r="H3598">
        <v>179.99</v>
      </c>
    </row>
    <row r="3599" spans="1:8" x14ac:dyDescent="0.25">
      <c r="A3599">
        <v>18900101</v>
      </c>
      <c r="B3599">
        <v>109</v>
      </c>
      <c r="C3599">
        <v>0</v>
      </c>
      <c r="D3599">
        <v>1</v>
      </c>
      <c r="E3599">
        <v>2</v>
      </c>
      <c r="F3599">
        <v>9</v>
      </c>
      <c r="G3599">
        <v>19</v>
      </c>
      <c r="H3599">
        <v>172.81</v>
      </c>
    </row>
    <row r="3600" spans="1:8" x14ac:dyDescent="0.25">
      <c r="A3600">
        <v>18900130</v>
      </c>
      <c r="B3600">
        <v>127</v>
      </c>
      <c r="C3600">
        <v>20</v>
      </c>
      <c r="D3600">
        <v>7</v>
      </c>
      <c r="E3600">
        <v>42</v>
      </c>
      <c r="F3600">
        <v>135</v>
      </c>
      <c r="G3600">
        <v>330</v>
      </c>
      <c r="H3600">
        <v>365.00290000000001</v>
      </c>
    </row>
    <row r="3601" spans="1:8" x14ac:dyDescent="0.25">
      <c r="A3601">
        <v>18900131</v>
      </c>
      <c r="B3601">
        <v>1</v>
      </c>
      <c r="C3601">
        <v>0</v>
      </c>
      <c r="D3601">
        <v>0</v>
      </c>
      <c r="E3601">
        <v>0</v>
      </c>
      <c r="F3601">
        <v>0</v>
      </c>
      <c r="G3601">
        <v>0</v>
      </c>
      <c r="H3601">
        <v>0</v>
      </c>
    </row>
    <row r="3602" spans="1:8" x14ac:dyDescent="0.25">
      <c r="A3602">
        <v>18900132</v>
      </c>
      <c r="B3602">
        <v>56</v>
      </c>
      <c r="C3602">
        <v>8</v>
      </c>
      <c r="D3602">
        <v>7</v>
      </c>
      <c r="E3602">
        <v>16</v>
      </c>
      <c r="F3602">
        <v>57</v>
      </c>
      <c r="G3602">
        <v>145</v>
      </c>
      <c r="H3602">
        <v>397.85</v>
      </c>
    </row>
    <row r="3603" spans="1:8" x14ac:dyDescent="0.25">
      <c r="A3603">
        <v>18900133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1</v>
      </c>
      <c r="H3603">
        <v>0</v>
      </c>
    </row>
    <row r="3604" spans="1:8" x14ac:dyDescent="0.25">
      <c r="A3604">
        <v>18900134</v>
      </c>
      <c r="B3604">
        <v>115</v>
      </c>
      <c r="C3604">
        <v>21</v>
      </c>
      <c r="D3604">
        <v>17</v>
      </c>
      <c r="E3604">
        <v>60</v>
      </c>
      <c r="F3604">
        <v>217</v>
      </c>
      <c r="G3604">
        <v>500</v>
      </c>
      <c r="H3604">
        <v>326.28289999999998</v>
      </c>
    </row>
    <row r="3605" spans="1:8" x14ac:dyDescent="0.25">
      <c r="A3605">
        <v>18900135</v>
      </c>
      <c r="B3605">
        <v>55</v>
      </c>
      <c r="C3605">
        <v>8</v>
      </c>
      <c r="D3605">
        <v>5</v>
      </c>
      <c r="E3605">
        <v>18</v>
      </c>
      <c r="F3605">
        <v>70</v>
      </c>
      <c r="G3605">
        <v>179</v>
      </c>
      <c r="H3605">
        <v>396.99</v>
      </c>
    </row>
    <row r="3606" spans="1:8" x14ac:dyDescent="0.25">
      <c r="A3606">
        <v>18900136</v>
      </c>
      <c r="B3606">
        <v>2</v>
      </c>
      <c r="C3606">
        <v>0</v>
      </c>
      <c r="D3606">
        <v>0</v>
      </c>
      <c r="E3606">
        <v>0</v>
      </c>
      <c r="F3606">
        <v>1</v>
      </c>
      <c r="G3606">
        <v>2</v>
      </c>
      <c r="H3606">
        <v>0</v>
      </c>
    </row>
    <row r="3607" spans="1:8" x14ac:dyDescent="0.25">
      <c r="A3607">
        <v>18900137</v>
      </c>
      <c r="B3607">
        <v>2</v>
      </c>
      <c r="C3607">
        <v>0</v>
      </c>
      <c r="D3607">
        <v>0</v>
      </c>
      <c r="E3607">
        <v>0</v>
      </c>
      <c r="F3607">
        <v>0</v>
      </c>
      <c r="G3607">
        <v>0</v>
      </c>
      <c r="H3607">
        <v>0</v>
      </c>
    </row>
    <row r="3608" spans="1:8" x14ac:dyDescent="0.25">
      <c r="A3608">
        <v>18900138</v>
      </c>
      <c r="B3608">
        <v>1</v>
      </c>
      <c r="C3608">
        <v>3</v>
      </c>
      <c r="D3608">
        <v>2</v>
      </c>
      <c r="E3608">
        <v>2</v>
      </c>
      <c r="F3608">
        <v>3</v>
      </c>
      <c r="G3608">
        <v>3</v>
      </c>
      <c r="H3608">
        <v>199.99</v>
      </c>
    </row>
    <row r="3609" spans="1:8" x14ac:dyDescent="0.25">
      <c r="A3609">
        <v>18900139</v>
      </c>
      <c r="B3609">
        <v>2</v>
      </c>
      <c r="C3609">
        <v>0</v>
      </c>
      <c r="D3609">
        <v>0</v>
      </c>
      <c r="E3609">
        <v>0</v>
      </c>
      <c r="F3609">
        <v>0</v>
      </c>
      <c r="G3609">
        <v>0</v>
      </c>
      <c r="H3609">
        <v>0</v>
      </c>
    </row>
    <row r="3610" spans="1:8" x14ac:dyDescent="0.25">
      <c r="A3610">
        <v>18900140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12</v>
      </c>
      <c r="H3610">
        <v>0</v>
      </c>
    </row>
    <row r="3611" spans="1:8" x14ac:dyDescent="0.25">
      <c r="A3611">
        <v>18900141</v>
      </c>
      <c r="B3611">
        <v>41</v>
      </c>
      <c r="C3611">
        <v>2</v>
      </c>
      <c r="D3611">
        <v>5</v>
      </c>
      <c r="E3611">
        <v>17</v>
      </c>
      <c r="F3611">
        <v>48</v>
      </c>
      <c r="G3611">
        <v>114</v>
      </c>
      <c r="H3611">
        <v>181.99</v>
      </c>
    </row>
    <row r="3612" spans="1:8" x14ac:dyDescent="0.25">
      <c r="A3612">
        <v>18900143</v>
      </c>
      <c r="B3612">
        <v>75</v>
      </c>
      <c r="C3612">
        <v>4</v>
      </c>
      <c r="D3612">
        <v>7</v>
      </c>
      <c r="E3612">
        <v>19</v>
      </c>
      <c r="F3612">
        <v>81</v>
      </c>
      <c r="G3612">
        <v>180</v>
      </c>
      <c r="H3612">
        <v>1137.1329000000001</v>
      </c>
    </row>
    <row r="3613" spans="1:8" x14ac:dyDescent="0.25">
      <c r="A3613">
        <v>18900144</v>
      </c>
      <c r="B3613">
        <v>2</v>
      </c>
      <c r="C3613">
        <v>0</v>
      </c>
      <c r="D3613">
        <v>0</v>
      </c>
      <c r="E3613">
        <v>1</v>
      </c>
      <c r="F3613">
        <v>1</v>
      </c>
      <c r="G3613">
        <v>4</v>
      </c>
      <c r="H3613">
        <v>0</v>
      </c>
    </row>
    <row r="3614" spans="1:8" x14ac:dyDescent="0.25">
      <c r="A3614">
        <v>18900145</v>
      </c>
      <c r="B3614">
        <v>0</v>
      </c>
      <c r="C3614">
        <v>2</v>
      </c>
      <c r="D3614">
        <v>1</v>
      </c>
      <c r="E3614">
        <v>1</v>
      </c>
      <c r="F3614">
        <v>2</v>
      </c>
      <c r="G3614">
        <v>3</v>
      </c>
      <c r="H3614">
        <v>499.99</v>
      </c>
    </row>
    <row r="3615" spans="1:8" x14ac:dyDescent="0.25">
      <c r="A3615">
        <v>18904599</v>
      </c>
      <c r="B3615">
        <v>50</v>
      </c>
      <c r="C3615">
        <v>40</v>
      </c>
      <c r="D3615">
        <v>3</v>
      </c>
      <c r="E3615">
        <v>12</v>
      </c>
      <c r="F3615">
        <v>35</v>
      </c>
      <c r="G3615">
        <v>84</v>
      </c>
      <c r="H3615">
        <v>7.59</v>
      </c>
    </row>
    <row r="3616" spans="1:8" x14ac:dyDescent="0.25">
      <c r="A3616">
        <v>18904600</v>
      </c>
      <c r="B3616">
        <v>79</v>
      </c>
      <c r="C3616">
        <v>10</v>
      </c>
      <c r="D3616">
        <v>2</v>
      </c>
      <c r="E3616">
        <v>19</v>
      </c>
      <c r="F3616">
        <v>56</v>
      </c>
      <c r="G3616">
        <v>78</v>
      </c>
      <c r="H3616">
        <v>7.41</v>
      </c>
    </row>
    <row r="3617" spans="1:8" x14ac:dyDescent="0.25">
      <c r="A3617">
        <v>18905116</v>
      </c>
      <c r="B3617">
        <v>36</v>
      </c>
      <c r="C3617">
        <v>0</v>
      </c>
      <c r="D3617">
        <v>1</v>
      </c>
      <c r="E3617">
        <v>2</v>
      </c>
      <c r="F3617">
        <v>13</v>
      </c>
      <c r="G3617">
        <v>22</v>
      </c>
      <c r="H3617">
        <v>899.99</v>
      </c>
    </row>
    <row r="3618" spans="1:8" x14ac:dyDescent="0.25">
      <c r="A3618">
        <v>18914941</v>
      </c>
      <c r="B3618">
        <v>390</v>
      </c>
      <c r="C3618">
        <v>0</v>
      </c>
      <c r="D3618">
        <v>3</v>
      </c>
      <c r="E3618">
        <v>21</v>
      </c>
      <c r="F3618">
        <v>35</v>
      </c>
      <c r="G3618">
        <v>35</v>
      </c>
      <c r="H3618">
        <v>8.0299999999999994</v>
      </c>
    </row>
    <row r="3619" spans="1:8" x14ac:dyDescent="0.25">
      <c r="A3619">
        <v>18914942</v>
      </c>
      <c r="B3619">
        <v>380</v>
      </c>
      <c r="C3619">
        <v>0</v>
      </c>
      <c r="D3619">
        <v>15</v>
      </c>
      <c r="E3619">
        <v>97</v>
      </c>
      <c r="F3619">
        <v>213</v>
      </c>
      <c r="G3619">
        <v>213</v>
      </c>
      <c r="H3619">
        <v>16.114699999999999</v>
      </c>
    </row>
    <row r="3620" spans="1:8" x14ac:dyDescent="0.25">
      <c r="A3620">
        <v>18914943</v>
      </c>
      <c r="B3620">
        <v>461</v>
      </c>
      <c r="C3620">
        <v>0</v>
      </c>
      <c r="D3620">
        <v>11</v>
      </c>
      <c r="E3620">
        <v>46</v>
      </c>
      <c r="F3620">
        <v>103</v>
      </c>
      <c r="G3620">
        <v>103</v>
      </c>
      <c r="H3620">
        <v>24.99</v>
      </c>
    </row>
    <row r="3621" spans="1:8" x14ac:dyDescent="0.25">
      <c r="A3621">
        <v>18914944</v>
      </c>
      <c r="B3621">
        <v>351</v>
      </c>
      <c r="C3621">
        <v>64</v>
      </c>
      <c r="D3621">
        <v>46</v>
      </c>
      <c r="E3621">
        <v>189</v>
      </c>
      <c r="F3621">
        <v>449</v>
      </c>
      <c r="G3621">
        <v>449</v>
      </c>
      <c r="H3621">
        <v>17.767399999999999</v>
      </c>
    </row>
    <row r="3622" spans="1:8" x14ac:dyDescent="0.25">
      <c r="A3622">
        <v>18919305</v>
      </c>
      <c r="B3622">
        <v>15</v>
      </c>
      <c r="C3622">
        <v>0</v>
      </c>
      <c r="D3622">
        <v>0</v>
      </c>
      <c r="E3622">
        <v>8</v>
      </c>
      <c r="F3622">
        <v>14</v>
      </c>
      <c r="G3622">
        <v>62</v>
      </c>
      <c r="H3622">
        <v>0</v>
      </c>
    </row>
    <row r="3623" spans="1:8" x14ac:dyDescent="0.25">
      <c r="A3623">
        <v>18919306</v>
      </c>
      <c r="B3623">
        <v>14</v>
      </c>
      <c r="C3623">
        <v>0</v>
      </c>
      <c r="D3623">
        <v>0</v>
      </c>
      <c r="E3623">
        <v>-1</v>
      </c>
      <c r="F3623">
        <v>36</v>
      </c>
      <c r="G3623">
        <v>106</v>
      </c>
      <c r="H3623">
        <v>0</v>
      </c>
    </row>
    <row r="3624" spans="1:8" x14ac:dyDescent="0.25">
      <c r="A3624">
        <v>18924869</v>
      </c>
      <c r="B3624">
        <v>14</v>
      </c>
      <c r="C3624">
        <v>0</v>
      </c>
      <c r="D3624">
        <v>0</v>
      </c>
      <c r="E3624">
        <v>0</v>
      </c>
      <c r="F3624">
        <v>2</v>
      </c>
      <c r="G3624">
        <v>11</v>
      </c>
      <c r="H3624">
        <v>0</v>
      </c>
    </row>
    <row r="3625" spans="1:8" x14ac:dyDescent="0.25">
      <c r="A3625">
        <v>18924870</v>
      </c>
      <c r="B3625">
        <v>27</v>
      </c>
      <c r="C3625">
        <v>-1</v>
      </c>
      <c r="D3625">
        <v>0</v>
      </c>
      <c r="E3625">
        <v>2</v>
      </c>
      <c r="F3625">
        <v>7</v>
      </c>
      <c r="G3625">
        <v>21</v>
      </c>
      <c r="H3625">
        <v>0</v>
      </c>
    </row>
    <row r="3626" spans="1:8" x14ac:dyDescent="0.25">
      <c r="A3626">
        <v>18924871</v>
      </c>
      <c r="B3626">
        <v>0</v>
      </c>
      <c r="C3626">
        <v>0</v>
      </c>
      <c r="D3626">
        <v>0</v>
      </c>
      <c r="E3626">
        <v>0</v>
      </c>
      <c r="F3626">
        <v>1</v>
      </c>
      <c r="G3626">
        <v>2</v>
      </c>
      <c r="H3626">
        <v>0</v>
      </c>
    </row>
    <row r="3627" spans="1:8" x14ac:dyDescent="0.25">
      <c r="A3627">
        <v>18924872</v>
      </c>
      <c r="B3627">
        <v>1</v>
      </c>
      <c r="C3627">
        <v>0</v>
      </c>
      <c r="D3627">
        <v>0</v>
      </c>
      <c r="E3627">
        <v>0</v>
      </c>
      <c r="F3627">
        <v>0</v>
      </c>
      <c r="G3627">
        <v>0</v>
      </c>
      <c r="H3627">
        <v>0</v>
      </c>
    </row>
    <row r="3628" spans="1:8" x14ac:dyDescent="0.25">
      <c r="A3628">
        <v>18924873</v>
      </c>
      <c r="B3628">
        <v>18</v>
      </c>
      <c r="C3628">
        <v>0</v>
      </c>
      <c r="D3628">
        <v>0</v>
      </c>
      <c r="E3628">
        <v>3</v>
      </c>
      <c r="F3628">
        <v>16</v>
      </c>
      <c r="G3628">
        <v>41</v>
      </c>
      <c r="H3628">
        <v>0</v>
      </c>
    </row>
    <row r="3629" spans="1:8" x14ac:dyDescent="0.25">
      <c r="A3629">
        <v>18924874</v>
      </c>
      <c r="B3629">
        <v>95</v>
      </c>
      <c r="C3629">
        <v>0</v>
      </c>
      <c r="D3629">
        <v>7</v>
      </c>
      <c r="E3629">
        <v>24</v>
      </c>
      <c r="F3629">
        <v>106</v>
      </c>
      <c r="G3629">
        <v>348</v>
      </c>
      <c r="H3629">
        <v>1997.9485999999999</v>
      </c>
    </row>
    <row r="3630" spans="1:8" x14ac:dyDescent="0.25">
      <c r="A3630">
        <v>18924875</v>
      </c>
      <c r="B3630">
        <v>97</v>
      </c>
      <c r="C3630">
        <v>0</v>
      </c>
      <c r="D3630">
        <v>9</v>
      </c>
      <c r="E3630">
        <v>45</v>
      </c>
      <c r="F3630">
        <v>150</v>
      </c>
      <c r="G3630">
        <v>431</v>
      </c>
      <c r="H3630">
        <v>1331.6867</v>
      </c>
    </row>
    <row r="3631" spans="1:8" x14ac:dyDescent="0.25">
      <c r="A3631">
        <v>18924876</v>
      </c>
      <c r="B3631">
        <v>90</v>
      </c>
      <c r="C3631">
        <v>0</v>
      </c>
      <c r="D3631">
        <v>2</v>
      </c>
      <c r="E3631">
        <v>22</v>
      </c>
      <c r="F3631">
        <v>81</v>
      </c>
      <c r="G3631">
        <v>209</v>
      </c>
      <c r="H3631">
        <v>1179.99</v>
      </c>
    </row>
    <row r="3632" spans="1:8" x14ac:dyDescent="0.25">
      <c r="A3632">
        <v>18924877</v>
      </c>
      <c r="B3632">
        <v>79</v>
      </c>
      <c r="C3632">
        <v>0</v>
      </c>
      <c r="D3632">
        <v>5</v>
      </c>
      <c r="E3632">
        <v>19</v>
      </c>
      <c r="F3632">
        <v>49</v>
      </c>
      <c r="G3632">
        <v>108</v>
      </c>
      <c r="H3632">
        <v>879.99</v>
      </c>
    </row>
    <row r="3633" spans="1:8" x14ac:dyDescent="0.25">
      <c r="A3633">
        <v>18924878</v>
      </c>
      <c r="B3633">
        <v>-1</v>
      </c>
      <c r="C3633">
        <v>0</v>
      </c>
      <c r="D3633">
        <v>0</v>
      </c>
      <c r="E3633">
        <v>0</v>
      </c>
      <c r="F3633">
        <v>2</v>
      </c>
      <c r="G3633">
        <v>3</v>
      </c>
      <c r="H3633">
        <v>0</v>
      </c>
    </row>
    <row r="3634" spans="1:8" x14ac:dyDescent="0.25">
      <c r="A3634">
        <v>18924879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1</v>
      </c>
      <c r="H3634">
        <v>0</v>
      </c>
    </row>
    <row r="3635" spans="1:8" x14ac:dyDescent="0.25">
      <c r="A3635">
        <v>18924880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2</v>
      </c>
      <c r="H3635">
        <v>0</v>
      </c>
    </row>
    <row r="3636" spans="1:8" x14ac:dyDescent="0.25">
      <c r="A3636">
        <v>18924881</v>
      </c>
      <c r="B3636">
        <v>54</v>
      </c>
      <c r="C3636">
        <v>0</v>
      </c>
      <c r="D3636">
        <v>1</v>
      </c>
      <c r="E3636">
        <v>6</v>
      </c>
      <c r="F3636">
        <v>21</v>
      </c>
      <c r="G3636">
        <v>53</v>
      </c>
      <c r="H3636">
        <v>889.99</v>
      </c>
    </row>
    <row r="3637" spans="1:8" x14ac:dyDescent="0.25">
      <c r="A3637">
        <v>18924882</v>
      </c>
      <c r="B3637">
        <v>0</v>
      </c>
      <c r="C3637">
        <v>0</v>
      </c>
      <c r="D3637">
        <v>0</v>
      </c>
      <c r="E3637">
        <v>0</v>
      </c>
      <c r="F3637">
        <v>2</v>
      </c>
      <c r="G3637">
        <v>2</v>
      </c>
      <c r="H3637">
        <v>0</v>
      </c>
    </row>
    <row r="3638" spans="1:8" x14ac:dyDescent="0.25">
      <c r="A3638">
        <v>18924883</v>
      </c>
      <c r="B3638">
        <v>44</v>
      </c>
      <c r="C3638">
        <v>0</v>
      </c>
      <c r="D3638">
        <v>2</v>
      </c>
      <c r="E3638">
        <v>3</v>
      </c>
      <c r="F3638">
        <v>16</v>
      </c>
      <c r="G3638">
        <v>66</v>
      </c>
      <c r="H3638">
        <v>1579.99</v>
      </c>
    </row>
    <row r="3639" spans="1:8" x14ac:dyDescent="0.25">
      <c r="A3639">
        <v>18924884</v>
      </c>
      <c r="B3639">
        <v>69</v>
      </c>
      <c r="C3639">
        <v>15</v>
      </c>
      <c r="D3639">
        <v>1</v>
      </c>
      <c r="E3639">
        <v>9</v>
      </c>
      <c r="F3639">
        <v>40</v>
      </c>
      <c r="G3639">
        <v>129</v>
      </c>
      <c r="H3639">
        <v>1207</v>
      </c>
    </row>
    <row r="3640" spans="1:8" x14ac:dyDescent="0.25">
      <c r="A3640">
        <v>18924885</v>
      </c>
      <c r="B3640">
        <v>98</v>
      </c>
      <c r="C3640">
        <v>0</v>
      </c>
      <c r="D3640">
        <v>5</v>
      </c>
      <c r="E3640">
        <v>18</v>
      </c>
      <c r="F3640">
        <v>61</v>
      </c>
      <c r="G3640">
        <v>135</v>
      </c>
      <c r="H3640">
        <v>748.99</v>
      </c>
    </row>
    <row r="3641" spans="1:8" x14ac:dyDescent="0.25">
      <c r="A3641">
        <v>18924886</v>
      </c>
      <c r="B3641">
        <v>71</v>
      </c>
      <c r="C3641">
        <v>0</v>
      </c>
      <c r="D3641">
        <v>2</v>
      </c>
      <c r="E3641">
        <v>8</v>
      </c>
      <c r="F3641">
        <v>24</v>
      </c>
      <c r="G3641">
        <v>79</v>
      </c>
      <c r="H3641">
        <v>597.495</v>
      </c>
    </row>
    <row r="3642" spans="1:8" x14ac:dyDescent="0.25">
      <c r="A3642">
        <v>18924891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  <c r="H3642">
        <v>0</v>
      </c>
    </row>
    <row r="3643" spans="1:8" x14ac:dyDescent="0.25">
      <c r="A3643">
        <v>18924893</v>
      </c>
      <c r="B3643">
        <v>16</v>
      </c>
      <c r="C3643">
        <v>0</v>
      </c>
      <c r="D3643">
        <v>1</v>
      </c>
      <c r="E3643">
        <v>3</v>
      </c>
      <c r="F3643">
        <v>15</v>
      </c>
      <c r="G3643">
        <v>34</v>
      </c>
      <c r="H3643">
        <v>1779.99</v>
      </c>
    </row>
    <row r="3644" spans="1:8" x14ac:dyDescent="0.25">
      <c r="A3644">
        <v>18924894</v>
      </c>
      <c r="B3644">
        <v>125</v>
      </c>
      <c r="C3644">
        <v>30</v>
      </c>
      <c r="D3644">
        <v>8</v>
      </c>
      <c r="E3644">
        <v>25</v>
      </c>
      <c r="F3644">
        <v>71</v>
      </c>
      <c r="G3644">
        <v>234</v>
      </c>
      <c r="H3644">
        <v>776</v>
      </c>
    </row>
    <row r="3645" spans="1:8" x14ac:dyDescent="0.25">
      <c r="A3645">
        <v>18924895</v>
      </c>
      <c r="B3645">
        <v>167</v>
      </c>
      <c r="C3645">
        <v>36</v>
      </c>
      <c r="D3645">
        <v>14</v>
      </c>
      <c r="E3645">
        <v>35</v>
      </c>
      <c r="F3645">
        <v>154</v>
      </c>
      <c r="G3645">
        <v>358</v>
      </c>
      <c r="H3645">
        <v>572.50429999999994</v>
      </c>
    </row>
    <row r="3646" spans="1:8" x14ac:dyDescent="0.25">
      <c r="A3646">
        <v>18924896</v>
      </c>
      <c r="B3646">
        <v>363</v>
      </c>
      <c r="C3646">
        <v>0</v>
      </c>
      <c r="D3646">
        <v>19</v>
      </c>
      <c r="E3646">
        <v>90</v>
      </c>
      <c r="F3646">
        <v>359</v>
      </c>
      <c r="G3646">
        <v>761</v>
      </c>
      <c r="H3646">
        <v>398.6789</v>
      </c>
    </row>
    <row r="3647" spans="1:8" x14ac:dyDescent="0.25">
      <c r="A3647">
        <v>18924897</v>
      </c>
      <c r="B3647">
        <v>437</v>
      </c>
      <c r="C3647">
        <v>50</v>
      </c>
      <c r="D3647">
        <v>36</v>
      </c>
      <c r="E3647">
        <v>89</v>
      </c>
      <c r="F3647">
        <v>336</v>
      </c>
      <c r="G3647">
        <v>716</v>
      </c>
      <c r="H3647">
        <v>295.88780000000003</v>
      </c>
    </row>
    <row r="3648" spans="1:8" x14ac:dyDescent="0.25">
      <c r="A3648">
        <v>18924898</v>
      </c>
      <c r="B3648">
        <v>325</v>
      </c>
      <c r="C3648">
        <v>200</v>
      </c>
      <c r="D3648">
        <v>26</v>
      </c>
      <c r="E3648">
        <v>138</v>
      </c>
      <c r="F3648">
        <v>515</v>
      </c>
      <c r="G3648">
        <v>1058</v>
      </c>
      <c r="H3648">
        <v>283.23540000000003</v>
      </c>
    </row>
    <row r="3649" spans="1:8" x14ac:dyDescent="0.25">
      <c r="A3649">
        <v>18924899</v>
      </c>
      <c r="B3649">
        <v>579</v>
      </c>
      <c r="C3649">
        <v>180</v>
      </c>
      <c r="D3649">
        <v>48</v>
      </c>
      <c r="E3649">
        <v>164</v>
      </c>
      <c r="F3649">
        <v>550</v>
      </c>
      <c r="G3649">
        <v>1082</v>
      </c>
      <c r="H3649">
        <v>225.42959999999999</v>
      </c>
    </row>
    <row r="3650" spans="1:8" x14ac:dyDescent="0.25">
      <c r="A3650">
        <v>18928821</v>
      </c>
      <c r="B3650">
        <v>219</v>
      </c>
      <c r="C3650">
        <v>40</v>
      </c>
      <c r="D3650">
        <v>20</v>
      </c>
      <c r="E3650">
        <v>52</v>
      </c>
      <c r="F3650">
        <v>198</v>
      </c>
      <c r="G3650">
        <v>542</v>
      </c>
      <c r="H3650">
        <v>32.103999999999999</v>
      </c>
    </row>
    <row r="3651" spans="1:8" x14ac:dyDescent="0.25">
      <c r="A3651">
        <v>18928889</v>
      </c>
      <c r="B3651">
        <v>14</v>
      </c>
      <c r="C3651">
        <v>0</v>
      </c>
      <c r="D3651">
        <v>0</v>
      </c>
      <c r="E3651">
        <v>1</v>
      </c>
      <c r="F3651">
        <v>8</v>
      </c>
      <c r="G3651">
        <v>27</v>
      </c>
      <c r="H3651">
        <v>0</v>
      </c>
    </row>
    <row r="3652" spans="1:8" x14ac:dyDescent="0.25">
      <c r="A3652">
        <v>18928890</v>
      </c>
      <c r="B3652">
        <v>41</v>
      </c>
      <c r="C3652">
        <v>0</v>
      </c>
      <c r="D3652">
        <v>2</v>
      </c>
      <c r="E3652">
        <v>9</v>
      </c>
      <c r="F3652">
        <v>32</v>
      </c>
      <c r="G3652">
        <v>104</v>
      </c>
      <c r="H3652">
        <v>29.97</v>
      </c>
    </row>
    <row r="3653" spans="1:8" x14ac:dyDescent="0.25">
      <c r="A3653">
        <v>18928891</v>
      </c>
      <c r="B3653">
        <v>2</v>
      </c>
      <c r="C3653">
        <v>0</v>
      </c>
      <c r="D3653">
        <v>0</v>
      </c>
      <c r="E3653">
        <v>0</v>
      </c>
      <c r="F3653">
        <v>0</v>
      </c>
      <c r="G3653">
        <v>26</v>
      </c>
      <c r="H3653">
        <v>0</v>
      </c>
    </row>
    <row r="3654" spans="1:8" x14ac:dyDescent="0.25">
      <c r="A3654">
        <v>18928892</v>
      </c>
      <c r="B3654">
        <v>62</v>
      </c>
      <c r="C3654">
        <v>0</v>
      </c>
      <c r="D3654">
        <v>0</v>
      </c>
      <c r="E3654">
        <v>2</v>
      </c>
      <c r="F3654">
        <v>5</v>
      </c>
      <c r="G3654">
        <v>10</v>
      </c>
      <c r="H3654">
        <v>0</v>
      </c>
    </row>
    <row r="3655" spans="1:8" x14ac:dyDescent="0.25">
      <c r="A3655">
        <v>18928893</v>
      </c>
      <c r="B3655">
        <v>70</v>
      </c>
      <c r="C3655">
        <v>0</v>
      </c>
      <c r="D3655">
        <v>0</v>
      </c>
      <c r="E3655">
        <v>1</v>
      </c>
      <c r="F3655">
        <v>9</v>
      </c>
      <c r="G3655">
        <v>34</v>
      </c>
      <c r="H3655">
        <v>0</v>
      </c>
    </row>
    <row r="3656" spans="1:8" x14ac:dyDescent="0.25">
      <c r="A3656">
        <v>18928894</v>
      </c>
      <c r="B3656">
        <v>104</v>
      </c>
      <c r="C3656">
        <v>0</v>
      </c>
      <c r="D3656">
        <v>5</v>
      </c>
      <c r="E3656">
        <v>7</v>
      </c>
      <c r="F3656">
        <v>29</v>
      </c>
      <c r="G3656">
        <v>127</v>
      </c>
      <c r="H3656">
        <v>48.728000000000002</v>
      </c>
    </row>
    <row r="3657" spans="1:8" x14ac:dyDescent="0.25">
      <c r="A3657">
        <v>18928977</v>
      </c>
      <c r="B3657">
        <v>99</v>
      </c>
      <c r="C3657">
        <v>0</v>
      </c>
      <c r="D3657">
        <v>1</v>
      </c>
      <c r="E3657">
        <v>6</v>
      </c>
      <c r="F3657">
        <v>17</v>
      </c>
      <c r="G3657">
        <v>56</v>
      </c>
      <c r="H3657">
        <v>1699.99</v>
      </c>
    </row>
    <row r="3658" spans="1:8" x14ac:dyDescent="0.25">
      <c r="A3658">
        <v>18928978</v>
      </c>
      <c r="B3658">
        <v>150</v>
      </c>
      <c r="C3658">
        <v>0</v>
      </c>
      <c r="D3658">
        <v>3</v>
      </c>
      <c r="E3658">
        <v>12</v>
      </c>
      <c r="F3658">
        <v>50</v>
      </c>
      <c r="G3658">
        <v>179</v>
      </c>
      <c r="H3658">
        <v>799.99</v>
      </c>
    </row>
    <row r="3659" spans="1:8" x14ac:dyDescent="0.25">
      <c r="A3659">
        <v>18928979</v>
      </c>
      <c r="B3659">
        <v>141</v>
      </c>
      <c r="C3659">
        <v>0</v>
      </c>
      <c r="D3659">
        <v>12</v>
      </c>
      <c r="E3659">
        <v>34</v>
      </c>
      <c r="F3659">
        <v>115</v>
      </c>
      <c r="G3659">
        <v>343</v>
      </c>
      <c r="H3659">
        <v>439.62580000000003</v>
      </c>
    </row>
    <row r="3660" spans="1:8" x14ac:dyDescent="0.25">
      <c r="A3660">
        <v>18928981</v>
      </c>
      <c r="B3660">
        <v>98</v>
      </c>
      <c r="C3660">
        <v>0</v>
      </c>
      <c r="D3660">
        <v>2</v>
      </c>
      <c r="E3660">
        <v>10</v>
      </c>
      <c r="F3660">
        <v>40</v>
      </c>
      <c r="G3660">
        <v>109</v>
      </c>
      <c r="H3660">
        <v>539.99</v>
      </c>
    </row>
    <row r="3661" spans="1:8" x14ac:dyDescent="0.25">
      <c r="A3661">
        <v>18928982</v>
      </c>
      <c r="B3661">
        <v>166</v>
      </c>
      <c r="C3661">
        <v>0</v>
      </c>
      <c r="D3661">
        <v>4</v>
      </c>
      <c r="E3661">
        <v>14</v>
      </c>
      <c r="F3661">
        <v>64</v>
      </c>
      <c r="G3661">
        <v>172</v>
      </c>
      <c r="H3661">
        <v>452.80250000000001</v>
      </c>
    </row>
    <row r="3662" spans="1:8" x14ac:dyDescent="0.25">
      <c r="A3662">
        <v>18928983</v>
      </c>
      <c r="B3662">
        <v>161</v>
      </c>
      <c r="C3662">
        <v>0</v>
      </c>
      <c r="D3662">
        <v>6</v>
      </c>
      <c r="E3662">
        <v>37</v>
      </c>
      <c r="F3662">
        <v>102</v>
      </c>
      <c r="G3662">
        <v>196</v>
      </c>
      <c r="H3662">
        <v>348.94830000000002</v>
      </c>
    </row>
    <row r="3663" spans="1:8" x14ac:dyDescent="0.25">
      <c r="A3663">
        <v>18928984</v>
      </c>
      <c r="B3663">
        <v>139</v>
      </c>
      <c r="C3663">
        <v>0</v>
      </c>
      <c r="D3663">
        <v>0</v>
      </c>
      <c r="E3663">
        <v>0</v>
      </c>
      <c r="F3663">
        <v>0</v>
      </c>
      <c r="G3663">
        <v>0</v>
      </c>
      <c r="H3663">
        <v>0</v>
      </c>
    </row>
    <row r="3664" spans="1:8" x14ac:dyDescent="0.25">
      <c r="A3664">
        <v>18928985</v>
      </c>
      <c r="B3664">
        <v>279</v>
      </c>
      <c r="C3664">
        <v>0</v>
      </c>
      <c r="D3664">
        <v>0</v>
      </c>
      <c r="E3664">
        <v>0</v>
      </c>
      <c r="F3664">
        <v>0</v>
      </c>
      <c r="G3664">
        <v>0</v>
      </c>
      <c r="H3664">
        <v>0</v>
      </c>
    </row>
    <row r="3665" spans="1:8" x14ac:dyDescent="0.25">
      <c r="A3665">
        <v>18929185</v>
      </c>
      <c r="B3665">
        <v>315</v>
      </c>
      <c r="C3665">
        <v>61</v>
      </c>
      <c r="D3665">
        <v>99</v>
      </c>
      <c r="E3665">
        <v>273</v>
      </c>
      <c r="F3665">
        <v>1011</v>
      </c>
      <c r="G3665">
        <v>2198</v>
      </c>
      <c r="H3665">
        <v>283.93630000000002</v>
      </c>
    </row>
    <row r="3666" spans="1:8" x14ac:dyDescent="0.25">
      <c r="A3666">
        <v>18929186</v>
      </c>
      <c r="B3666">
        <v>43</v>
      </c>
      <c r="C3666">
        <v>24</v>
      </c>
      <c r="D3666">
        <v>52</v>
      </c>
      <c r="E3666">
        <v>106</v>
      </c>
      <c r="F3666">
        <v>340</v>
      </c>
      <c r="G3666">
        <v>620</v>
      </c>
      <c r="H3666">
        <v>281.73349999999999</v>
      </c>
    </row>
    <row r="3667" spans="1:8" x14ac:dyDescent="0.25">
      <c r="A3667">
        <v>18929187</v>
      </c>
      <c r="B3667">
        <v>215</v>
      </c>
      <c r="C3667">
        <v>111</v>
      </c>
      <c r="D3667">
        <v>134</v>
      </c>
      <c r="E3667">
        <v>338</v>
      </c>
      <c r="F3667">
        <v>1215</v>
      </c>
      <c r="G3667">
        <v>3921</v>
      </c>
      <c r="H3667">
        <v>285.89920000000001</v>
      </c>
    </row>
    <row r="3668" spans="1:8" x14ac:dyDescent="0.25">
      <c r="A3668">
        <v>18929188</v>
      </c>
      <c r="B3668">
        <v>20</v>
      </c>
      <c r="C3668">
        <v>11</v>
      </c>
      <c r="D3668">
        <v>8</v>
      </c>
      <c r="E3668">
        <v>23</v>
      </c>
      <c r="F3668">
        <v>51</v>
      </c>
      <c r="G3668">
        <v>242</v>
      </c>
      <c r="H3668">
        <v>284</v>
      </c>
    </row>
    <row r="3669" spans="1:8" x14ac:dyDescent="0.25">
      <c r="A3669">
        <v>18929189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1</v>
      </c>
      <c r="H3669">
        <v>0</v>
      </c>
    </row>
    <row r="3670" spans="1:8" x14ac:dyDescent="0.25">
      <c r="A3670">
        <v>18929190</v>
      </c>
      <c r="B3670">
        <v>129</v>
      </c>
      <c r="C3670">
        <v>42</v>
      </c>
      <c r="D3670">
        <v>29</v>
      </c>
      <c r="E3670">
        <v>68</v>
      </c>
      <c r="F3670">
        <v>412</v>
      </c>
      <c r="G3670">
        <v>1127</v>
      </c>
      <c r="H3670">
        <v>389.10789999999997</v>
      </c>
    </row>
    <row r="3671" spans="1:8" x14ac:dyDescent="0.25">
      <c r="A3671">
        <v>18929191</v>
      </c>
      <c r="B3671">
        <v>30</v>
      </c>
      <c r="C3671">
        <v>15</v>
      </c>
      <c r="D3671">
        <v>6</v>
      </c>
      <c r="E3671">
        <v>18</v>
      </c>
      <c r="F3671">
        <v>93</v>
      </c>
      <c r="G3671">
        <v>239</v>
      </c>
      <c r="H3671">
        <v>379</v>
      </c>
    </row>
    <row r="3672" spans="1:8" x14ac:dyDescent="0.25">
      <c r="A3672">
        <v>18929192</v>
      </c>
      <c r="B3672">
        <v>156</v>
      </c>
      <c r="C3672">
        <v>36</v>
      </c>
      <c r="D3672">
        <v>55</v>
      </c>
      <c r="E3672">
        <v>121</v>
      </c>
      <c r="F3672">
        <v>347</v>
      </c>
      <c r="G3672">
        <v>972</v>
      </c>
      <c r="H3672">
        <v>398.31869999999998</v>
      </c>
    </row>
    <row r="3673" spans="1:8" x14ac:dyDescent="0.25">
      <c r="A3673">
        <v>18929194</v>
      </c>
      <c r="B3673">
        <v>0</v>
      </c>
      <c r="C3673">
        <v>0</v>
      </c>
      <c r="D3673">
        <v>0</v>
      </c>
      <c r="E3673">
        <v>0</v>
      </c>
      <c r="F3673">
        <v>2</v>
      </c>
      <c r="G3673">
        <v>10</v>
      </c>
      <c r="H3673">
        <v>0</v>
      </c>
    </row>
    <row r="3674" spans="1:8" x14ac:dyDescent="0.25">
      <c r="A3674">
        <v>18929196</v>
      </c>
      <c r="B3674">
        <v>-1</v>
      </c>
      <c r="C3674">
        <v>0</v>
      </c>
      <c r="D3674">
        <v>0</v>
      </c>
      <c r="E3674">
        <v>0</v>
      </c>
      <c r="F3674">
        <v>6</v>
      </c>
      <c r="G3674">
        <v>8</v>
      </c>
      <c r="H3674">
        <v>0</v>
      </c>
    </row>
    <row r="3675" spans="1:8" x14ac:dyDescent="0.25">
      <c r="A3675">
        <v>18929197</v>
      </c>
      <c r="B3675">
        <v>0</v>
      </c>
      <c r="C3675">
        <v>0</v>
      </c>
      <c r="D3675">
        <v>0</v>
      </c>
      <c r="E3675">
        <v>0</v>
      </c>
      <c r="F3675">
        <v>2</v>
      </c>
      <c r="G3675">
        <v>11</v>
      </c>
      <c r="H3675">
        <v>0</v>
      </c>
    </row>
    <row r="3676" spans="1:8" x14ac:dyDescent="0.25">
      <c r="A3676">
        <v>18929198</v>
      </c>
      <c r="B3676">
        <v>0</v>
      </c>
      <c r="C3676">
        <v>0</v>
      </c>
      <c r="D3676">
        <v>1</v>
      </c>
      <c r="E3676">
        <v>3</v>
      </c>
      <c r="F3676">
        <v>4</v>
      </c>
      <c r="G3676">
        <v>12</v>
      </c>
      <c r="H3676">
        <v>489</v>
      </c>
    </row>
    <row r="3677" spans="1:8" x14ac:dyDescent="0.25">
      <c r="A3677">
        <v>18929199</v>
      </c>
      <c r="B3677">
        <v>0</v>
      </c>
      <c r="C3677">
        <v>0</v>
      </c>
      <c r="D3677">
        <v>0</v>
      </c>
      <c r="E3677">
        <v>0</v>
      </c>
      <c r="F3677">
        <v>1</v>
      </c>
      <c r="G3677">
        <v>1</v>
      </c>
      <c r="H3677">
        <v>0</v>
      </c>
    </row>
    <row r="3678" spans="1:8" x14ac:dyDescent="0.25">
      <c r="A3678">
        <v>18929200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1</v>
      </c>
      <c r="H3678">
        <v>0</v>
      </c>
    </row>
    <row r="3679" spans="1:8" x14ac:dyDescent="0.25">
      <c r="A3679">
        <v>18929201</v>
      </c>
      <c r="B3679">
        <v>0</v>
      </c>
      <c r="C3679">
        <v>0</v>
      </c>
      <c r="D3679">
        <v>0</v>
      </c>
      <c r="E3679">
        <v>0</v>
      </c>
      <c r="F3679">
        <v>3</v>
      </c>
      <c r="G3679">
        <v>9</v>
      </c>
      <c r="H3679">
        <v>0</v>
      </c>
    </row>
    <row r="3680" spans="1:8" x14ac:dyDescent="0.25">
      <c r="A3680">
        <v>18929202</v>
      </c>
      <c r="B3680">
        <v>0</v>
      </c>
      <c r="C3680">
        <v>1</v>
      </c>
      <c r="D3680">
        <v>0</v>
      </c>
      <c r="E3680">
        <v>1</v>
      </c>
      <c r="F3680">
        <v>2</v>
      </c>
      <c r="G3680">
        <v>2</v>
      </c>
      <c r="H3680">
        <v>0</v>
      </c>
    </row>
    <row r="3681" spans="1:8" x14ac:dyDescent="0.25">
      <c r="A3681">
        <v>18929204</v>
      </c>
      <c r="B3681">
        <v>1</v>
      </c>
      <c r="C3681">
        <v>0</v>
      </c>
      <c r="D3681">
        <v>0</v>
      </c>
      <c r="E3681">
        <v>0</v>
      </c>
      <c r="F3681">
        <v>1</v>
      </c>
      <c r="G3681">
        <v>1</v>
      </c>
      <c r="H3681">
        <v>0</v>
      </c>
    </row>
    <row r="3682" spans="1:8" x14ac:dyDescent="0.25">
      <c r="A3682">
        <v>18929209</v>
      </c>
      <c r="B3682">
        <v>30</v>
      </c>
      <c r="C3682">
        <v>0</v>
      </c>
      <c r="D3682">
        <v>7</v>
      </c>
      <c r="E3682">
        <v>43</v>
      </c>
      <c r="F3682">
        <v>189</v>
      </c>
      <c r="G3682">
        <v>592</v>
      </c>
      <c r="H3682">
        <v>419.32139999999998</v>
      </c>
    </row>
    <row r="3683" spans="1:8" x14ac:dyDescent="0.25">
      <c r="A3683">
        <v>18929210</v>
      </c>
      <c r="B3683">
        <v>10</v>
      </c>
      <c r="C3683">
        <v>0</v>
      </c>
      <c r="D3683">
        <v>0</v>
      </c>
      <c r="E3683">
        <v>3</v>
      </c>
      <c r="F3683">
        <v>121</v>
      </c>
      <c r="G3683">
        <v>406</v>
      </c>
      <c r="H3683">
        <v>0</v>
      </c>
    </row>
    <row r="3684" spans="1:8" x14ac:dyDescent="0.25">
      <c r="A3684">
        <v>18929211</v>
      </c>
      <c r="B3684">
        <v>19</v>
      </c>
      <c r="C3684">
        <v>0</v>
      </c>
      <c r="D3684">
        <v>1</v>
      </c>
      <c r="E3684">
        <v>7</v>
      </c>
      <c r="F3684">
        <v>72</v>
      </c>
      <c r="G3684">
        <v>296</v>
      </c>
      <c r="H3684">
        <v>439.97</v>
      </c>
    </row>
    <row r="3685" spans="1:8" x14ac:dyDescent="0.25">
      <c r="A3685">
        <v>18929212</v>
      </c>
      <c r="B3685">
        <v>-1</v>
      </c>
      <c r="C3685">
        <v>0</v>
      </c>
      <c r="D3685">
        <v>0</v>
      </c>
      <c r="E3685">
        <v>0</v>
      </c>
      <c r="F3685">
        <v>0</v>
      </c>
      <c r="G3685">
        <v>22</v>
      </c>
      <c r="H3685">
        <v>0</v>
      </c>
    </row>
    <row r="3686" spans="1:8" x14ac:dyDescent="0.25">
      <c r="A3686">
        <v>18929213</v>
      </c>
      <c r="B3686">
        <v>20</v>
      </c>
      <c r="C3686">
        <v>0</v>
      </c>
      <c r="D3686">
        <v>0</v>
      </c>
      <c r="E3686">
        <v>4</v>
      </c>
      <c r="F3686">
        <v>129</v>
      </c>
      <c r="G3686">
        <v>454</v>
      </c>
      <c r="H3686">
        <v>0</v>
      </c>
    </row>
    <row r="3687" spans="1:8" x14ac:dyDescent="0.25">
      <c r="A3687">
        <v>18929214</v>
      </c>
      <c r="B3687">
        <v>4</v>
      </c>
      <c r="C3687">
        <v>0</v>
      </c>
      <c r="D3687">
        <v>1</v>
      </c>
      <c r="E3687">
        <v>8</v>
      </c>
      <c r="F3687">
        <v>75</v>
      </c>
      <c r="G3687">
        <v>265</v>
      </c>
      <c r="H3687">
        <v>539.97</v>
      </c>
    </row>
    <row r="3688" spans="1:8" x14ac:dyDescent="0.25">
      <c r="A3688">
        <v>18929215</v>
      </c>
      <c r="B3688">
        <v>6</v>
      </c>
      <c r="C3688">
        <v>0</v>
      </c>
      <c r="D3688">
        <v>1</v>
      </c>
      <c r="E3688">
        <v>5</v>
      </c>
      <c r="F3688">
        <v>49</v>
      </c>
      <c r="G3688">
        <v>140</v>
      </c>
      <c r="H3688">
        <v>572.16999999999996</v>
      </c>
    </row>
    <row r="3689" spans="1:8" x14ac:dyDescent="0.25">
      <c r="A3689">
        <v>18929216</v>
      </c>
      <c r="B3689">
        <v>-2</v>
      </c>
      <c r="C3689">
        <v>0</v>
      </c>
      <c r="D3689">
        <v>0</v>
      </c>
      <c r="E3689">
        <v>0</v>
      </c>
      <c r="F3689">
        <v>1</v>
      </c>
      <c r="G3689">
        <v>12</v>
      </c>
      <c r="H3689">
        <v>0</v>
      </c>
    </row>
    <row r="3690" spans="1:8" x14ac:dyDescent="0.25">
      <c r="A3690">
        <v>18929217</v>
      </c>
      <c r="B3690">
        <v>12</v>
      </c>
      <c r="C3690">
        <v>0</v>
      </c>
      <c r="D3690">
        <v>-1</v>
      </c>
      <c r="E3690">
        <v>4</v>
      </c>
      <c r="F3690">
        <v>31</v>
      </c>
      <c r="G3690">
        <v>86</v>
      </c>
      <c r="H3690">
        <v>744.97</v>
      </c>
    </row>
    <row r="3691" spans="1:8" x14ac:dyDescent="0.25">
      <c r="A3691">
        <v>18929218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2</v>
      </c>
      <c r="H3691">
        <v>0</v>
      </c>
    </row>
    <row r="3692" spans="1:8" x14ac:dyDescent="0.25">
      <c r="A3692">
        <v>18929219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3</v>
      </c>
      <c r="H3692">
        <v>0</v>
      </c>
    </row>
    <row r="3693" spans="1:8" x14ac:dyDescent="0.25">
      <c r="A3693">
        <v>18929220</v>
      </c>
      <c r="B3693">
        <v>-1</v>
      </c>
      <c r="C3693">
        <v>0</v>
      </c>
      <c r="D3693">
        <v>0</v>
      </c>
      <c r="E3693">
        <v>0</v>
      </c>
      <c r="F3693">
        <v>1</v>
      </c>
      <c r="G3693">
        <v>1</v>
      </c>
      <c r="H3693">
        <v>0</v>
      </c>
    </row>
    <row r="3694" spans="1:8" x14ac:dyDescent="0.25">
      <c r="A3694">
        <v>18929225</v>
      </c>
      <c r="B3694">
        <v>-1</v>
      </c>
      <c r="C3694">
        <v>0</v>
      </c>
      <c r="D3694">
        <v>0</v>
      </c>
      <c r="E3694">
        <v>0</v>
      </c>
      <c r="F3694">
        <v>1</v>
      </c>
      <c r="G3694">
        <v>8</v>
      </c>
      <c r="H3694">
        <v>0</v>
      </c>
    </row>
    <row r="3695" spans="1:8" x14ac:dyDescent="0.25">
      <c r="A3695">
        <v>18929226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5</v>
      </c>
      <c r="H3695">
        <v>0</v>
      </c>
    </row>
    <row r="3696" spans="1:8" x14ac:dyDescent="0.25">
      <c r="A3696">
        <v>18929229</v>
      </c>
      <c r="B3696">
        <v>0</v>
      </c>
      <c r="C3696">
        <v>0</v>
      </c>
      <c r="D3696">
        <v>0</v>
      </c>
      <c r="E3696">
        <v>0</v>
      </c>
      <c r="F3696">
        <v>2</v>
      </c>
      <c r="G3696">
        <v>9</v>
      </c>
      <c r="H3696">
        <v>0</v>
      </c>
    </row>
    <row r="3697" spans="1:8" x14ac:dyDescent="0.25">
      <c r="A3697">
        <v>18929230</v>
      </c>
      <c r="B3697">
        <v>-1</v>
      </c>
      <c r="C3697">
        <v>0</v>
      </c>
      <c r="D3697">
        <v>0</v>
      </c>
      <c r="E3697">
        <v>0</v>
      </c>
      <c r="F3697">
        <v>0</v>
      </c>
      <c r="G3697">
        <v>6</v>
      </c>
      <c r="H3697">
        <v>0</v>
      </c>
    </row>
    <row r="3698" spans="1:8" x14ac:dyDescent="0.25">
      <c r="A3698">
        <v>18929233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1</v>
      </c>
      <c r="H3698">
        <v>0</v>
      </c>
    </row>
    <row r="3699" spans="1:8" x14ac:dyDescent="0.25">
      <c r="A3699">
        <v>18929237</v>
      </c>
      <c r="B3699">
        <v>7</v>
      </c>
      <c r="C3699">
        <v>0</v>
      </c>
      <c r="D3699">
        <v>0</v>
      </c>
      <c r="E3699">
        <v>0</v>
      </c>
      <c r="F3699">
        <v>0</v>
      </c>
      <c r="G3699">
        <v>0</v>
      </c>
      <c r="H3699">
        <v>0</v>
      </c>
    </row>
    <row r="3700" spans="1:8" x14ac:dyDescent="0.25">
      <c r="A3700">
        <v>18929241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6</v>
      </c>
      <c r="H3700">
        <v>0</v>
      </c>
    </row>
    <row r="3701" spans="1:8" x14ac:dyDescent="0.25">
      <c r="A3701">
        <v>18929245</v>
      </c>
      <c r="B3701">
        <v>-1</v>
      </c>
      <c r="C3701">
        <v>0</v>
      </c>
      <c r="D3701">
        <v>0</v>
      </c>
      <c r="E3701">
        <v>0</v>
      </c>
      <c r="F3701">
        <v>3</v>
      </c>
      <c r="G3701">
        <v>9</v>
      </c>
      <c r="H3701">
        <v>0</v>
      </c>
    </row>
    <row r="3702" spans="1:8" x14ac:dyDescent="0.25">
      <c r="A3702">
        <v>18929251</v>
      </c>
      <c r="B3702">
        <v>1</v>
      </c>
      <c r="C3702">
        <v>0</v>
      </c>
      <c r="D3702">
        <v>0</v>
      </c>
      <c r="E3702">
        <v>0</v>
      </c>
      <c r="F3702">
        <v>0</v>
      </c>
      <c r="G3702">
        <v>0</v>
      </c>
      <c r="H3702">
        <v>0</v>
      </c>
    </row>
    <row r="3703" spans="1:8" x14ac:dyDescent="0.25">
      <c r="A3703">
        <v>18929257</v>
      </c>
      <c r="B3703">
        <v>64</v>
      </c>
      <c r="C3703">
        <v>0</v>
      </c>
      <c r="D3703">
        <v>3</v>
      </c>
      <c r="E3703">
        <v>15</v>
      </c>
      <c r="F3703">
        <v>96</v>
      </c>
      <c r="G3703">
        <v>327</v>
      </c>
      <c r="H3703">
        <v>624.97</v>
      </c>
    </row>
    <row r="3704" spans="1:8" x14ac:dyDescent="0.25">
      <c r="A3704">
        <v>18929258</v>
      </c>
      <c r="B3704">
        <v>37</v>
      </c>
      <c r="C3704">
        <v>0</v>
      </c>
      <c r="D3704">
        <v>1</v>
      </c>
      <c r="E3704">
        <v>12</v>
      </c>
      <c r="F3704">
        <v>55</v>
      </c>
      <c r="G3704">
        <v>215</v>
      </c>
      <c r="H3704">
        <v>639.97</v>
      </c>
    </row>
    <row r="3705" spans="1:8" x14ac:dyDescent="0.25">
      <c r="A3705">
        <v>18929259</v>
      </c>
      <c r="B3705">
        <v>21</v>
      </c>
      <c r="C3705">
        <v>0</v>
      </c>
      <c r="D3705">
        <v>1</v>
      </c>
      <c r="E3705">
        <v>9</v>
      </c>
      <c r="F3705">
        <v>59</v>
      </c>
      <c r="G3705">
        <v>158</v>
      </c>
      <c r="H3705">
        <v>639.97</v>
      </c>
    </row>
    <row r="3706" spans="1:8" x14ac:dyDescent="0.25">
      <c r="A3706">
        <v>18929260</v>
      </c>
      <c r="B3706">
        <v>0</v>
      </c>
      <c r="C3706">
        <v>0</v>
      </c>
      <c r="D3706">
        <v>0</v>
      </c>
      <c r="E3706">
        <v>0</v>
      </c>
      <c r="F3706">
        <v>2</v>
      </c>
      <c r="G3706">
        <v>6</v>
      </c>
      <c r="H3706">
        <v>0</v>
      </c>
    </row>
    <row r="3707" spans="1:8" x14ac:dyDescent="0.25">
      <c r="A3707">
        <v>18929261</v>
      </c>
      <c r="B3707">
        <v>29</v>
      </c>
      <c r="C3707">
        <v>0</v>
      </c>
      <c r="D3707">
        <v>1</v>
      </c>
      <c r="E3707">
        <v>11</v>
      </c>
      <c r="F3707">
        <v>90</v>
      </c>
      <c r="G3707">
        <v>302</v>
      </c>
      <c r="H3707">
        <v>629</v>
      </c>
    </row>
    <row r="3708" spans="1:8" x14ac:dyDescent="0.25">
      <c r="A3708">
        <v>18929262</v>
      </c>
      <c r="B3708">
        <v>2</v>
      </c>
      <c r="C3708">
        <v>0</v>
      </c>
      <c r="D3708">
        <v>0</v>
      </c>
      <c r="E3708">
        <v>2</v>
      </c>
      <c r="F3708">
        <v>18</v>
      </c>
      <c r="G3708">
        <v>147</v>
      </c>
      <c r="H3708">
        <v>0</v>
      </c>
    </row>
    <row r="3709" spans="1:8" x14ac:dyDescent="0.25">
      <c r="A3709">
        <v>18929263</v>
      </c>
      <c r="B3709">
        <v>6</v>
      </c>
      <c r="C3709">
        <v>0</v>
      </c>
      <c r="D3709">
        <v>0</v>
      </c>
      <c r="E3709">
        <v>4</v>
      </c>
      <c r="F3709">
        <v>29</v>
      </c>
      <c r="G3709">
        <v>77</v>
      </c>
      <c r="H3709">
        <v>0</v>
      </c>
    </row>
    <row r="3710" spans="1:8" x14ac:dyDescent="0.25">
      <c r="A3710">
        <v>18929264</v>
      </c>
      <c r="B3710">
        <v>1</v>
      </c>
      <c r="C3710">
        <v>0</v>
      </c>
      <c r="D3710">
        <v>0</v>
      </c>
      <c r="E3710">
        <v>0</v>
      </c>
      <c r="F3710">
        <v>1</v>
      </c>
      <c r="G3710">
        <v>9</v>
      </c>
      <c r="H3710">
        <v>0</v>
      </c>
    </row>
    <row r="3711" spans="1:8" x14ac:dyDescent="0.25">
      <c r="A3711">
        <v>18929265</v>
      </c>
      <c r="B3711">
        <v>-1</v>
      </c>
      <c r="C3711">
        <v>0</v>
      </c>
      <c r="D3711">
        <v>0</v>
      </c>
      <c r="E3711">
        <v>0</v>
      </c>
      <c r="F3711">
        <v>0</v>
      </c>
      <c r="G3711">
        <v>1</v>
      </c>
      <c r="H3711">
        <v>0</v>
      </c>
    </row>
    <row r="3712" spans="1:8" x14ac:dyDescent="0.25">
      <c r="A3712">
        <v>18929266</v>
      </c>
      <c r="B3712">
        <v>0</v>
      </c>
      <c r="C3712">
        <v>0</v>
      </c>
      <c r="D3712">
        <v>0</v>
      </c>
      <c r="E3712">
        <v>0</v>
      </c>
      <c r="F3712">
        <v>1</v>
      </c>
      <c r="G3712">
        <v>6</v>
      </c>
      <c r="H3712">
        <v>0</v>
      </c>
    </row>
    <row r="3713" spans="1:8" x14ac:dyDescent="0.25">
      <c r="A3713">
        <v>18929267</v>
      </c>
      <c r="B3713">
        <v>-1</v>
      </c>
      <c r="C3713">
        <v>0</v>
      </c>
      <c r="D3713">
        <v>0</v>
      </c>
      <c r="E3713">
        <v>0</v>
      </c>
      <c r="F3713">
        <v>2</v>
      </c>
      <c r="G3713">
        <v>3</v>
      </c>
      <c r="H3713">
        <v>0</v>
      </c>
    </row>
    <row r="3714" spans="1:8" x14ac:dyDescent="0.25">
      <c r="A3714">
        <v>18929268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1</v>
      </c>
      <c r="H3714">
        <v>0</v>
      </c>
    </row>
    <row r="3715" spans="1:8" x14ac:dyDescent="0.25">
      <c r="A3715">
        <v>18929269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1</v>
      </c>
      <c r="H3715">
        <v>0</v>
      </c>
    </row>
    <row r="3716" spans="1:8" x14ac:dyDescent="0.25">
      <c r="A3716">
        <v>18929276</v>
      </c>
      <c r="B3716">
        <v>4</v>
      </c>
      <c r="C3716">
        <v>0</v>
      </c>
      <c r="D3716">
        <v>1</v>
      </c>
      <c r="E3716">
        <v>1</v>
      </c>
      <c r="F3716">
        <v>2</v>
      </c>
      <c r="G3716">
        <v>2</v>
      </c>
      <c r="H3716">
        <v>417.97</v>
      </c>
    </row>
    <row r="3717" spans="1:8" x14ac:dyDescent="0.25">
      <c r="A3717">
        <v>18929277</v>
      </c>
      <c r="B3717">
        <v>7</v>
      </c>
      <c r="C3717">
        <v>0</v>
      </c>
      <c r="D3717">
        <v>0</v>
      </c>
      <c r="E3717">
        <v>-1</v>
      </c>
      <c r="F3717">
        <v>0</v>
      </c>
      <c r="G3717">
        <v>0</v>
      </c>
      <c r="H3717">
        <v>0</v>
      </c>
    </row>
    <row r="3718" spans="1:8" x14ac:dyDescent="0.25">
      <c r="A3718">
        <v>18929282</v>
      </c>
      <c r="B3718">
        <v>7</v>
      </c>
      <c r="C3718">
        <v>0</v>
      </c>
      <c r="D3718">
        <v>0</v>
      </c>
      <c r="E3718">
        <v>0</v>
      </c>
      <c r="F3718">
        <v>0</v>
      </c>
      <c r="G3718">
        <v>0</v>
      </c>
      <c r="H3718">
        <v>0</v>
      </c>
    </row>
    <row r="3719" spans="1:8" x14ac:dyDescent="0.25">
      <c r="A3719">
        <v>18929285</v>
      </c>
      <c r="B3719">
        <v>40</v>
      </c>
      <c r="C3719">
        <v>0</v>
      </c>
      <c r="D3719">
        <v>7</v>
      </c>
      <c r="E3719">
        <v>18</v>
      </c>
      <c r="F3719">
        <v>62</v>
      </c>
      <c r="G3719">
        <v>158</v>
      </c>
      <c r="H3719">
        <v>244.79140000000001</v>
      </c>
    </row>
    <row r="3720" spans="1:8" x14ac:dyDescent="0.25">
      <c r="A3720">
        <v>18929286</v>
      </c>
      <c r="B3720">
        <v>46</v>
      </c>
      <c r="C3720">
        <v>9</v>
      </c>
      <c r="D3720">
        <v>5</v>
      </c>
      <c r="E3720">
        <v>14</v>
      </c>
      <c r="F3720">
        <v>41</v>
      </c>
      <c r="G3720">
        <v>89</v>
      </c>
      <c r="H3720">
        <v>319</v>
      </c>
    </row>
    <row r="3721" spans="1:8" x14ac:dyDescent="0.25">
      <c r="A3721">
        <v>18929324</v>
      </c>
      <c r="B3721">
        <v>24</v>
      </c>
      <c r="C3721">
        <v>0</v>
      </c>
      <c r="D3721">
        <v>4</v>
      </c>
      <c r="E3721">
        <v>8</v>
      </c>
      <c r="F3721">
        <v>82</v>
      </c>
      <c r="G3721">
        <v>261</v>
      </c>
      <c r="H3721">
        <v>1032.47</v>
      </c>
    </row>
    <row r="3722" spans="1:8" x14ac:dyDescent="0.25">
      <c r="A3722">
        <v>18929325</v>
      </c>
      <c r="B3722">
        <v>40</v>
      </c>
      <c r="C3722">
        <v>0</v>
      </c>
      <c r="D3722">
        <v>4</v>
      </c>
      <c r="E3722">
        <v>11</v>
      </c>
      <c r="F3722">
        <v>73</v>
      </c>
      <c r="G3722">
        <v>234</v>
      </c>
      <c r="H3722">
        <v>1035.1324999999999</v>
      </c>
    </row>
    <row r="3723" spans="1:8" x14ac:dyDescent="0.25">
      <c r="A3723">
        <v>18929326</v>
      </c>
      <c r="B3723">
        <v>-1</v>
      </c>
      <c r="C3723">
        <v>0</v>
      </c>
      <c r="D3723">
        <v>0</v>
      </c>
      <c r="E3723">
        <v>0</v>
      </c>
      <c r="F3723">
        <v>9</v>
      </c>
      <c r="G3723">
        <v>31</v>
      </c>
      <c r="H3723">
        <v>0</v>
      </c>
    </row>
    <row r="3724" spans="1:8" x14ac:dyDescent="0.25">
      <c r="A3724">
        <v>18929327</v>
      </c>
      <c r="B3724">
        <v>13</v>
      </c>
      <c r="C3724">
        <v>0</v>
      </c>
      <c r="D3724">
        <v>1</v>
      </c>
      <c r="E3724">
        <v>7</v>
      </c>
      <c r="F3724">
        <v>101</v>
      </c>
      <c r="G3724">
        <v>330</v>
      </c>
      <c r="H3724">
        <v>1299.96</v>
      </c>
    </row>
    <row r="3725" spans="1:8" x14ac:dyDescent="0.25">
      <c r="A3725">
        <v>18929328</v>
      </c>
      <c r="B3725">
        <v>0</v>
      </c>
      <c r="C3725">
        <v>0</v>
      </c>
      <c r="D3725">
        <v>0</v>
      </c>
      <c r="E3725">
        <v>0</v>
      </c>
      <c r="F3725">
        <v>1</v>
      </c>
      <c r="G3725">
        <v>24</v>
      </c>
      <c r="H3725">
        <v>0</v>
      </c>
    </row>
    <row r="3726" spans="1:8" x14ac:dyDescent="0.25">
      <c r="A3726">
        <v>18929329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8</v>
      </c>
      <c r="H3726">
        <v>0</v>
      </c>
    </row>
    <row r="3727" spans="1:8" x14ac:dyDescent="0.25">
      <c r="A3727">
        <v>18929330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6</v>
      </c>
      <c r="H3727">
        <v>0</v>
      </c>
    </row>
    <row r="3728" spans="1:8" x14ac:dyDescent="0.25">
      <c r="A3728">
        <v>18929331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7</v>
      </c>
      <c r="H3728">
        <v>0</v>
      </c>
    </row>
    <row r="3729" spans="1:8" x14ac:dyDescent="0.25">
      <c r="A3729">
        <v>18929332</v>
      </c>
      <c r="B3729">
        <v>22</v>
      </c>
      <c r="C3729">
        <v>0</v>
      </c>
      <c r="D3729">
        <v>3</v>
      </c>
      <c r="E3729">
        <v>14</v>
      </c>
      <c r="F3729">
        <v>185</v>
      </c>
      <c r="G3729">
        <v>689</v>
      </c>
      <c r="H3729">
        <v>769.97329999999999</v>
      </c>
    </row>
    <row r="3730" spans="1:8" x14ac:dyDescent="0.25">
      <c r="A3730">
        <v>18929333</v>
      </c>
      <c r="B3730">
        <v>6</v>
      </c>
      <c r="C3730">
        <v>0</v>
      </c>
      <c r="D3730">
        <v>0</v>
      </c>
      <c r="E3730">
        <v>14</v>
      </c>
      <c r="F3730">
        <v>196</v>
      </c>
      <c r="G3730">
        <v>670</v>
      </c>
      <c r="H3730">
        <v>0</v>
      </c>
    </row>
    <row r="3731" spans="1:8" x14ac:dyDescent="0.25">
      <c r="A3731">
        <v>18929334</v>
      </c>
      <c r="B3731">
        <v>3</v>
      </c>
      <c r="C3731">
        <v>0</v>
      </c>
      <c r="D3731">
        <v>1</v>
      </c>
      <c r="E3731">
        <v>19</v>
      </c>
      <c r="F3731">
        <v>192</v>
      </c>
      <c r="G3731">
        <v>515</v>
      </c>
      <c r="H3731">
        <v>839.97</v>
      </c>
    </row>
    <row r="3732" spans="1:8" x14ac:dyDescent="0.25">
      <c r="A3732">
        <v>18929335</v>
      </c>
      <c r="B3732">
        <v>23</v>
      </c>
      <c r="C3732">
        <v>0</v>
      </c>
      <c r="D3732">
        <v>2</v>
      </c>
      <c r="E3732">
        <v>11</v>
      </c>
      <c r="F3732">
        <v>220</v>
      </c>
      <c r="G3732">
        <v>1206</v>
      </c>
      <c r="H3732">
        <v>839.97</v>
      </c>
    </row>
    <row r="3733" spans="1:8" x14ac:dyDescent="0.25">
      <c r="A3733">
        <v>18929336</v>
      </c>
      <c r="B3733">
        <v>14</v>
      </c>
      <c r="C3733">
        <v>0</v>
      </c>
      <c r="D3733">
        <v>3</v>
      </c>
      <c r="E3733">
        <v>9</v>
      </c>
      <c r="F3733">
        <v>82</v>
      </c>
      <c r="G3733">
        <v>298</v>
      </c>
      <c r="H3733">
        <v>1039.97</v>
      </c>
    </row>
    <row r="3734" spans="1:8" x14ac:dyDescent="0.25">
      <c r="A3734">
        <v>18929337</v>
      </c>
      <c r="B3734">
        <v>20</v>
      </c>
      <c r="C3734">
        <v>0</v>
      </c>
      <c r="D3734">
        <v>1</v>
      </c>
      <c r="E3734">
        <v>12</v>
      </c>
      <c r="F3734">
        <v>94</v>
      </c>
      <c r="G3734">
        <v>252</v>
      </c>
      <c r="H3734">
        <v>1039.97</v>
      </c>
    </row>
    <row r="3735" spans="1:8" x14ac:dyDescent="0.25">
      <c r="A3735">
        <v>18929338</v>
      </c>
      <c r="B3735">
        <v>25</v>
      </c>
      <c r="C3735">
        <v>0</v>
      </c>
      <c r="D3735">
        <v>2</v>
      </c>
      <c r="E3735">
        <v>6</v>
      </c>
      <c r="F3735">
        <v>84</v>
      </c>
      <c r="G3735">
        <v>272</v>
      </c>
      <c r="H3735">
        <v>1039.97</v>
      </c>
    </row>
    <row r="3736" spans="1:8" x14ac:dyDescent="0.25">
      <c r="A3736">
        <v>18929339</v>
      </c>
      <c r="B3736">
        <v>8</v>
      </c>
      <c r="C3736">
        <v>0</v>
      </c>
      <c r="D3736">
        <v>3</v>
      </c>
      <c r="E3736">
        <v>10</v>
      </c>
      <c r="F3736">
        <v>198</v>
      </c>
      <c r="G3736">
        <v>680</v>
      </c>
      <c r="H3736">
        <v>1022.6367</v>
      </c>
    </row>
    <row r="3737" spans="1:8" x14ac:dyDescent="0.25">
      <c r="A3737">
        <v>18929340</v>
      </c>
      <c r="B3737">
        <v>0</v>
      </c>
      <c r="C3737">
        <v>0</v>
      </c>
      <c r="D3737">
        <v>0</v>
      </c>
      <c r="E3737">
        <v>0</v>
      </c>
      <c r="F3737">
        <v>1</v>
      </c>
      <c r="G3737">
        <v>11</v>
      </c>
      <c r="H3737">
        <v>0</v>
      </c>
    </row>
    <row r="3738" spans="1:8" x14ac:dyDescent="0.25">
      <c r="A3738">
        <v>18929341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7</v>
      </c>
      <c r="H3738">
        <v>0</v>
      </c>
    </row>
    <row r="3739" spans="1:8" x14ac:dyDescent="0.25">
      <c r="A3739">
        <v>18929342</v>
      </c>
      <c r="B3739">
        <v>0</v>
      </c>
      <c r="C3739">
        <v>0</v>
      </c>
      <c r="D3739">
        <v>0</v>
      </c>
      <c r="E3739">
        <v>0</v>
      </c>
      <c r="F3739">
        <v>1</v>
      </c>
      <c r="G3739">
        <v>16</v>
      </c>
      <c r="H3739">
        <v>0</v>
      </c>
    </row>
    <row r="3740" spans="1:8" x14ac:dyDescent="0.25">
      <c r="A3740">
        <v>18929343</v>
      </c>
      <c r="B3740">
        <v>0</v>
      </c>
      <c r="C3740">
        <v>0</v>
      </c>
      <c r="D3740">
        <v>0</v>
      </c>
      <c r="E3740">
        <v>0</v>
      </c>
      <c r="F3740">
        <v>2</v>
      </c>
      <c r="G3740">
        <v>21</v>
      </c>
      <c r="H3740">
        <v>0</v>
      </c>
    </row>
    <row r="3741" spans="1:8" x14ac:dyDescent="0.25">
      <c r="A3741">
        <v>18929344</v>
      </c>
      <c r="B3741">
        <v>6</v>
      </c>
      <c r="C3741">
        <v>0</v>
      </c>
      <c r="D3741">
        <v>0</v>
      </c>
      <c r="E3741">
        <v>0</v>
      </c>
      <c r="F3741">
        <v>1</v>
      </c>
      <c r="G3741">
        <v>1</v>
      </c>
      <c r="H3741">
        <v>0</v>
      </c>
    </row>
    <row r="3742" spans="1:8" x14ac:dyDescent="0.25">
      <c r="A3742">
        <v>18929345</v>
      </c>
      <c r="B3742">
        <v>0</v>
      </c>
      <c r="C3742">
        <v>0</v>
      </c>
      <c r="D3742">
        <v>0</v>
      </c>
      <c r="E3742">
        <v>0</v>
      </c>
      <c r="F3742">
        <v>1</v>
      </c>
      <c r="G3742">
        <v>26</v>
      </c>
      <c r="H3742">
        <v>0</v>
      </c>
    </row>
    <row r="3743" spans="1:8" x14ac:dyDescent="0.25">
      <c r="A3743">
        <v>18929346</v>
      </c>
      <c r="B3743">
        <v>0</v>
      </c>
      <c r="C3743">
        <v>0</v>
      </c>
      <c r="D3743">
        <v>0</v>
      </c>
      <c r="E3743">
        <v>0</v>
      </c>
      <c r="F3743">
        <v>3</v>
      </c>
      <c r="G3743">
        <v>12</v>
      </c>
      <c r="H3743">
        <v>0</v>
      </c>
    </row>
    <row r="3744" spans="1:8" x14ac:dyDescent="0.25">
      <c r="A3744">
        <v>18929347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11</v>
      </c>
      <c r="H3744">
        <v>0</v>
      </c>
    </row>
    <row r="3745" spans="1:8" x14ac:dyDescent="0.25">
      <c r="A3745">
        <v>18929348</v>
      </c>
      <c r="B3745">
        <v>0</v>
      </c>
      <c r="C3745">
        <v>0</v>
      </c>
      <c r="D3745">
        <v>0</v>
      </c>
      <c r="E3745">
        <v>0</v>
      </c>
      <c r="F3745">
        <v>1</v>
      </c>
      <c r="G3745">
        <v>25</v>
      </c>
      <c r="H3745">
        <v>0</v>
      </c>
    </row>
    <row r="3746" spans="1:8" x14ac:dyDescent="0.25">
      <c r="A3746">
        <v>18929349</v>
      </c>
      <c r="B3746">
        <v>6</v>
      </c>
      <c r="C3746">
        <v>0</v>
      </c>
      <c r="D3746">
        <v>0</v>
      </c>
      <c r="E3746">
        <v>0</v>
      </c>
      <c r="F3746">
        <v>1</v>
      </c>
      <c r="G3746">
        <v>1</v>
      </c>
      <c r="H3746">
        <v>0</v>
      </c>
    </row>
    <row r="3747" spans="1:8" x14ac:dyDescent="0.25">
      <c r="A3747">
        <v>18929350</v>
      </c>
      <c r="B3747">
        <v>6</v>
      </c>
      <c r="C3747">
        <v>0</v>
      </c>
      <c r="D3747">
        <v>0</v>
      </c>
      <c r="E3747">
        <v>0</v>
      </c>
      <c r="F3747">
        <v>1</v>
      </c>
      <c r="G3747">
        <v>1</v>
      </c>
      <c r="H3747">
        <v>0</v>
      </c>
    </row>
    <row r="3748" spans="1:8" x14ac:dyDescent="0.25">
      <c r="A3748">
        <v>18929992</v>
      </c>
      <c r="B3748">
        <v>625</v>
      </c>
      <c r="C3748">
        <v>40</v>
      </c>
      <c r="D3748">
        <v>44</v>
      </c>
      <c r="E3748">
        <v>170</v>
      </c>
      <c r="F3748">
        <v>627</v>
      </c>
      <c r="G3748">
        <v>1349</v>
      </c>
      <c r="H3748">
        <v>78.818200000000004</v>
      </c>
    </row>
    <row r="3749" spans="1:8" x14ac:dyDescent="0.25">
      <c r="A3749">
        <v>18929993</v>
      </c>
      <c r="B3749">
        <v>475</v>
      </c>
      <c r="C3749">
        <v>0</v>
      </c>
      <c r="D3749">
        <v>17</v>
      </c>
      <c r="E3749">
        <v>59</v>
      </c>
      <c r="F3749">
        <v>281</v>
      </c>
      <c r="G3749">
        <v>643</v>
      </c>
      <c r="H3749">
        <v>95.871200000000002</v>
      </c>
    </row>
    <row r="3750" spans="1:8" x14ac:dyDescent="0.25">
      <c r="A3750">
        <v>18929994</v>
      </c>
      <c r="B3750">
        <v>162</v>
      </c>
      <c r="C3750">
        <v>0</v>
      </c>
      <c r="D3750">
        <v>3</v>
      </c>
      <c r="E3750">
        <v>9</v>
      </c>
      <c r="F3750">
        <v>43</v>
      </c>
      <c r="G3750">
        <v>107</v>
      </c>
      <c r="H3750">
        <v>98.323300000000003</v>
      </c>
    </row>
    <row r="3751" spans="1:8" x14ac:dyDescent="0.25">
      <c r="A3751">
        <v>18929995</v>
      </c>
      <c r="B3751">
        <v>544</v>
      </c>
      <c r="C3751">
        <v>80</v>
      </c>
      <c r="D3751">
        <v>26</v>
      </c>
      <c r="E3751">
        <v>85</v>
      </c>
      <c r="F3751">
        <v>328</v>
      </c>
      <c r="G3751">
        <v>755</v>
      </c>
      <c r="H3751">
        <v>96.020399999999995</v>
      </c>
    </row>
    <row r="3752" spans="1:8" x14ac:dyDescent="0.25">
      <c r="A3752">
        <v>18929996</v>
      </c>
      <c r="B3752">
        <v>203</v>
      </c>
      <c r="C3752">
        <v>0</v>
      </c>
      <c r="D3752">
        <v>3</v>
      </c>
      <c r="E3752">
        <v>9</v>
      </c>
      <c r="F3752">
        <v>46</v>
      </c>
      <c r="G3752">
        <v>129</v>
      </c>
      <c r="H3752">
        <v>98.52</v>
      </c>
    </row>
    <row r="3753" spans="1:8" x14ac:dyDescent="0.25">
      <c r="A3753">
        <v>18929997</v>
      </c>
      <c r="B3753">
        <v>894</v>
      </c>
      <c r="C3753">
        <v>0</v>
      </c>
      <c r="D3753">
        <v>68</v>
      </c>
      <c r="E3753">
        <v>261</v>
      </c>
      <c r="F3753">
        <v>595</v>
      </c>
      <c r="G3753">
        <v>1440</v>
      </c>
      <c r="H3753">
        <v>45.692599999999999</v>
      </c>
    </row>
    <row r="3754" spans="1:8" x14ac:dyDescent="0.25">
      <c r="A3754">
        <v>18929998</v>
      </c>
      <c r="B3754">
        <v>975</v>
      </c>
      <c r="C3754">
        <v>120</v>
      </c>
      <c r="D3754">
        <v>72</v>
      </c>
      <c r="E3754">
        <v>390</v>
      </c>
      <c r="F3754">
        <v>1024</v>
      </c>
      <c r="G3754">
        <v>2242</v>
      </c>
      <c r="H3754">
        <v>48.061700000000002</v>
      </c>
    </row>
    <row r="3755" spans="1:8" x14ac:dyDescent="0.25">
      <c r="A3755">
        <v>18930341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  <c r="H3755">
        <v>0</v>
      </c>
    </row>
    <row r="3756" spans="1:8" x14ac:dyDescent="0.25">
      <c r="A3756">
        <v>18930402</v>
      </c>
      <c r="B3756">
        <v>56</v>
      </c>
      <c r="C3756">
        <v>0</v>
      </c>
      <c r="D3756">
        <v>7</v>
      </c>
      <c r="E3756">
        <v>23</v>
      </c>
      <c r="F3756">
        <v>130</v>
      </c>
      <c r="G3756">
        <v>1042</v>
      </c>
      <c r="H3756">
        <v>219.17859999999999</v>
      </c>
    </row>
    <row r="3757" spans="1:8" x14ac:dyDescent="0.25">
      <c r="A3757">
        <v>18930403</v>
      </c>
      <c r="B3757">
        <v>24</v>
      </c>
      <c r="C3757">
        <v>0</v>
      </c>
      <c r="D3757">
        <v>3</v>
      </c>
      <c r="E3757">
        <v>17</v>
      </c>
      <c r="F3757">
        <v>309</v>
      </c>
      <c r="G3757">
        <v>1056</v>
      </c>
      <c r="H3757">
        <v>244.85329999999999</v>
      </c>
    </row>
    <row r="3758" spans="1:8" x14ac:dyDescent="0.25">
      <c r="A3758">
        <v>18930404</v>
      </c>
      <c r="B3758">
        <v>184</v>
      </c>
      <c r="C3758">
        <v>0</v>
      </c>
      <c r="D3758">
        <v>39</v>
      </c>
      <c r="E3758">
        <v>134</v>
      </c>
      <c r="F3758">
        <v>354</v>
      </c>
      <c r="G3758">
        <v>717</v>
      </c>
      <c r="H3758">
        <v>297.07619999999997</v>
      </c>
    </row>
    <row r="3759" spans="1:8" x14ac:dyDescent="0.25">
      <c r="A3759">
        <v>18930405</v>
      </c>
      <c r="B3759">
        <v>218</v>
      </c>
      <c r="C3759">
        <v>0</v>
      </c>
      <c r="D3759">
        <v>27</v>
      </c>
      <c r="E3759">
        <v>106</v>
      </c>
      <c r="F3759">
        <v>308</v>
      </c>
      <c r="G3759">
        <v>668</v>
      </c>
      <c r="H3759">
        <v>335.29070000000002</v>
      </c>
    </row>
    <row r="3760" spans="1:8" x14ac:dyDescent="0.25">
      <c r="A3760">
        <v>18930406</v>
      </c>
      <c r="B3760">
        <v>62</v>
      </c>
      <c r="C3760">
        <v>0</v>
      </c>
      <c r="D3760">
        <v>11</v>
      </c>
      <c r="E3760">
        <v>75</v>
      </c>
      <c r="F3760">
        <v>169</v>
      </c>
      <c r="G3760">
        <v>467</v>
      </c>
      <c r="H3760">
        <v>445.28730000000002</v>
      </c>
    </row>
    <row r="3761" spans="1:8" x14ac:dyDescent="0.25">
      <c r="A3761">
        <v>18930407</v>
      </c>
      <c r="B3761">
        <v>55</v>
      </c>
      <c r="C3761">
        <v>0</v>
      </c>
      <c r="D3761">
        <v>6</v>
      </c>
      <c r="E3761">
        <v>20</v>
      </c>
      <c r="F3761">
        <v>44</v>
      </c>
      <c r="G3761">
        <v>130</v>
      </c>
      <c r="H3761">
        <v>770.83169999999996</v>
      </c>
    </row>
    <row r="3762" spans="1:8" x14ac:dyDescent="0.25">
      <c r="A3762">
        <v>18930955</v>
      </c>
      <c r="B3762">
        <v>11</v>
      </c>
      <c r="C3762">
        <v>35</v>
      </c>
      <c r="D3762">
        <v>0</v>
      </c>
      <c r="E3762">
        <v>8</v>
      </c>
      <c r="F3762">
        <v>19</v>
      </c>
      <c r="G3762">
        <v>35</v>
      </c>
      <c r="H3762">
        <v>0</v>
      </c>
    </row>
    <row r="3763" spans="1:8" x14ac:dyDescent="0.25">
      <c r="A3763">
        <v>18930956</v>
      </c>
      <c r="B3763">
        <v>9</v>
      </c>
      <c r="C3763">
        <v>0</v>
      </c>
      <c r="D3763">
        <v>4</v>
      </c>
      <c r="E3763">
        <v>11</v>
      </c>
      <c r="F3763">
        <v>21</v>
      </c>
      <c r="G3763">
        <v>33</v>
      </c>
      <c r="H3763">
        <v>599.99</v>
      </c>
    </row>
    <row r="3764" spans="1:8" x14ac:dyDescent="0.25">
      <c r="A3764">
        <v>18930957</v>
      </c>
      <c r="B3764">
        <v>19</v>
      </c>
      <c r="C3764">
        <v>0</v>
      </c>
      <c r="D3764">
        <v>5</v>
      </c>
      <c r="E3764">
        <v>19</v>
      </c>
      <c r="F3764">
        <v>37</v>
      </c>
      <c r="G3764">
        <v>67</v>
      </c>
      <c r="H3764">
        <v>343.01</v>
      </c>
    </row>
    <row r="3765" spans="1:8" x14ac:dyDescent="0.25">
      <c r="A3765">
        <v>18930958</v>
      </c>
      <c r="B3765">
        <v>41</v>
      </c>
      <c r="C3765">
        <v>2</v>
      </c>
      <c r="D3765">
        <v>3</v>
      </c>
      <c r="E3765">
        <v>8</v>
      </c>
      <c r="F3765">
        <v>20</v>
      </c>
      <c r="G3765">
        <v>54</v>
      </c>
      <c r="H3765">
        <v>449.99</v>
      </c>
    </row>
    <row r="3766" spans="1:8" x14ac:dyDescent="0.25">
      <c r="A3766">
        <v>18930959</v>
      </c>
      <c r="B3766">
        <v>92</v>
      </c>
      <c r="C3766">
        <v>5</v>
      </c>
      <c r="D3766">
        <v>1</v>
      </c>
      <c r="E3766">
        <v>8</v>
      </c>
      <c r="F3766">
        <v>35</v>
      </c>
      <c r="G3766">
        <v>107</v>
      </c>
      <c r="H3766">
        <v>549.99</v>
      </c>
    </row>
    <row r="3767" spans="1:8" x14ac:dyDescent="0.25">
      <c r="A3767">
        <v>18930960</v>
      </c>
      <c r="B3767">
        <v>74</v>
      </c>
      <c r="C3767">
        <v>15</v>
      </c>
      <c r="D3767">
        <v>4</v>
      </c>
      <c r="E3767">
        <v>14</v>
      </c>
      <c r="F3767">
        <v>45</v>
      </c>
      <c r="G3767">
        <v>156</v>
      </c>
      <c r="H3767">
        <v>397.28500000000003</v>
      </c>
    </row>
    <row r="3768" spans="1:8" x14ac:dyDescent="0.25">
      <c r="A3768">
        <v>18930962</v>
      </c>
      <c r="B3768">
        <v>114</v>
      </c>
      <c r="C3768">
        <v>20</v>
      </c>
      <c r="D3768">
        <v>7</v>
      </c>
      <c r="E3768">
        <v>23</v>
      </c>
      <c r="F3768">
        <v>72</v>
      </c>
      <c r="G3768">
        <v>261</v>
      </c>
      <c r="H3768">
        <v>197.0643</v>
      </c>
    </row>
    <row r="3769" spans="1:8" x14ac:dyDescent="0.25">
      <c r="A3769">
        <v>18930963</v>
      </c>
      <c r="B3769">
        <v>130</v>
      </c>
      <c r="C3769">
        <v>40</v>
      </c>
      <c r="D3769">
        <v>8</v>
      </c>
      <c r="E3769">
        <v>33</v>
      </c>
      <c r="F3769">
        <v>104</v>
      </c>
      <c r="G3769">
        <v>334</v>
      </c>
      <c r="H3769">
        <v>133.6062</v>
      </c>
    </row>
    <row r="3770" spans="1:8" x14ac:dyDescent="0.25">
      <c r="A3770">
        <v>18930964</v>
      </c>
      <c r="B3770">
        <v>26</v>
      </c>
      <c r="C3770">
        <v>2</v>
      </c>
      <c r="D3770">
        <v>2</v>
      </c>
      <c r="E3770">
        <v>7</v>
      </c>
      <c r="F3770">
        <v>11</v>
      </c>
      <c r="G3770">
        <v>35</v>
      </c>
      <c r="H3770">
        <v>136.155</v>
      </c>
    </row>
    <row r="3771" spans="1:8" x14ac:dyDescent="0.25">
      <c r="A3771">
        <v>18931464</v>
      </c>
      <c r="B3771">
        <v>65</v>
      </c>
      <c r="C3771">
        <v>12</v>
      </c>
      <c r="D3771">
        <v>1</v>
      </c>
      <c r="E3771">
        <v>1</v>
      </c>
      <c r="F3771">
        <v>1</v>
      </c>
      <c r="G3771">
        <v>1</v>
      </c>
      <c r="H3771">
        <v>84.99</v>
      </c>
    </row>
    <row r="3772" spans="1:8" x14ac:dyDescent="0.25">
      <c r="A3772">
        <v>18931465</v>
      </c>
      <c r="B3772">
        <v>63</v>
      </c>
      <c r="C3772">
        <v>15</v>
      </c>
      <c r="D3772">
        <v>2</v>
      </c>
      <c r="E3772">
        <v>6</v>
      </c>
      <c r="F3772">
        <v>6</v>
      </c>
      <c r="G3772">
        <v>6</v>
      </c>
      <c r="H3772">
        <v>83.57</v>
      </c>
    </row>
    <row r="3773" spans="1:8" x14ac:dyDescent="0.25">
      <c r="A3773">
        <v>18931467</v>
      </c>
      <c r="B3773">
        <v>101</v>
      </c>
      <c r="C3773">
        <v>12</v>
      </c>
      <c r="D3773">
        <v>2</v>
      </c>
      <c r="E3773">
        <v>3</v>
      </c>
      <c r="F3773">
        <v>3</v>
      </c>
      <c r="G3773">
        <v>3</v>
      </c>
      <c r="H3773">
        <v>59.42</v>
      </c>
    </row>
    <row r="3774" spans="1:8" x14ac:dyDescent="0.25">
      <c r="A3774">
        <v>18931468</v>
      </c>
      <c r="B3774">
        <v>98</v>
      </c>
      <c r="C3774">
        <v>12</v>
      </c>
      <c r="D3774">
        <v>3</v>
      </c>
      <c r="E3774">
        <v>5</v>
      </c>
      <c r="F3774">
        <v>6</v>
      </c>
      <c r="G3774">
        <v>6</v>
      </c>
      <c r="H3774">
        <v>58.1233</v>
      </c>
    </row>
    <row r="3775" spans="1:8" x14ac:dyDescent="0.25">
      <c r="A3775">
        <v>18931471</v>
      </c>
      <c r="B3775">
        <v>438</v>
      </c>
      <c r="C3775">
        <v>18</v>
      </c>
      <c r="D3775">
        <v>13</v>
      </c>
      <c r="E3775">
        <v>35</v>
      </c>
      <c r="F3775">
        <v>36</v>
      </c>
      <c r="G3775">
        <v>36</v>
      </c>
      <c r="H3775">
        <v>29.64</v>
      </c>
    </row>
    <row r="3776" spans="1:8" x14ac:dyDescent="0.25">
      <c r="A3776">
        <v>18931473</v>
      </c>
      <c r="B3776">
        <v>338</v>
      </c>
      <c r="C3776">
        <v>0</v>
      </c>
      <c r="D3776">
        <v>3</v>
      </c>
      <c r="E3776">
        <v>8</v>
      </c>
      <c r="F3776">
        <v>10</v>
      </c>
      <c r="G3776">
        <v>10</v>
      </c>
      <c r="H3776">
        <v>29.99</v>
      </c>
    </row>
    <row r="3777" spans="1:8" x14ac:dyDescent="0.25">
      <c r="A3777">
        <v>18931474</v>
      </c>
      <c r="B3777">
        <v>210</v>
      </c>
      <c r="C3777">
        <v>0</v>
      </c>
      <c r="D3777">
        <v>13</v>
      </c>
      <c r="E3777">
        <v>29</v>
      </c>
      <c r="F3777">
        <v>30</v>
      </c>
      <c r="G3777">
        <v>30</v>
      </c>
      <c r="H3777">
        <v>28.716899999999999</v>
      </c>
    </row>
    <row r="3778" spans="1:8" x14ac:dyDescent="0.25">
      <c r="A3778">
        <v>18933841</v>
      </c>
      <c r="B3778">
        <v>128</v>
      </c>
      <c r="C3778">
        <v>8</v>
      </c>
      <c r="D3778">
        <v>3</v>
      </c>
      <c r="E3778">
        <v>17</v>
      </c>
      <c r="F3778">
        <v>49</v>
      </c>
      <c r="G3778">
        <v>134</v>
      </c>
      <c r="H3778">
        <v>14.99</v>
      </c>
    </row>
    <row r="3779" spans="1:8" x14ac:dyDescent="0.25">
      <c r="A3779">
        <v>18933842</v>
      </c>
      <c r="B3779">
        <v>117</v>
      </c>
      <c r="C3779">
        <v>40</v>
      </c>
      <c r="D3779">
        <v>6</v>
      </c>
      <c r="E3779">
        <v>30</v>
      </c>
      <c r="F3779">
        <v>97</v>
      </c>
      <c r="G3779">
        <v>238</v>
      </c>
      <c r="H3779">
        <v>13.3233</v>
      </c>
    </row>
    <row r="3780" spans="1:8" x14ac:dyDescent="0.25">
      <c r="A3780">
        <v>18934388</v>
      </c>
      <c r="B3780">
        <v>202</v>
      </c>
      <c r="C3780">
        <v>0</v>
      </c>
      <c r="D3780">
        <v>14</v>
      </c>
      <c r="E3780">
        <v>58</v>
      </c>
      <c r="F3780">
        <v>178</v>
      </c>
      <c r="G3780">
        <v>547</v>
      </c>
      <c r="H3780">
        <v>70.232900000000001</v>
      </c>
    </row>
    <row r="3781" spans="1:8" x14ac:dyDescent="0.25">
      <c r="A3781">
        <v>18934389</v>
      </c>
      <c r="B3781">
        <v>259</v>
      </c>
      <c r="C3781">
        <v>0</v>
      </c>
      <c r="D3781">
        <v>8</v>
      </c>
      <c r="E3781">
        <v>48</v>
      </c>
      <c r="F3781">
        <v>235</v>
      </c>
      <c r="G3781">
        <v>748</v>
      </c>
      <c r="H3781">
        <v>132.67500000000001</v>
      </c>
    </row>
    <row r="3782" spans="1:8" x14ac:dyDescent="0.25">
      <c r="A3782">
        <v>18934392</v>
      </c>
      <c r="B3782">
        <v>78</v>
      </c>
      <c r="C3782">
        <v>0</v>
      </c>
      <c r="D3782">
        <v>2</v>
      </c>
      <c r="E3782">
        <v>12</v>
      </c>
      <c r="F3782">
        <v>43</v>
      </c>
      <c r="G3782">
        <v>185</v>
      </c>
      <c r="H3782">
        <v>199.495</v>
      </c>
    </row>
    <row r="3783" spans="1:8" x14ac:dyDescent="0.25">
      <c r="A3783">
        <v>18934393</v>
      </c>
      <c r="B3783">
        <v>9</v>
      </c>
      <c r="C3783">
        <v>0</v>
      </c>
      <c r="D3783">
        <v>0</v>
      </c>
      <c r="E3783">
        <v>1</v>
      </c>
      <c r="F3783">
        <v>24</v>
      </c>
      <c r="G3783">
        <v>213</v>
      </c>
      <c r="H3783">
        <v>0</v>
      </c>
    </row>
    <row r="3784" spans="1:8" x14ac:dyDescent="0.25">
      <c r="A3784">
        <v>18938954</v>
      </c>
      <c r="B3784">
        <v>270</v>
      </c>
      <c r="C3784">
        <v>51</v>
      </c>
      <c r="D3784">
        <v>8</v>
      </c>
      <c r="E3784">
        <v>54</v>
      </c>
      <c r="F3784">
        <v>271</v>
      </c>
      <c r="G3784">
        <v>615</v>
      </c>
      <c r="H3784">
        <v>108.935</v>
      </c>
    </row>
    <row r="3785" spans="1:8" x14ac:dyDescent="0.25">
      <c r="A3785">
        <v>18939367</v>
      </c>
      <c r="B3785">
        <v>508</v>
      </c>
      <c r="C3785">
        <v>350</v>
      </c>
      <c r="D3785">
        <v>63</v>
      </c>
      <c r="E3785">
        <v>170</v>
      </c>
      <c r="F3785">
        <v>464</v>
      </c>
      <c r="G3785">
        <v>937</v>
      </c>
      <c r="H3785">
        <v>114.90779999999999</v>
      </c>
    </row>
    <row r="3786" spans="1:8" x14ac:dyDescent="0.25">
      <c r="A3786">
        <v>18939368</v>
      </c>
      <c r="B3786">
        <v>296</v>
      </c>
      <c r="C3786">
        <v>200</v>
      </c>
      <c r="D3786">
        <v>55</v>
      </c>
      <c r="E3786">
        <v>246</v>
      </c>
      <c r="F3786">
        <v>665</v>
      </c>
      <c r="G3786">
        <v>1312</v>
      </c>
      <c r="H3786">
        <v>125.53440000000001</v>
      </c>
    </row>
    <row r="3787" spans="1:8" x14ac:dyDescent="0.25">
      <c r="A3787">
        <v>18939376</v>
      </c>
      <c r="B3787">
        <v>0</v>
      </c>
      <c r="C3787">
        <v>0</v>
      </c>
      <c r="D3787">
        <v>0</v>
      </c>
      <c r="E3787">
        <v>1</v>
      </c>
      <c r="F3787">
        <v>1</v>
      </c>
      <c r="G3787">
        <v>1</v>
      </c>
      <c r="H3787">
        <v>0</v>
      </c>
    </row>
    <row r="3788" spans="1:8" x14ac:dyDescent="0.25">
      <c r="A3788">
        <v>18939378</v>
      </c>
      <c r="B3788">
        <v>0</v>
      </c>
      <c r="C3788">
        <v>0</v>
      </c>
      <c r="D3788">
        <v>0</v>
      </c>
      <c r="E3788">
        <v>4</v>
      </c>
      <c r="F3788">
        <v>11</v>
      </c>
      <c r="G3788">
        <v>24</v>
      </c>
      <c r="H3788">
        <v>0</v>
      </c>
    </row>
    <row r="3789" spans="1:8" x14ac:dyDescent="0.25">
      <c r="A3789">
        <v>18939379</v>
      </c>
      <c r="B3789">
        <v>30</v>
      </c>
      <c r="C3789">
        <v>0</v>
      </c>
      <c r="D3789">
        <v>12</v>
      </c>
      <c r="E3789">
        <v>42</v>
      </c>
      <c r="F3789">
        <v>164</v>
      </c>
      <c r="G3789">
        <v>352</v>
      </c>
      <c r="H3789">
        <v>328.60329999999999</v>
      </c>
    </row>
    <row r="3790" spans="1:8" x14ac:dyDescent="0.25">
      <c r="A3790">
        <v>18939380</v>
      </c>
      <c r="B3790">
        <v>29</v>
      </c>
      <c r="C3790">
        <v>0</v>
      </c>
      <c r="D3790">
        <v>6</v>
      </c>
      <c r="E3790">
        <v>24</v>
      </c>
      <c r="F3790">
        <v>92</v>
      </c>
      <c r="G3790">
        <v>241</v>
      </c>
      <c r="H3790">
        <v>356.00170000000003</v>
      </c>
    </row>
    <row r="3791" spans="1:8" x14ac:dyDescent="0.25">
      <c r="A3791">
        <v>18939381</v>
      </c>
      <c r="B3791">
        <v>31</v>
      </c>
      <c r="C3791">
        <v>0</v>
      </c>
      <c r="D3791">
        <v>9</v>
      </c>
      <c r="E3791">
        <v>30</v>
      </c>
      <c r="F3791">
        <v>129</v>
      </c>
      <c r="G3791">
        <v>334</v>
      </c>
      <c r="H3791">
        <v>427.99</v>
      </c>
    </row>
    <row r="3792" spans="1:8" x14ac:dyDescent="0.25">
      <c r="A3792">
        <v>18939382</v>
      </c>
      <c r="B3792">
        <v>21</v>
      </c>
      <c r="C3792">
        <v>0</v>
      </c>
      <c r="D3792">
        <v>3</v>
      </c>
      <c r="E3792">
        <v>16</v>
      </c>
      <c r="F3792">
        <v>55</v>
      </c>
      <c r="G3792">
        <v>156</v>
      </c>
      <c r="H3792">
        <v>639.98329999999999</v>
      </c>
    </row>
    <row r="3793" spans="1:8" x14ac:dyDescent="0.25">
      <c r="A3793">
        <v>18939383</v>
      </c>
      <c r="B3793">
        <v>32</v>
      </c>
      <c r="C3793">
        <v>0</v>
      </c>
      <c r="D3793">
        <v>1</v>
      </c>
      <c r="E3793">
        <v>6</v>
      </c>
      <c r="F3793">
        <v>34</v>
      </c>
      <c r="G3793">
        <v>90</v>
      </c>
      <c r="H3793">
        <v>994.97</v>
      </c>
    </row>
    <row r="3794" spans="1:8" x14ac:dyDescent="0.25">
      <c r="A3794">
        <v>18939384</v>
      </c>
      <c r="B3794">
        <v>0</v>
      </c>
      <c r="C3794">
        <v>0</v>
      </c>
      <c r="D3794">
        <v>0</v>
      </c>
      <c r="E3794">
        <v>2</v>
      </c>
      <c r="F3794">
        <v>8</v>
      </c>
      <c r="G3794">
        <v>13</v>
      </c>
      <c r="H3794">
        <v>0</v>
      </c>
    </row>
    <row r="3795" spans="1:8" x14ac:dyDescent="0.25">
      <c r="A3795">
        <v>18939385</v>
      </c>
      <c r="B3795">
        <v>0</v>
      </c>
      <c r="C3795">
        <v>0</v>
      </c>
      <c r="D3795">
        <v>0</v>
      </c>
      <c r="E3795">
        <v>0</v>
      </c>
      <c r="F3795">
        <v>1</v>
      </c>
      <c r="G3795">
        <v>8</v>
      </c>
      <c r="H3795">
        <v>0</v>
      </c>
    </row>
    <row r="3796" spans="1:8" x14ac:dyDescent="0.25">
      <c r="A3796">
        <v>18939386</v>
      </c>
      <c r="B3796">
        <v>0</v>
      </c>
      <c r="C3796">
        <v>0</v>
      </c>
      <c r="D3796">
        <v>0</v>
      </c>
      <c r="E3796">
        <v>1</v>
      </c>
      <c r="F3796">
        <v>3</v>
      </c>
      <c r="G3796">
        <v>11</v>
      </c>
      <c r="H3796">
        <v>0</v>
      </c>
    </row>
    <row r="3797" spans="1:8" x14ac:dyDescent="0.25">
      <c r="A3797">
        <v>18939387</v>
      </c>
      <c r="B3797">
        <v>-1</v>
      </c>
      <c r="C3797">
        <v>0</v>
      </c>
      <c r="D3797">
        <v>0</v>
      </c>
      <c r="E3797">
        <v>0</v>
      </c>
      <c r="F3797">
        <v>1</v>
      </c>
      <c r="G3797">
        <v>3</v>
      </c>
      <c r="H3797">
        <v>0</v>
      </c>
    </row>
    <row r="3798" spans="1:8" x14ac:dyDescent="0.25">
      <c r="A3798">
        <v>18939388</v>
      </c>
      <c r="B3798">
        <v>56</v>
      </c>
      <c r="C3798">
        <v>0</v>
      </c>
      <c r="D3798">
        <v>6</v>
      </c>
      <c r="E3798">
        <v>39</v>
      </c>
      <c r="F3798">
        <v>92</v>
      </c>
      <c r="G3798">
        <v>240</v>
      </c>
      <c r="H3798">
        <v>624.98670000000004</v>
      </c>
    </row>
    <row r="3799" spans="1:8" x14ac:dyDescent="0.25">
      <c r="A3799">
        <v>18939389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11</v>
      </c>
      <c r="H3799">
        <v>0</v>
      </c>
    </row>
    <row r="3800" spans="1:8" x14ac:dyDescent="0.25">
      <c r="A3800">
        <v>18939390</v>
      </c>
      <c r="B3800">
        <v>0</v>
      </c>
      <c r="C3800">
        <v>0</v>
      </c>
      <c r="D3800">
        <v>0</v>
      </c>
      <c r="E3800">
        <v>1</v>
      </c>
      <c r="F3800">
        <v>1</v>
      </c>
      <c r="G3800">
        <v>3</v>
      </c>
      <c r="H3800">
        <v>0</v>
      </c>
    </row>
    <row r="3801" spans="1:8" x14ac:dyDescent="0.25">
      <c r="A3801">
        <v>18939391</v>
      </c>
      <c r="B3801">
        <v>13</v>
      </c>
      <c r="C3801">
        <v>0</v>
      </c>
      <c r="D3801">
        <v>0</v>
      </c>
      <c r="E3801">
        <v>7</v>
      </c>
      <c r="F3801">
        <v>36</v>
      </c>
      <c r="G3801">
        <v>109</v>
      </c>
      <c r="H3801">
        <v>0</v>
      </c>
    </row>
    <row r="3802" spans="1:8" x14ac:dyDescent="0.25">
      <c r="A3802">
        <v>18939392</v>
      </c>
      <c r="B3802">
        <v>25</v>
      </c>
      <c r="C3802">
        <v>0</v>
      </c>
      <c r="D3802">
        <v>0</v>
      </c>
      <c r="E3802">
        <v>6</v>
      </c>
      <c r="F3802">
        <v>54</v>
      </c>
      <c r="G3802">
        <v>131</v>
      </c>
      <c r="H3802">
        <v>0</v>
      </c>
    </row>
    <row r="3803" spans="1:8" x14ac:dyDescent="0.25">
      <c r="A3803">
        <v>18939393</v>
      </c>
      <c r="B3803">
        <v>35</v>
      </c>
      <c r="C3803">
        <v>0</v>
      </c>
      <c r="D3803">
        <v>2</v>
      </c>
      <c r="E3803">
        <v>5</v>
      </c>
      <c r="F3803">
        <v>43</v>
      </c>
      <c r="G3803">
        <v>105</v>
      </c>
      <c r="H3803">
        <v>1027.48</v>
      </c>
    </row>
    <row r="3804" spans="1:8" x14ac:dyDescent="0.25">
      <c r="A3804">
        <v>18939394</v>
      </c>
      <c r="B3804">
        <v>0</v>
      </c>
      <c r="C3804">
        <v>0</v>
      </c>
      <c r="D3804">
        <v>0</v>
      </c>
      <c r="E3804">
        <v>0</v>
      </c>
      <c r="F3804">
        <v>2</v>
      </c>
      <c r="G3804">
        <v>4</v>
      </c>
      <c r="H3804">
        <v>0</v>
      </c>
    </row>
    <row r="3805" spans="1:8" x14ac:dyDescent="0.25">
      <c r="A3805">
        <v>18939395</v>
      </c>
      <c r="B3805">
        <v>0</v>
      </c>
      <c r="C3805">
        <v>0</v>
      </c>
      <c r="D3805">
        <v>0</v>
      </c>
      <c r="E3805">
        <v>0</v>
      </c>
      <c r="F3805">
        <v>2</v>
      </c>
      <c r="G3805">
        <v>4</v>
      </c>
      <c r="H3805">
        <v>0</v>
      </c>
    </row>
    <row r="3806" spans="1:8" x14ac:dyDescent="0.25">
      <c r="A3806">
        <v>18939396</v>
      </c>
      <c r="B3806">
        <v>0</v>
      </c>
      <c r="C3806">
        <v>0</v>
      </c>
      <c r="D3806">
        <v>0</v>
      </c>
      <c r="E3806">
        <v>0</v>
      </c>
      <c r="F3806">
        <v>4</v>
      </c>
      <c r="G3806">
        <v>8</v>
      </c>
      <c r="H3806">
        <v>0</v>
      </c>
    </row>
    <row r="3807" spans="1:8" x14ac:dyDescent="0.25">
      <c r="A3807">
        <v>18939397</v>
      </c>
      <c r="B3807">
        <v>3</v>
      </c>
      <c r="C3807">
        <v>0</v>
      </c>
      <c r="D3807">
        <v>1</v>
      </c>
      <c r="E3807">
        <v>2</v>
      </c>
      <c r="F3807">
        <v>10</v>
      </c>
      <c r="G3807">
        <v>25</v>
      </c>
      <c r="H3807">
        <v>1479.99</v>
      </c>
    </row>
    <row r="3808" spans="1:8" x14ac:dyDescent="0.25">
      <c r="A3808">
        <v>18939398</v>
      </c>
      <c r="B3808">
        <v>0</v>
      </c>
      <c r="C3808">
        <v>0</v>
      </c>
      <c r="D3808">
        <v>0</v>
      </c>
      <c r="E3808">
        <v>0</v>
      </c>
      <c r="F3808">
        <v>1</v>
      </c>
      <c r="G3808">
        <v>9</v>
      </c>
      <c r="H3808">
        <v>0</v>
      </c>
    </row>
    <row r="3809" spans="1:8" x14ac:dyDescent="0.25">
      <c r="A3809">
        <v>18939400</v>
      </c>
      <c r="B3809">
        <v>1</v>
      </c>
      <c r="C3809">
        <v>0</v>
      </c>
      <c r="D3809">
        <v>0</v>
      </c>
      <c r="E3809">
        <v>0</v>
      </c>
      <c r="F3809">
        <v>0</v>
      </c>
      <c r="G3809">
        <v>2</v>
      </c>
      <c r="H3809">
        <v>0</v>
      </c>
    </row>
    <row r="3810" spans="1:8" x14ac:dyDescent="0.25">
      <c r="A3810">
        <v>18939401</v>
      </c>
      <c r="B3810">
        <v>0</v>
      </c>
      <c r="C3810">
        <v>0</v>
      </c>
      <c r="D3810">
        <v>0</v>
      </c>
      <c r="E3810">
        <v>0</v>
      </c>
      <c r="F3810">
        <v>1</v>
      </c>
      <c r="G3810">
        <v>3</v>
      </c>
      <c r="H3810">
        <v>0</v>
      </c>
    </row>
    <row r="3811" spans="1:8" x14ac:dyDescent="0.25">
      <c r="A3811">
        <v>18939403</v>
      </c>
      <c r="B3811">
        <v>29</v>
      </c>
      <c r="C3811">
        <v>0</v>
      </c>
      <c r="D3811">
        <v>0</v>
      </c>
      <c r="E3811">
        <v>2</v>
      </c>
      <c r="F3811">
        <v>17</v>
      </c>
      <c r="G3811">
        <v>64</v>
      </c>
      <c r="H3811">
        <v>0</v>
      </c>
    </row>
    <row r="3812" spans="1:8" x14ac:dyDescent="0.25">
      <c r="A3812">
        <v>18939404</v>
      </c>
      <c r="B3812">
        <v>1</v>
      </c>
      <c r="C3812">
        <v>0</v>
      </c>
      <c r="D3812">
        <v>0</v>
      </c>
      <c r="E3812">
        <v>0</v>
      </c>
      <c r="F3812">
        <v>0</v>
      </c>
      <c r="G3812">
        <v>10</v>
      </c>
      <c r="H3812">
        <v>0</v>
      </c>
    </row>
    <row r="3813" spans="1:8" x14ac:dyDescent="0.25">
      <c r="A3813">
        <v>18939405</v>
      </c>
      <c r="B3813">
        <v>13</v>
      </c>
      <c r="C3813">
        <v>0</v>
      </c>
      <c r="D3813">
        <v>0</v>
      </c>
      <c r="E3813">
        <v>0</v>
      </c>
      <c r="F3813">
        <v>15</v>
      </c>
      <c r="G3813">
        <v>29</v>
      </c>
      <c r="H3813">
        <v>0</v>
      </c>
    </row>
    <row r="3814" spans="1:8" x14ac:dyDescent="0.25">
      <c r="A3814">
        <v>18939407</v>
      </c>
      <c r="B3814">
        <v>0</v>
      </c>
      <c r="C3814">
        <v>0</v>
      </c>
      <c r="D3814">
        <v>0</v>
      </c>
      <c r="E3814">
        <v>1</v>
      </c>
      <c r="F3814">
        <v>1</v>
      </c>
      <c r="G3814">
        <v>6</v>
      </c>
      <c r="H3814">
        <v>0</v>
      </c>
    </row>
    <row r="3815" spans="1:8" x14ac:dyDescent="0.25">
      <c r="A3815">
        <v>18939408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2</v>
      </c>
      <c r="H3815">
        <v>0</v>
      </c>
    </row>
    <row r="3816" spans="1:8" x14ac:dyDescent="0.25">
      <c r="A3816">
        <v>18939409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2</v>
      </c>
      <c r="H3816">
        <v>0</v>
      </c>
    </row>
    <row r="3817" spans="1:8" x14ac:dyDescent="0.25">
      <c r="A3817">
        <v>18939412</v>
      </c>
      <c r="B3817">
        <v>0</v>
      </c>
      <c r="C3817">
        <v>0</v>
      </c>
      <c r="D3817">
        <v>0</v>
      </c>
      <c r="E3817">
        <v>0</v>
      </c>
      <c r="F3817">
        <v>1</v>
      </c>
      <c r="G3817">
        <v>1</v>
      </c>
      <c r="H3817">
        <v>0</v>
      </c>
    </row>
    <row r="3818" spans="1:8" x14ac:dyDescent="0.25">
      <c r="A3818">
        <v>18939414</v>
      </c>
      <c r="B3818">
        <v>1</v>
      </c>
      <c r="C3818">
        <v>0</v>
      </c>
      <c r="D3818">
        <v>0</v>
      </c>
      <c r="E3818">
        <v>1</v>
      </c>
      <c r="F3818">
        <v>1</v>
      </c>
      <c r="G3818">
        <v>5</v>
      </c>
      <c r="H3818">
        <v>0</v>
      </c>
    </row>
    <row r="3819" spans="1:8" x14ac:dyDescent="0.25">
      <c r="A3819">
        <v>18939415</v>
      </c>
      <c r="B3819">
        <v>1</v>
      </c>
      <c r="C3819">
        <v>0</v>
      </c>
      <c r="D3819">
        <v>0</v>
      </c>
      <c r="E3819">
        <v>1</v>
      </c>
      <c r="F3819">
        <v>2</v>
      </c>
      <c r="G3819">
        <v>7</v>
      </c>
      <c r="H3819">
        <v>0</v>
      </c>
    </row>
    <row r="3820" spans="1:8" x14ac:dyDescent="0.25">
      <c r="A3820">
        <v>18939416</v>
      </c>
      <c r="B3820">
        <v>0</v>
      </c>
      <c r="C3820">
        <v>0</v>
      </c>
      <c r="D3820">
        <v>0</v>
      </c>
      <c r="E3820">
        <v>1</v>
      </c>
      <c r="F3820">
        <v>4</v>
      </c>
      <c r="G3820">
        <v>7</v>
      </c>
      <c r="H3820">
        <v>0</v>
      </c>
    </row>
    <row r="3821" spans="1:8" x14ac:dyDescent="0.25">
      <c r="A3821">
        <v>18939417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2</v>
      </c>
      <c r="H3821">
        <v>0</v>
      </c>
    </row>
    <row r="3822" spans="1:8" x14ac:dyDescent="0.25">
      <c r="A3822">
        <v>18939418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2</v>
      </c>
      <c r="H3822">
        <v>0</v>
      </c>
    </row>
    <row r="3823" spans="1:8" x14ac:dyDescent="0.25">
      <c r="A3823">
        <v>18939419</v>
      </c>
      <c r="B3823">
        <v>0</v>
      </c>
      <c r="C3823">
        <v>0</v>
      </c>
      <c r="D3823">
        <v>0</v>
      </c>
      <c r="E3823">
        <v>0</v>
      </c>
      <c r="F3823">
        <v>1</v>
      </c>
      <c r="G3823">
        <v>5</v>
      </c>
      <c r="H3823">
        <v>0</v>
      </c>
    </row>
    <row r="3824" spans="1:8" x14ac:dyDescent="0.25">
      <c r="A3824">
        <v>18939420</v>
      </c>
      <c r="B3824">
        <v>0</v>
      </c>
      <c r="C3824">
        <v>0</v>
      </c>
      <c r="D3824">
        <v>0</v>
      </c>
      <c r="E3824">
        <v>1</v>
      </c>
      <c r="F3824">
        <v>1</v>
      </c>
      <c r="G3824">
        <v>4</v>
      </c>
      <c r="H3824">
        <v>0</v>
      </c>
    </row>
    <row r="3825" spans="1:8" x14ac:dyDescent="0.25">
      <c r="A3825">
        <v>18939421</v>
      </c>
      <c r="B3825">
        <v>0</v>
      </c>
      <c r="C3825">
        <v>3</v>
      </c>
      <c r="D3825">
        <v>1</v>
      </c>
      <c r="E3825">
        <v>1</v>
      </c>
      <c r="F3825">
        <v>3</v>
      </c>
      <c r="G3825">
        <v>5</v>
      </c>
      <c r="H3825">
        <v>1179.99</v>
      </c>
    </row>
    <row r="3826" spans="1:8" x14ac:dyDescent="0.25">
      <c r="A3826">
        <v>18939422</v>
      </c>
      <c r="B3826">
        <v>111</v>
      </c>
      <c r="C3826">
        <v>25</v>
      </c>
      <c r="D3826">
        <v>6</v>
      </c>
      <c r="E3826">
        <v>24</v>
      </c>
      <c r="F3826">
        <v>96</v>
      </c>
      <c r="G3826">
        <v>243</v>
      </c>
      <c r="H3826">
        <v>1379.1567</v>
      </c>
    </row>
    <row r="3827" spans="1:8" x14ac:dyDescent="0.25">
      <c r="A3827">
        <v>18939423</v>
      </c>
      <c r="B3827">
        <v>165</v>
      </c>
      <c r="C3827">
        <v>25</v>
      </c>
      <c r="D3827">
        <v>6</v>
      </c>
      <c r="E3827">
        <v>17</v>
      </c>
      <c r="F3827">
        <v>92</v>
      </c>
      <c r="G3827">
        <v>245</v>
      </c>
      <c r="H3827">
        <v>2178.8582999999999</v>
      </c>
    </row>
    <row r="3828" spans="1:8" x14ac:dyDescent="0.25">
      <c r="A3828">
        <v>18939424</v>
      </c>
      <c r="B3828">
        <v>1</v>
      </c>
      <c r="C3828">
        <v>0</v>
      </c>
      <c r="D3828">
        <v>0</v>
      </c>
      <c r="E3828">
        <v>0</v>
      </c>
      <c r="F3828">
        <v>4</v>
      </c>
      <c r="G3828">
        <v>7</v>
      </c>
      <c r="H3828">
        <v>0</v>
      </c>
    </row>
    <row r="3829" spans="1:8" x14ac:dyDescent="0.25">
      <c r="A3829">
        <v>18939425</v>
      </c>
      <c r="B3829">
        <v>1</v>
      </c>
      <c r="C3829">
        <v>0</v>
      </c>
      <c r="D3829">
        <v>0</v>
      </c>
      <c r="E3829">
        <v>0</v>
      </c>
      <c r="F3829">
        <v>1</v>
      </c>
      <c r="G3829">
        <v>8</v>
      </c>
      <c r="H3829">
        <v>0</v>
      </c>
    </row>
    <row r="3830" spans="1:8" x14ac:dyDescent="0.25">
      <c r="A3830">
        <v>18939426</v>
      </c>
      <c r="B3830">
        <v>18</v>
      </c>
      <c r="C3830">
        <v>0</v>
      </c>
      <c r="D3830">
        <v>0</v>
      </c>
      <c r="E3830">
        <v>3</v>
      </c>
      <c r="F3830">
        <v>46</v>
      </c>
      <c r="G3830">
        <v>85</v>
      </c>
      <c r="H3830">
        <v>0</v>
      </c>
    </row>
    <row r="3831" spans="1:8" x14ac:dyDescent="0.25">
      <c r="A3831">
        <v>18939428</v>
      </c>
      <c r="B3831">
        <v>1</v>
      </c>
      <c r="C3831">
        <v>0</v>
      </c>
      <c r="D3831">
        <v>0</v>
      </c>
      <c r="E3831">
        <v>0</v>
      </c>
      <c r="F3831">
        <v>2</v>
      </c>
      <c r="G3831">
        <v>9</v>
      </c>
      <c r="H3831">
        <v>0</v>
      </c>
    </row>
    <row r="3832" spans="1:8" x14ac:dyDescent="0.25">
      <c r="A3832">
        <v>18939429</v>
      </c>
      <c r="B3832">
        <v>0</v>
      </c>
      <c r="C3832">
        <v>0</v>
      </c>
      <c r="D3832">
        <v>0</v>
      </c>
      <c r="E3832">
        <v>0</v>
      </c>
      <c r="F3832">
        <v>4</v>
      </c>
      <c r="G3832">
        <v>14</v>
      </c>
      <c r="H3832">
        <v>0</v>
      </c>
    </row>
    <row r="3833" spans="1:8" x14ac:dyDescent="0.25">
      <c r="A3833">
        <v>18939430</v>
      </c>
      <c r="B3833">
        <v>57</v>
      </c>
      <c r="C3833">
        <v>0</v>
      </c>
      <c r="D3833">
        <v>2</v>
      </c>
      <c r="E3833">
        <v>6</v>
      </c>
      <c r="F3833">
        <v>40</v>
      </c>
      <c r="G3833">
        <v>88</v>
      </c>
      <c r="H3833">
        <v>885.75</v>
      </c>
    </row>
    <row r="3834" spans="1:8" x14ac:dyDescent="0.25">
      <c r="A3834">
        <v>18939431</v>
      </c>
      <c r="B3834">
        <v>0</v>
      </c>
      <c r="C3834">
        <v>0</v>
      </c>
      <c r="D3834">
        <v>2</v>
      </c>
      <c r="E3834">
        <v>2</v>
      </c>
      <c r="F3834">
        <v>3</v>
      </c>
      <c r="G3834">
        <v>13</v>
      </c>
      <c r="H3834">
        <v>989.99</v>
      </c>
    </row>
    <row r="3835" spans="1:8" x14ac:dyDescent="0.25">
      <c r="A3835">
        <v>18939432</v>
      </c>
      <c r="B3835">
        <v>0</v>
      </c>
      <c r="C3835">
        <v>0</v>
      </c>
      <c r="D3835">
        <v>0</v>
      </c>
      <c r="E3835">
        <v>2</v>
      </c>
      <c r="F3835">
        <v>4</v>
      </c>
      <c r="G3835">
        <v>15</v>
      </c>
      <c r="H3835">
        <v>0</v>
      </c>
    </row>
    <row r="3836" spans="1:8" x14ac:dyDescent="0.25">
      <c r="A3836">
        <v>18939433</v>
      </c>
      <c r="B3836">
        <v>39</v>
      </c>
      <c r="C3836">
        <v>0</v>
      </c>
      <c r="D3836">
        <v>2</v>
      </c>
      <c r="E3836">
        <v>8</v>
      </c>
      <c r="F3836">
        <v>26</v>
      </c>
      <c r="G3836">
        <v>52</v>
      </c>
      <c r="H3836">
        <v>1977.49</v>
      </c>
    </row>
    <row r="3837" spans="1:8" x14ac:dyDescent="0.25">
      <c r="A3837">
        <v>18939434</v>
      </c>
      <c r="B3837">
        <v>0</v>
      </c>
      <c r="C3837">
        <v>1</v>
      </c>
      <c r="D3837">
        <v>0</v>
      </c>
      <c r="E3837">
        <v>0</v>
      </c>
      <c r="F3837">
        <v>2</v>
      </c>
      <c r="G3837">
        <v>6</v>
      </c>
      <c r="H3837">
        <v>0</v>
      </c>
    </row>
    <row r="3838" spans="1:8" x14ac:dyDescent="0.25">
      <c r="A3838">
        <v>18944198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23</v>
      </c>
      <c r="H3838">
        <v>0</v>
      </c>
    </row>
    <row r="3839" spans="1:8" x14ac:dyDescent="0.25">
      <c r="A3839">
        <v>19093907</v>
      </c>
      <c r="B3839">
        <v>322</v>
      </c>
      <c r="C3839">
        <v>80</v>
      </c>
      <c r="D3839">
        <v>22</v>
      </c>
      <c r="E3839">
        <v>69</v>
      </c>
      <c r="F3839">
        <v>246</v>
      </c>
      <c r="G3839">
        <v>579</v>
      </c>
      <c r="H3839">
        <v>38.140900000000002</v>
      </c>
    </row>
    <row r="3840" spans="1:8" x14ac:dyDescent="0.25">
      <c r="A3840">
        <v>19093908</v>
      </c>
      <c r="B3840">
        <v>412</v>
      </c>
      <c r="C3840">
        <v>168</v>
      </c>
      <c r="D3840">
        <v>60</v>
      </c>
      <c r="E3840">
        <v>187</v>
      </c>
      <c r="F3840">
        <v>689</v>
      </c>
      <c r="G3840">
        <v>1574</v>
      </c>
      <c r="H3840">
        <v>29.364000000000001</v>
      </c>
    </row>
    <row r="3841" spans="1:8" x14ac:dyDescent="0.25">
      <c r="A3841">
        <v>19093909</v>
      </c>
      <c r="B3841">
        <v>124</v>
      </c>
      <c r="C3841">
        <v>50</v>
      </c>
      <c r="D3841">
        <v>26</v>
      </c>
      <c r="E3841">
        <v>61</v>
      </c>
      <c r="F3841">
        <v>199</v>
      </c>
      <c r="G3841">
        <v>538</v>
      </c>
      <c r="H3841">
        <v>68.535399999999996</v>
      </c>
    </row>
    <row r="3842" spans="1:8" x14ac:dyDescent="0.25">
      <c r="A3842">
        <v>19094544</v>
      </c>
      <c r="B3842">
        <v>37</v>
      </c>
      <c r="C3842">
        <v>22</v>
      </c>
      <c r="D3842">
        <v>4</v>
      </c>
      <c r="E3842">
        <v>8</v>
      </c>
      <c r="F3842">
        <v>33</v>
      </c>
      <c r="G3842">
        <v>96</v>
      </c>
      <c r="H3842">
        <v>255.99250000000001</v>
      </c>
    </row>
    <row r="3843" spans="1:8" x14ac:dyDescent="0.25">
      <c r="A3843">
        <v>19094545</v>
      </c>
      <c r="B3843">
        <v>20</v>
      </c>
      <c r="C3843">
        <v>33</v>
      </c>
      <c r="D3843">
        <v>1</v>
      </c>
      <c r="E3843">
        <v>5</v>
      </c>
      <c r="F3843">
        <v>33</v>
      </c>
      <c r="G3843">
        <v>75</v>
      </c>
      <c r="H3843">
        <v>249.99</v>
      </c>
    </row>
    <row r="3844" spans="1:8" x14ac:dyDescent="0.25">
      <c r="A3844">
        <v>19094546</v>
      </c>
      <c r="B3844">
        <v>22</v>
      </c>
      <c r="C3844">
        <v>42</v>
      </c>
      <c r="D3844">
        <v>2</v>
      </c>
      <c r="E3844">
        <v>7</v>
      </c>
      <c r="F3844">
        <v>25</v>
      </c>
      <c r="G3844">
        <v>96</v>
      </c>
      <c r="H3844">
        <v>312.49</v>
      </c>
    </row>
    <row r="3845" spans="1:8" x14ac:dyDescent="0.25">
      <c r="A3845">
        <v>19094547</v>
      </c>
      <c r="B3845">
        <v>54</v>
      </c>
      <c r="C3845">
        <v>6</v>
      </c>
      <c r="D3845">
        <v>2</v>
      </c>
      <c r="E3845">
        <v>7</v>
      </c>
      <c r="F3845">
        <v>36</v>
      </c>
      <c r="G3845">
        <v>108</v>
      </c>
      <c r="H3845">
        <v>354.99</v>
      </c>
    </row>
    <row r="3846" spans="1:8" x14ac:dyDescent="0.25">
      <c r="A3846">
        <v>19094549</v>
      </c>
      <c r="B3846">
        <v>11</v>
      </c>
      <c r="C3846">
        <v>0</v>
      </c>
      <c r="D3846">
        <v>0</v>
      </c>
      <c r="E3846">
        <v>1</v>
      </c>
      <c r="F3846">
        <v>9</v>
      </c>
      <c r="G3846">
        <v>24</v>
      </c>
      <c r="H3846">
        <v>0</v>
      </c>
    </row>
    <row r="3847" spans="1:8" x14ac:dyDescent="0.25">
      <c r="A3847">
        <v>19113274</v>
      </c>
      <c r="B3847">
        <v>35</v>
      </c>
      <c r="C3847">
        <v>0</v>
      </c>
      <c r="D3847">
        <v>2</v>
      </c>
      <c r="E3847">
        <v>4</v>
      </c>
      <c r="F3847">
        <v>17</v>
      </c>
      <c r="G3847">
        <v>67</v>
      </c>
      <c r="H3847">
        <v>49.97</v>
      </c>
    </row>
    <row r="3848" spans="1:8" x14ac:dyDescent="0.25">
      <c r="A3848">
        <v>19113278</v>
      </c>
      <c r="B3848">
        <v>49</v>
      </c>
      <c r="C3848">
        <v>0</v>
      </c>
      <c r="D3848">
        <v>0</v>
      </c>
      <c r="E3848">
        <v>2</v>
      </c>
      <c r="F3848">
        <v>24</v>
      </c>
      <c r="G3848">
        <v>92</v>
      </c>
      <c r="H3848">
        <v>0</v>
      </c>
    </row>
    <row r="3849" spans="1:8" x14ac:dyDescent="0.25">
      <c r="A3849">
        <v>19113279</v>
      </c>
      <c r="B3849">
        <v>49</v>
      </c>
      <c r="C3849">
        <v>0</v>
      </c>
      <c r="D3849">
        <v>-1</v>
      </c>
      <c r="E3849">
        <v>5</v>
      </c>
      <c r="F3849">
        <v>22</v>
      </c>
      <c r="G3849">
        <v>99</v>
      </c>
      <c r="H3849">
        <v>3</v>
      </c>
    </row>
    <row r="3850" spans="1:8" x14ac:dyDescent="0.25">
      <c r="A3850">
        <v>19113280</v>
      </c>
      <c r="B3850">
        <v>109</v>
      </c>
      <c r="C3850">
        <v>0</v>
      </c>
      <c r="D3850">
        <v>0</v>
      </c>
      <c r="E3850">
        <v>7</v>
      </c>
      <c r="F3850">
        <v>35</v>
      </c>
      <c r="G3850">
        <v>80</v>
      </c>
      <c r="H3850">
        <v>0</v>
      </c>
    </row>
    <row r="3851" spans="1:8" x14ac:dyDescent="0.25">
      <c r="A3851">
        <v>19113281</v>
      </c>
      <c r="B3851">
        <v>3</v>
      </c>
      <c r="C3851">
        <v>0</v>
      </c>
      <c r="D3851">
        <v>0</v>
      </c>
      <c r="E3851">
        <v>0</v>
      </c>
      <c r="F3851">
        <v>1</v>
      </c>
      <c r="G3851">
        <v>45</v>
      </c>
      <c r="H3851">
        <v>0</v>
      </c>
    </row>
    <row r="3852" spans="1:8" x14ac:dyDescent="0.25">
      <c r="A3852">
        <v>19113282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22</v>
      </c>
      <c r="H3852">
        <v>0</v>
      </c>
    </row>
    <row r="3853" spans="1:8" x14ac:dyDescent="0.25">
      <c r="A3853">
        <v>19113283</v>
      </c>
      <c r="B3853">
        <v>17</v>
      </c>
      <c r="C3853">
        <v>0</v>
      </c>
      <c r="D3853">
        <v>0</v>
      </c>
      <c r="E3853">
        <v>0</v>
      </c>
      <c r="F3853">
        <v>3</v>
      </c>
      <c r="G3853">
        <v>111</v>
      </c>
      <c r="H3853">
        <v>0</v>
      </c>
    </row>
    <row r="3854" spans="1:8" x14ac:dyDescent="0.25">
      <c r="A3854">
        <v>19113284</v>
      </c>
      <c r="B3854">
        <v>39</v>
      </c>
      <c r="C3854">
        <v>0</v>
      </c>
      <c r="D3854">
        <v>0</v>
      </c>
      <c r="E3854">
        <v>0</v>
      </c>
      <c r="F3854">
        <v>9</v>
      </c>
      <c r="G3854">
        <v>24</v>
      </c>
      <c r="H3854">
        <v>0</v>
      </c>
    </row>
    <row r="3855" spans="1:8" x14ac:dyDescent="0.25">
      <c r="A3855">
        <v>19113285</v>
      </c>
      <c r="B3855">
        <v>208</v>
      </c>
      <c r="C3855">
        <v>0</v>
      </c>
      <c r="D3855">
        <v>0</v>
      </c>
      <c r="E3855">
        <v>2</v>
      </c>
      <c r="F3855">
        <v>9</v>
      </c>
      <c r="G3855">
        <v>57</v>
      </c>
      <c r="H3855">
        <v>0</v>
      </c>
    </row>
    <row r="3856" spans="1:8" x14ac:dyDescent="0.25">
      <c r="A3856">
        <v>19113286</v>
      </c>
      <c r="B3856">
        <v>71</v>
      </c>
      <c r="C3856">
        <v>0</v>
      </c>
      <c r="D3856">
        <v>1</v>
      </c>
      <c r="E3856">
        <v>4</v>
      </c>
      <c r="F3856">
        <v>11</v>
      </c>
      <c r="G3856">
        <v>59</v>
      </c>
      <c r="H3856">
        <v>49.97</v>
      </c>
    </row>
    <row r="3857" spans="1:8" x14ac:dyDescent="0.25">
      <c r="A3857">
        <v>19113359</v>
      </c>
      <c r="B3857">
        <v>65</v>
      </c>
      <c r="C3857">
        <v>0</v>
      </c>
      <c r="D3857">
        <v>2</v>
      </c>
      <c r="E3857">
        <v>2</v>
      </c>
      <c r="F3857">
        <v>10</v>
      </c>
      <c r="G3857">
        <v>47</v>
      </c>
      <c r="H3857">
        <v>639.99</v>
      </c>
    </row>
    <row r="3858" spans="1:8" x14ac:dyDescent="0.25">
      <c r="A3858">
        <v>19113360</v>
      </c>
      <c r="B3858">
        <v>33</v>
      </c>
      <c r="C3858">
        <v>0</v>
      </c>
      <c r="D3858">
        <v>2</v>
      </c>
      <c r="E3858">
        <v>2</v>
      </c>
      <c r="F3858">
        <v>9</v>
      </c>
      <c r="G3858">
        <v>37</v>
      </c>
      <c r="H3858">
        <v>649.99</v>
      </c>
    </row>
    <row r="3859" spans="1:8" x14ac:dyDescent="0.25">
      <c r="A3859">
        <v>19113484</v>
      </c>
      <c r="B3859">
        <v>28</v>
      </c>
      <c r="C3859">
        <v>136</v>
      </c>
      <c r="D3859">
        <v>12</v>
      </c>
      <c r="E3859">
        <v>13</v>
      </c>
      <c r="F3859">
        <v>30</v>
      </c>
      <c r="G3859">
        <v>310</v>
      </c>
      <c r="H3859">
        <v>98.825000000000003</v>
      </c>
    </row>
    <row r="3860" spans="1:8" x14ac:dyDescent="0.25">
      <c r="A3860">
        <v>19113485</v>
      </c>
      <c r="B3860">
        <v>52</v>
      </c>
      <c r="C3860">
        <v>0</v>
      </c>
      <c r="D3860">
        <v>4</v>
      </c>
      <c r="E3860">
        <v>13</v>
      </c>
      <c r="F3860">
        <v>27</v>
      </c>
      <c r="G3860">
        <v>273</v>
      </c>
      <c r="H3860">
        <v>99.99</v>
      </c>
    </row>
    <row r="3861" spans="1:8" x14ac:dyDescent="0.25">
      <c r="A3861">
        <v>19114362</v>
      </c>
      <c r="B3861">
        <v>53</v>
      </c>
      <c r="C3861">
        <v>0</v>
      </c>
      <c r="D3861">
        <v>2</v>
      </c>
      <c r="E3861">
        <v>6</v>
      </c>
      <c r="F3861">
        <v>18</v>
      </c>
      <c r="G3861">
        <v>75</v>
      </c>
      <c r="H3861">
        <v>337.49</v>
      </c>
    </row>
    <row r="3862" spans="1:8" x14ac:dyDescent="0.25">
      <c r="A3862">
        <v>19114458</v>
      </c>
      <c r="B3862">
        <v>160</v>
      </c>
      <c r="C3862">
        <v>120</v>
      </c>
      <c r="D3862">
        <v>19</v>
      </c>
      <c r="E3862">
        <v>83</v>
      </c>
      <c r="F3862">
        <v>214</v>
      </c>
      <c r="G3862">
        <v>411</v>
      </c>
      <c r="H3862">
        <v>47.393700000000003</v>
      </c>
    </row>
    <row r="3863" spans="1:8" x14ac:dyDescent="0.25">
      <c r="A3863">
        <v>19114459</v>
      </c>
      <c r="B3863">
        <v>5</v>
      </c>
      <c r="C3863">
        <v>0</v>
      </c>
      <c r="D3863">
        <v>1</v>
      </c>
      <c r="E3863">
        <v>8</v>
      </c>
      <c r="F3863">
        <v>53</v>
      </c>
      <c r="G3863">
        <v>168</v>
      </c>
      <c r="H3863">
        <v>69.989999999999995</v>
      </c>
    </row>
    <row r="3864" spans="1:8" x14ac:dyDescent="0.25">
      <c r="A3864">
        <v>19173789</v>
      </c>
      <c r="B3864">
        <v>941</v>
      </c>
      <c r="C3864">
        <v>24</v>
      </c>
      <c r="D3864">
        <v>49</v>
      </c>
      <c r="E3864">
        <v>193</v>
      </c>
      <c r="F3864">
        <v>591</v>
      </c>
      <c r="G3864">
        <v>1189</v>
      </c>
      <c r="H3864">
        <v>94.343699999999998</v>
      </c>
    </row>
    <row r="3865" spans="1:8" x14ac:dyDescent="0.25">
      <c r="A3865">
        <v>19173790</v>
      </c>
      <c r="B3865">
        <v>422</v>
      </c>
      <c r="C3865">
        <v>0</v>
      </c>
      <c r="D3865">
        <v>19</v>
      </c>
      <c r="E3865">
        <v>56</v>
      </c>
      <c r="F3865">
        <v>183</v>
      </c>
      <c r="G3865">
        <v>351</v>
      </c>
      <c r="H3865">
        <v>96.044700000000006</v>
      </c>
    </row>
    <row r="3866" spans="1:8" x14ac:dyDescent="0.25">
      <c r="A3866">
        <v>19173791</v>
      </c>
      <c r="B3866">
        <v>279</v>
      </c>
      <c r="C3866">
        <v>0</v>
      </c>
      <c r="D3866">
        <v>8</v>
      </c>
      <c r="E3866">
        <v>24</v>
      </c>
      <c r="F3866">
        <v>77</v>
      </c>
      <c r="G3866">
        <v>184</v>
      </c>
      <c r="H3866">
        <v>99.962500000000006</v>
      </c>
    </row>
    <row r="3867" spans="1:8" x14ac:dyDescent="0.25">
      <c r="A3867">
        <v>19173792</v>
      </c>
      <c r="B3867">
        <v>395</v>
      </c>
      <c r="C3867">
        <v>136</v>
      </c>
      <c r="D3867">
        <v>29</v>
      </c>
      <c r="E3867">
        <v>134</v>
      </c>
      <c r="F3867">
        <v>418</v>
      </c>
      <c r="G3867">
        <v>850</v>
      </c>
      <c r="H3867">
        <v>177.48759999999999</v>
      </c>
    </row>
    <row r="3868" spans="1:8" x14ac:dyDescent="0.25">
      <c r="A3868">
        <v>19173793</v>
      </c>
      <c r="B3868">
        <v>466</v>
      </c>
      <c r="C3868">
        <v>14</v>
      </c>
      <c r="D3868">
        <v>21</v>
      </c>
      <c r="E3868">
        <v>84</v>
      </c>
      <c r="F3868">
        <v>217</v>
      </c>
      <c r="G3868">
        <v>474</v>
      </c>
      <c r="H3868">
        <v>144.0376</v>
      </c>
    </row>
    <row r="3869" spans="1:8" x14ac:dyDescent="0.25">
      <c r="A3869">
        <v>19173794</v>
      </c>
      <c r="B3869">
        <v>856</v>
      </c>
      <c r="C3869">
        <v>222</v>
      </c>
      <c r="D3869">
        <v>95</v>
      </c>
      <c r="E3869">
        <v>372</v>
      </c>
      <c r="F3869">
        <v>1047</v>
      </c>
      <c r="G3869">
        <v>1907</v>
      </c>
      <c r="H3869">
        <v>8.8270999999999997</v>
      </c>
    </row>
    <row r="3870" spans="1:8" x14ac:dyDescent="0.25">
      <c r="A3870">
        <v>19173795</v>
      </c>
      <c r="B3870">
        <v>674</v>
      </c>
      <c r="C3870">
        <v>870</v>
      </c>
      <c r="D3870">
        <v>117</v>
      </c>
      <c r="E3870">
        <v>482</v>
      </c>
      <c r="F3870">
        <v>1394</v>
      </c>
      <c r="G3870">
        <v>2826</v>
      </c>
      <c r="H3870">
        <v>12.794499999999999</v>
      </c>
    </row>
    <row r="3871" spans="1:8" x14ac:dyDescent="0.25">
      <c r="A3871">
        <v>19173796</v>
      </c>
      <c r="B3871">
        <v>25</v>
      </c>
      <c r="C3871">
        <v>0</v>
      </c>
      <c r="D3871">
        <v>0</v>
      </c>
      <c r="E3871">
        <v>0</v>
      </c>
      <c r="F3871">
        <v>2</v>
      </c>
      <c r="G3871">
        <v>7</v>
      </c>
      <c r="H3871">
        <v>0</v>
      </c>
    </row>
    <row r="3872" spans="1:8" x14ac:dyDescent="0.25">
      <c r="A3872">
        <v>19173798</v>
      </c>
      <c r="B3872">
        <v>334</v>
      </c>
      <c r="C3872">
        <v>0</v>
      </c>
      <c r="D3872">
        <v>4</v>
      </c>
      <c r="E3872">
        <v>19</v>
      </c>
      <c r="F3872">
        <v>73</v>
      </c>
      <c r="G3872">
        <v>137</v>
      </c>
      <c r="H3872">
        <v>121.24</v>
      </c>
    </row>
    <row r="3873" spans="1:8" x14ac:dyDescent="0.25">
      <c r="A3873">
        <v>19173800</v>
      </c>
      <c r="B3873">
        <v>20</v>
      </c>
      <c r="C3873">
        <v>0</v>
      </c>
      <c r="D3873">
        <v>0</v>
      </c>
      <c r="E3873">
        <v>0</v>
      </c>
      <c r="F3873">
        <v>0</v>
      </c>
      <c r="G3873">
        <v>0</v>
      </c>
      <c r="H3873">
        <v>0</v>
      </c>
    </row>
    <row r="3874" spans="1:8" x14ac:dyDescent="0.25">
      <c r="A3874">
        <v>19173803</v>
      </c>
      <c r="B3874">
        <v>280</v>
      </c>
      <c r="C3874">
        <v>25</v>
      </c>
      <c r="D3874">
        <v>14</v>
      </c>
      <c r="E3874">
        <v>40</v>
      </c>
      <c r="F3874">
        <v>142</v>
      </c>
      <c r="G3874">
        <v>368</v>
      </c>
      <c r="H3874">
        <v>154.92140000000001</v>
      </c>
    </row>
    <row r="3875" spans="1:8" x14ac:dyDescent="0.25">
      <c r="A3875">
        <v>19173804</v>
      </c>
      <c r="B3875">
        <v>6</v>
      </c>
      <c r="C3875">
        <v>0</v>
      </c>
      <c r="D3875">
        <v>0</v>
      </c>
      <c r="E3875">
        <v>0</v>
      </c>
      <c r="F3875">
        <v>2</v>
      </c>
      <c r="G3875">
        <v>3</v>
      </c>
      <c r="H3875">
        <v>0</v>
      </c>
    </row>
    <row r="3876" spans="1:8" x14ac:dyDescent="0.25">
      <c r="A3876">
        <v>19173805</v>
      </c>
      <c r="B3876">
        <v>151</v>
      </c>
      <c r="C3876">
        <v>10</v>
      </c>
      <c r="D3876">
        <v>4</v>
      </c>
      <c r="E3876">
        <v>13</v>
      </c>
      <c r="F3876">
        <v>49</v>
      </c>
      <c r="G3876">
        <v>122</v>
      </c>
      <c r="H3876">
        <v>157.53</v>
      </c>
    </row>
    <row r="3877" spans="1:8" x14ac:dyDescent="0.25">
      <c r="A3877">
        <v>19173806</v>
      </c>
      <c r="B3877">
        <v>213</v>
      </c>
      <c r="C3877">
        <v>4</v>
      </c>
      <c r="D3877">
        <v>10</v>
      </c>
      <c r="E3877">
        <v>28</v>
      </c>
      <c r="F3877">
        <v>83</v>
      </c>
      <c r="G3877">
        <v>251</v>
      </c>
      <c r="H3877">
        <v>279.12400000000002</v>
      </c>
    </row>
    <row r="3878" spans="1:8" x14ac:dyDescent="0.25">
      <c r="A3878">
        <v>19173807</v>
      </c>
      <c r="B3878">
        <v>44</v>
      </c>
      <c r="C3878">
        <v>4</v>
      </c>
      <c r="D3878">
        <v>1</v>
      </c>
      <c r="E3878">
        <v>6</v>
      </c>
      <c r="F3878">
        <v>21</v>
      </c>
      <c r="G3878">
        <v>82</v>
      </c>
      <c r="H3878">
        <v>300</v>
      </c>
    </row>
    <row r="3879" spans="1:8" x14ac:dyDescent="0.25">
      <c r="A3879">
        <v>19189772</v>
      </c>
      <c r="B3879">
        <v>0</v>
      </c>
      <c r="C3879">
        <v>0</v>
      </c>
      <c r="D3879">
        <v>0</v>
      </c>
      <c r="E3879">
        <v>0</v>
      </c>
      <c r="F3879">
        <v>4</v>
      </c>
      <c r="G3879">
        <v>28</v>
      </c>
      <c r="H3879">
        <v>0</v>
      </c>
    </row>
    <row r="3880" spans="1:8" x14ac:dyDescent="0.25">
      <c r="A3880">
        <v>19189773</v>
      </c>
      <c r="B3880">
        <v>0</v>
      </c>
      <c r="C3880">
        <v>0</v>
      </c>
      <c r="D3880">
        <v>0</v>
      </c>
      <c r="E3880">
        <v>3</v>
      </c>
      <c r="F3880">
        <v>5</v>
      </c>
      <c r="G3880">
        <v>46</v>
      </c>
      <c r="H3880">
        <v>0</v>
      </c>
    </row>
    <row r="3881" spans="1:8" x14ac:dyDescent="0.25">
      <c r="A3881">
        <v>19189953</v>
      </c>
      <c r="B3881">
        <v>235</v>
      </c>
      <c r="C3881">
        <v>45</v>
      </c>
      <c r="D3881">
        <v>8</v>
      </c>
      <c r="E3881">
        <v>32</v>
      </c>
      <c r="F3881">
        <v>135</v>
      </c>
      <c r="G3881">
        <v>299</v>
      </c>
      <c r="H3881">
        <v>101.77249999999999</v>
      </c>
    </row>
    <row r="3882" spans="1:8" x14ac:dyDescent="0.25">
      <c r="A3882">
        <v>19190947</v>
      </c>
      <c r="B3882">
        <v>863</v>
      </c>
      <c r="C3882">
        <v>92</v>
      </c>
      <c r="D3882">
        <v>48</v>
      </c>
      <c r="E3882">
        <v>164</v>
      </c>
      <c r="F3882">
        <v>589</v>
      </c>
      <c r="G3882">
        <v>1071</v>
      </c>
      <c r="H3882">
        <v>7.7130999999999998</v>
      </c>
    </row>
    <row r="3883" spans="1:8" x14ac:dyDescent="0.25">
      <c r="A3883">
        <v>19190948</v>
      </c>
      <c r="B3883">
        <v>2212</v>
      </c>
      <c r="C3883">
        <v>300</v>
      </c>
      <c r="D3883">
        <v>69</v>
      </c>
      <c r="E3883">
        <v>293</v>
      </c>
      <c r="F3883">
        <v>983</v>
      </c>
      <c r="G3883">
        <v>1850</v>
      </c>
      <c r="H3883">
        <v>10.6629</v>
      </c>
    </row>
    <row r="3884" spans="1:8" x14ac:dyDescent="0.25">
      <c r="A3884">
        <v>19190950</v>
      </c>
      <c r="B3884">
        <v>726</v>
      </c>
      <c r="C3884">
        <v>128</v>
      </c>
      <c r="D3884">
        <v>50</v>
      </c>
      <c r="E3884">
        <v>185</v>
      </c>
      <c r="F3884">
        <v>667</v>
      </c>
      <c r="G3884">
        <v>1315</v>
      </c>
      <c r="H3884">
        <v>33.514200000000002</v>
      </c>
    </row>
    <row r="3885" spans="1:8" x14ac:dyDescent="0.25">
      <c r="A3885">
        <v>19190951</v>
      </c>
      <c r="B3885">
        <v>1314</v>
      </c>
      <c r="C3885">
        <v>100</v>
      </c>
      <c r="D3885">
        <v>65</v>
      </c>
      <c r="E3885">
        <v>297</v>
      </c>
      <c r="F3885">
        <v>965</v>
      </c>
      <c r="G3885">
        <v>1699</v>
      </c>
      <c r="H3885">
        <v>11.3238</v>
      </c>
    </row>
    <row r="3886" spans="1:8" x14ac:dyDescent="0.25">
      <c r="A3886">
        <v>19190953</v>
      </c>
      <c r="B3886">
        <v>595</v>
      </c>
      <c r="C3886">
        <v>60</v>
      </c>
      <c r="D3886">
        <v>12</v>
      </c>
      <c r="E3886">
        <v>54</v>
      </c>
      <c r="F3886">
        <v>202</v>
      </c>
      <c r="G3886">
        <v>427</v>
      </c>
      <c r="H3886">
        <v>11.51</v>
      </c>
    </row>
    <row r="3887" spans="1:8" x14ac:dyDescent="0.25">
      <c r="A3887">
        <v>19190954</v>
      </c>
      <c r="B3887">
        <v>456</v>
      </c>
      <c r="C3887">
        <v>45</v>
      </c>
      <c r="D3887">
        <v>18</v>
      </c>
      <c r="E3887">
        <v>66</v>
      </c>
      <c r="F3887">
        <v>202</v>
      </c>
      <c r="G3887">
        <v>386</v>
      </c>
      <c r="H3887">
        <v>49.541699999999999</v>
      </c>
    </row>
    <row r="3888" spans="1:8" x14ac:dyDescent="0.25">
      <c r="A3888">
        <v>19190955</v>
      </c>
      <c r="B3888">
        <v>385</v>
      </c>
      <c r="C3888">
        <v>30</v>
      </c>
      <c r="D3888">
        <v>2</v>
      </c>
      <c r="E3888">
        <v>39</v>
      </c>
      <c r="F3888">
        <v>130</v>
      </c>
      <c r="G3888">
        <v>257</v>
      </c>
      <c r="H3888">
        <v>52.92</v>
      </c>
    </row>
    <row r="3889" spans="1:8" x14ac:dyDescent="0.25">
      <c r="A3889">
        <v>19190964</v>
      </c>
      <c r="B3889">
        <v>12</v>
      </c>
      <c r="C3889">
        <v>0</v>
      </c>
      <c r="D3889">
        <v>0</v>
      </c>
      <c r="E3889">
        <v>0</v>
      </c>
      <c r="F3889">
        <v>6</v>
      </c>
      <c r="G3889">
        <v>80</v>
      </c>
      <c r="H3889">
        <v>0</v>
      </c>
    </row>
    <row r="3890" spans="1:8" x14ac:dyDescent="0.25">
      <c r="A3890">
        <v>19190965</v>
      </c>
      <c r="B3890">
        <v>35</v>
      </c>
      <c r="C3890">
        <v>1</v>
      </c>
      <c r="D3890">
        <v>5</v>
      </c>
      <c r="E3890">
        <v>12</v>
      </c>
      <c r="F3890">
        <v>35</v>
      </c>
      <c r="G3890">
        <v>103</v>
      </c>
      <c r="H3890">
        <v>305.99</v>
      </c>
    </row>
    <row r="3891" spans="1:8" x14ac:dyDescent="0.25">
      <c r="A3891">
        <v>19190966</v>
      </c>
      <c r="B3891">
        <v>30</v>
      </c>
      <c r="C3891">
        <v>1</v>
      </c>
      <c r="D3891">
        <v>1</v>
      </c>
      <c r="E3891">
        <v>2</v>
      </c>
      <c r="F3891">
        <v>10</v>
      </c>
      <c r="G3891">
        <v>43</v>
      </c>
      <c r="H3891">
        <v>109.99</v>
      </c>
    </row>
    <row r="3892" spans="1:8" x14ac:dyDescent="0.25">
      <c r="A3892">
        <v>19190967</v>
      </c>
      <c r="B3892">
        <v>52</v>
      </c>
      <c r="C3892">
        <v>1</v>
      </c>
      <c r="D3892">
        <v>2</v>
      </c>
      <c r="E3892">
        <v>6</v>
      </c>
      <c r="F3892">
        <v>19</v>
      </c>
      <c r="G3892">
        <v>42</v>
      </c>
      <c r="H3892">
        <v>88.74</v>
      </c>
    </row>
    <row r="3893" spans="1:8" x14ac:dyDescent="0.25">
      <c r="A3893">
        <v>19190968</v>
      </c>
      <c r="B3893">
        <v>47</v>
      </c>
      <c r="C3893">
        <v>6</v>
      </c>
      <c r="D3893">
        <v>0</v>
      </c>
      <c r="E3893">
        <v>1</v>
      </c>
      <c r="F3893">
        <v>11</v>
      </c>
      <c r="G3893">
        <v>25</v>
      </c>
      <c r="H3893">
        <v>0</v>
      </c>
    </row>
    <row r="3894" spans="1:8" x14ac:dyDescent="0.25">
      <c r="A3894">
        <v>19190969</v>
      </c>
      <c r="B3894">
        <v>32</v>
      </c>
      <c r="C3894">
        <v>1</v>
      </c>
      <c r="D3894">
        <v>1</v>
      </c>
      <c r="E3894">
        <v>5</v>
      </c>
      <c r="F3894">
        <v>18</v>
      </c>
      <c r="G3894">
        <v>68</v>
      </c>
      <c r="H3894">
        <v>579</v>
      </c>
    </row>
    <row r="3895" spans="1:8" x14ac:dyDescent="0.25">
      <c r="A3895">
        <v>19190970</v>
      </c>
      <c r="B3895">
        <v>37</v>
      </c>
      <c r="C3895">
        <v>0</v>
      </c>
      <c r="D3895">
        <v>3</v>
      </c>
      <c r="E3895">
        <v>10</v>
      </c>
      <c r="F3895">
        <v>40</v>
      </c>
      <c r="G3895">
        <v>129</v>
      </c>
      <c r="H3895">
        <v>228.04669999999999</v>
      </c>
    </row>
    <row r="3896" spans="1:8" x14ac:dyDescent="0.25">
      <c r="A3896">
        <v>19190971</v>
      </c>
      <c r="B3896">
        <v>21</v>
      </c>
      <c r="C3896">
        <v>1</v>
      </c>
      <c r="D3896">
        <v>1</v>
      </c>
      <c r="E3896">
        <v>2</v>
      </c>
      <c r="F3896">
        <v>9</v>
      </c>
      <c r="G3896">
        <v>39</v>
      </c>
      <c r="H3896">
        <v>599</v>
      </c>
    </row>
    <row r="3897" spans="1:8" x14ac:dyDescent="0.25">
      <c r="A3897">
        <v>19190978</v>
      </c>
      <c r="B3897">
        <v>240</v>
      </c>
      <c r="C3897">
        <v>40</v>
      </c>
      <c r="D3897">
        <v>16</v>
      </c>
      <c r="E3897">
        <v>49</v>
      </c>
      <c r="F3897">
        <v>169</v>
      </c>
      <c r="G3897">
        <v>393</v>
      </c>
      <c r="H3897">
        <v>47.173099999999998</v>
      </c>
    </row>
    <row r="3898" spans="1:8" x14ac:dyDescent="0.25">
      <c r="A3898">
        <v>19190979</v>
      </c>
      <c r="B3898">
        <v>86</v>
      </c>
      <c r="C3898">
        <v>5</v>
      </c>
      <c r="D3898">
        <v>9</v>
      </c>
      <c r="E3898">
        <v>37</v>
      </c>
      <c r="F3898">
        <v>169</v>
      </c>
      <c r="G3898">
        <v>489</v>
      </c>
      <c r="H3898">
        <v>78.444400000000002</v>
      </c>
    </row>
    <row r="3899" spans="1:8" x14ac:dyDescent="0.25">
      <c r="A3899">
        <v>19190980</v>
      </c>
      <c r="B3899">
        <v>93</v>
      </c>
      <c r="C3899">
        <v>0</v>
      </c>
      <c r="D3899">
        <v>12</v>
      </c>
      <c r="E3899">
        <v>48</v>
      </c>
      <c r="F3899">
        <v>196</v>
      </c>
      <c r="G3899">
        <v>553</v>
      </c>
      <c r="H3899">
        <v>83.279200000000003</v>
      </c>
    </row>
    <row r="3900" spans="1:8" x14ac:dyDescent="0.25">
      <c r="A3900">
        <v>19190981</v>
      </c>
      <c r="B3900">
        <v>192</v>
      </c>
      <c r="C3900">
        <v>50</v>
      </c>
      <c r="D3900">
        <v>9</v>
      </c>
      <c r="E3900">
        <v>37</v>
      </c>
      <c r="F3900">
        <v>159</v>
      </c>
      <c r="G3900">
        <v>327</v>
      </c>
      <c r="H3900">
        <v>234.78110000000001</v>
      </c>
    </row>
    <row r="3901" spans="1:8" x14ac:dyDescent="0.25">
      <c r="A3901">
        <v>19190982</v>
      </c>
      <c r="B3901">
        <v>5</v>
      </c>
      <c r="C3901">
        <v>0</v>
      </c>
      <c r="D3901">
        <v>0</v>
      </c>
      <c r="E3901">
        <v>0</v>
      </c>
      <c r="F3901">
        <v>1</v>
      </c>
      <c r="G3901">
        <v>2</v>
      </c>
      <c r="H3901">
        <v>0</v>
      </c>
    </row>
    <row r="3902" spans="1:8" x14ac:dyDescent="0.25">
      <c r="A3902">
        <v>19190983</v>
      </c>
      <c r="B3902">
        <v>5</v>
      </c>
      <c r="C3902">
        <v>0</v>
      </c>
      <c r="D3902">
        <v>1</v>
      </c>
      <c r="E3902">
        <v>1</v>
      </c>
      <c r="F3902">
        <v>1</v>
      </c>
      <c r="G3902">
        <v>1</v>
      </c>
      <c r="H3902">
        <v>219</v>
      </c>
    </row>
    <row r="3903" spans="1:8" x14ac:dyDescent="0.25">
      <c r="A3903">
        <v>19190984</v>
      </c>
      <c r="B3903">
        <v>49</v>
      </c>
      <c r="C3903">
        <v>10</v>
      </c>
      <c r="D3903">
        <v>4</v>
      </c>
      <c r="E3903">
        <v>6</v>
      </c>
      <c r="F3903">
        <v>29</v>
      </c>
      <c r="G3903">
        <v>87</v>
      </c>
      <c r="H3903">
        <v>99</v>
      </c>
    </row>
    <row r="3904" spans="1:8" x14ac:dyDescent="0.25">
      <c r="A3904">
        <v>19190985</v>
      </c>
      <c r="B3904">
        <v>41</v>
      </c>
      <c r="C3904">
        <v>45</v>
      </c>
      <c r="D3904">
        <v>5</v>
      </c>
      <c r="E3904">
        <v>9</v>
      </c>
      <c r="F3904">
        <v>49</v>
      </c>
      <c r="G3904">
        <v>174</v>
      </c>
      <c r="H3904">
        <v>106.93600000000001</v>
      </c>
    </row>
    <row r="3905" spans="1:8" x14ac:dyDescent="0.25">
      <c r="A3905">
        <v>19190986</v>
      </c>
      <c r="B3905">
        <v>59</v>
      </c>
      <c r="C3905">
        <v>6</v>
      </c>
      <c r="D3905">
        <v>7</v>
      </c>
      <c r="E3905">
        <v>12</v>
      </c>
      <c r="F3905">
        <v>46</v>
      </c>
      <c r="G3905">
        <v>116</v>
      </c>
      <c r="H3905">
        <v>82.425700000000006</v>
      </c>
    </row>
    <row r="3906" spans="1:8" x14ac:dyDescent="0.25">
      <c r="A3906">
        <v>19190987</v>
      </c>
      <c r="B3906">
        <v>218</v>
      </c>
      <c r="C3906">
        <v>35</v>
      </c>
      <c r="D3906">
        <v>13</v>
      </c>
      <c r="E3906">
        <v>30</v>
      </c>
      <c r="F3906">
        <v>129</v>
      </c>
      <c r="G3906">
        <v>205</v>
      </c>
      <c r="H3906">
        <v>32.019199999999998</v>
      </c>
    </row>
    <row r="3907" spans="1:8" x14ac:dyDescent="0.25">
      <c r="A3907">
        <v>19191157</v>
      </c>
      <c r="B3907">
        <v>6</v>
      </c>
      <c r="C3907">
        <v>0</v>
      </c>
      <c r="D3907">
        <v>0</v>
      </c>
      <c r="E3907">
        <v>1</v>
      </c>
      <c r="F3907">
        <v>7</v>
      </c>
      <c r="G3907">
        <v>13</v>
      </c>
      <c r="H3907">
        <v>0</v>
      </c>
    </row>
    <row r="3908" spans="1:8" x14ac:dyDescent="0.25">
      <c r="A3908">
        <v>19191158</v>
      </c>
      <c r="B3908">
        <v>0</v>
      </c>
      <c r="C3908">
        <v>0</v>
      </c>
      <c r="D3908">
        <v>0</v>
      </c>
      <c r="E3908">
        <v>0</v>
      </c>
      <c r="F3908">
        <v>3</v>
      </c>
      <c r="G3908">
        <v>8</v>
      </c>
      <c r="H3908">
        <v>0</v>
      </c>
    </row>
    <row r="3909" spans="1:8" x14ac:dyDescent="0.25">
      <c r="A3909">
        <v>19191159</v>
      </c>
      <c r="B3909">
        <v>0</v>
      </c>
      <c r="C3909">
        <v>0</v>
      </c>
      <c r="D3909">
        <v>0</v>
      </c>
      <c r="E3909">
        <v>0</v>
      </c>
      <c r="F3909">
        <v>1</v>
      </c>
      <c r="G3909">
        <v>3</v>
      </c>
      <c r="H3909">
        <v>0</v>
      </c>
    </row>
    <row r="3910" spans="1:8" x14ac:dyDescent="0.25">
      <c r="A3910">
        <v>19191160</v>
      </c>
      <c r="B3910">
        <v>61</v>
      </c>
      <c r="C3910">
        <v>0</v>
      </c>
      <c r="D3910">
        <v>7</v>
      </c>
      <c r="E3910">
        <v>25</v>
      </c>
      <c r="F3910">
        <v>88</v>
      </c>
      <c r="G3910">
        <v>179</v>
      </c>
      <c r="H3910">
        <v>1093.9629</v>
      </c>
    </row>
    <row r="3911" spans="1:8" x14ac:dyDescent="0.25">
      <c r="A3911">
        <v>19191162</v>
      </c>
      <c r="B3911">
        <v>85</v>
      </c>
      <c r="C3911">
        <v>0</v>
      </c>
      <c r="D3911">
        <v>4</v>
      </c>
      <c r="E3911">
        <v>12</v>
      </c>
      <c r="F3911">
        <v>53</v>
      </c>
      <c r="G3911">
        <v>100</v>
      </c>
      <c r="H3911">
        <v>1031.9124999999999</v>
      </c>
    </row>
    <row r="3912" spans="1:8" x14ac:dyDescent="0.25">
      <c r="A3912">
        <v>19191164</v>
      </c>
      <c r="B3912">
        <v>0</v>
      </c>
      <c r="C3912">
        <v>0</v>
      </c>
      <c r="D3912">
        <v>0</v>
      </c>
      <c r="E3912">
        <v>0</v>
      </c>
      <c r="F3912">
        <v>1</v>
      </c>
      <c r="G3912">
        <v>3</v>
      </c>
      <c r="H3912">
        <v>0</v>
      </c>
    </row>
    <row r="3913" spans="1:8" x14ac:dyDescent="0.25">
      <c r="A3913">
        <v>19191166</v>
      </c>
      <c r="B3913">
        <v>87</v>
      </c>
      <c r="C3913">
        <v>0</v>
      </c>
      <c r="D3913">
        <v>2</v>
      </c>
      <c r="E3913">
        <v>13</v>
      </c>
      <c r="F3913">
        <v>65</v>
      </c>
      <c r="G3913">
        <v>106</v>
      </c>
      <c r="H3913">
        <v>118.65</v>
      </c>
    </row>
    <row r="3914" spans="1:8" x14ac:dyDescent="0.25">
      <c r="A3914">
        <v>19191167</v>
      </c>
      <c r="B3914">
        <v>3</v>
      </c>
      <c r="C3914">
        <v>0</v>
      </c>
      <c r="D3914">
        <v>0</v>
      </c>
      <c r="E3914">
        <v>1</v>
      </c>
      <c r="F3914">
        <v>7</v>
      </c>
      <c r="G3914">
        <v>16</v>
      </c>
      <c r="H3914">
        <v>0</v>
      </c>
    </row>
    <row r="3915" spans="1:8" x14ac:dyDescent="0.25">
      <c r="A3915">
        <v>19191168</v>
      </c>
      <c r="B3915">
        <v>8</v>
      </c>
      <c r="C3915">
        <v>0</v>
      </c>
      <c r="D3915">
        <v>0</v>
      </c>
      <c r="E3915">
        <v>1</v>
      </c>
      <c r="F3915">
        <v>5</v>
      </c>
      <c r="G3915">
        <v>16</v>
      </c>
      <c r="H3915">
        <v>0</v>
      </c>
    </row>
    <row r="3916" spans="1:8" x14ac:dyDescent="0.25">
      <c r="A3916">
        <v>19191169</v>
      </c>
      <c r="B3916">
        <v>38</v>
      </c>
      <c r="C3916">
        <v>0</v>
      </c>
      <c r="D3916">
        <v>4</v>
      </c>
      <c r="E3916">
        <v>8</v>
      </c>
      <c r="F3916">
        <v>15</v>
      </c>
      <c r="G3916">
        <v>36</v>
      </c>
      <c r="H3916">
        <v>179.99</v>
      </c>
    </row>
    <row r="3917" spans="1:8" x14ac:dyDescent="0.25">
      <c r="A3917">
        <v>19191170</v>
      </c>
      <c r="B3917">
        <v>16</v>
      </c>
      <c r="C3917">
        <v>0</v>
      </c>
      <c r="D3917">
        <v>2</v>
      </c>
      <c r="E3917">
        <v>3</v>
      </c>
      <c r="F3917">
        <v>28</v>
      </c>
      <c r="G3917">
        <v>40</v>
      </c>
      <c r="H3917">
        <v>219.54</v>
      </c>
    </row>
    <row r="3918" spans="1:8" x14ac:dyDescent="0.25">
      <c r="A3918">
        <v>19191171</v>
      </c>
      <c r="B3918">
        <v>0</v>
      </c>
      <c r="C3918">
        <v>0</v>
      </c>
      <c r="D3918">
        <v>0</v>
      </c>
      <c r="E3918">
        <v>1</v>
      </c>
      <c r="F3918">
        <v>1</v>
      </c>
      <c r="G3918">
        <v>2</v>
      </c>
      <c r="H3918">
        <v>0</v>
      </c>
    </row>
    <row r="3919" spans="1:8" x14ac:dyDescent="0.25">
      <c r="A3919">
        <v>19191172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2</v>
      </c>
      <c r="H3919">
        <v>0</v>
      </c>
    </row>
    <row r="3920" spans="1:8" x14ac:dyDescent="0.25">
      <c r="A3920">
        <v>19191173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1</v>
      </c>
      <c r="H3920">
        <v>0</v>
      </c>
    </row>
    <row r="3921" spans="1:8" x14ac:dyDescent="0.25">
      <c r="A3921">
        <v>19194846</v>
      </c>
      <c r="B3921">
        <v>243</v>
      </c>
      <c r="C3921">
        <v>48</v>
      </c>
      <c r="D3921">
        <v>16</v>
      </c>
      <c r="E3921">
        <v>76</v>
      </c>
      <c r="F3921">
        <v>266</v>
      </c>
      <c r="G3921">
        <v>722</v>
      </c>
      <c r="H3921">
        <v>343.5256</v>
      </c>
    </row>
    <row r="3922" spans="1:8" x14ac:dyDescent="0.25">
      <c r="A3922">
        <v>19194847</v>
      </c>
      <c r="B3922">
        <v>217</v>
      </c>
      <c r="C3922">
        <v>20</v>
      </c>
      <c r="D3922">
        <v>13</v>
      </c>
      <c r="E3922">
        <v>45</v>
      </c>
      <c r="F3922">
        <v>141</v>
      </c>
      <c r="G3922">
        <v>344</v>
      </c>
      <c r="H3922">
        <v>349.37380000000002</v>
      </c>
    </row>
    <row r="3923" spans="1:8" x14ac:dyDescent="0.25">
      <c r="A3923">
        <v>19198915</v>
      </c>
      <c r="B3923">
        <v>95</v>
      </c>
      <c r="C3923">
        <v>1</v>
      </c>
      <c r="D3923">
        <v>14</v>
      </c>
      <c r="E3923">
        <v>56</v>
      </c>
      <c r="F3923">
        <v>210</v>
      </c>
      <c r="G3923">
        <v>691</v>
      </c>
      <c r="H3923">
        <v>213.42429999999999</v>
      </c>
    </row>
    <row r="3924" spans="1:8" x14ac:dyDescent="0.25">
      <c r="A3924">
        <v>19198916</v>
      </c>
      <c r="B3924">
        <v>322</v>
      </c>
      <c r="C3924">
        <v>0</v>
      </c>
      <c r="D3924">
        <v>12</v>
      </c>
      <c r="E3924">
        <v>188</v>
      </c>
      <c r="F3924">
        <v>600</v>
      </c>
      <c r="G3924">
        <v>1573</v>
      </c>
      <c r="H3924">
        <v>476.74829999999997</v>
      </c>
    </row>
    <row r="3925" spans="1:8" x14ac:dyDescent="0.25">
      <c r="A3925">
        <v>19198917</v>
      </c>
      <c r="B3925">
        <v>80</v>
      </c>
      <c r="C3925">
        <v>0</v>
      </c>
      <c r="D3925">
        <v>33</v>
      </c>
      <c r="E3925">
        <v>86</v>
      </c>
      <c r="F3925">
        <v>217</v>
      </c>
      <c r="G3925">
        <v>434</v>
      </c>
      <c r="H3925">
        <v>474.12520000000001</v>
      </c>
    </row>
    <row r="3926" spans="1:8" x14ac:dyDescent="0.25">
      <c r="A3926">
        <v>19198918</v>
      </c>
      <c r="B3926">
        <v>41</v>
      </c>
      <c r="C3926">
        <v>0</v>
      </c>
      <c r="D3926">
        <v>1</v>
      </c>
      <c r="E3926">
        <v>19</v>
      </c>
      <c r="F3926">
        <v>84</v>
      </c>
      <c r="G3926">
        <v>175</v>
      </c>
      <c r="H3926">
        <v>989.99</v>
      </c>
    </row>
    <row r="3927" spans="1:8" x14ac:dyDescent="0.25">
      <c r="A3927">
        <v>19198919</v>
      </c>
      <c r="B3927">
        <v>16</v>
      </c>
      <c r="C3927">
        <v>0</v>
      </c>
      <c r="D3927">
        <v>1</v>
      </c>
      <c r="E3927">
        <v>1</v>
      </c>
      <c r="F3927">
        <v>17</v>
      </c>
      <c r="G3927">
        <v>127</v>
      </c>
      <c r="H3927">
        <v>187.49</v>
      </c>
    </row>
    <row r="3928" spans="1:8" x14ac:dyDescent="0.25">
      <c r="A3928">
        <v>19198920</v>
      </c>
      <c r="B3928">
        <v>260</v>
      </c>
      <c r="C3928">
        <v>0</v>
      </c>
      <c r="D3928">
        <v>45</v>
      </c>
      <c r="E3928">
        <v>95</v>
      </c>
      <c r="F3928">
        <v>324</v>
      </c>
      <c r="G3928">
        <v>568</v>
      </c>
      <c r="H3928">
        <v>353.29039999999998</v>
      </c>
    </row>
    <row r="3929" spans="1:8" x14ac:dyDescent="0.25">
      <c r="A3929">
        <v>19198921</v>
      </c>
      <c r="B3929">
        <v>15</v>
      </c>
      <c r="C3929">
        <v>0</v>
      </c>
      <c r="D3929">
        <v>1</v>
      </c>
      <c r="E3929">
        <v>3</v>
      </c>
      <c r="F3929">
        <v>30</v>
      </c>
      <c r="G3929">
        <v>305</v>
      </c>
      <c r="H3929">
        <v>745.27</v>
      </c>
    </row>
    <row r="3930" spans="1:8" x14ac:dyDescent="0.25">
      <c r="A3930">
        <v>19198922</v>
      </c>
      <c r="B3930">
        <v>22</v>
      </c>
      <c r="C3930">
        <v>110</v>
      </c>
      <c r="D3930">
        <v>1</v>
      </c>
      <c r="E3930">
        <v>35</v>
      </c>
      <c r="F3930">
        <v>89</v>
      </c>
      <c r="G3930">
        <v>203</v>
      </c>
      <c r="H3930">
        <v>1649.99</v>
      </c>
    </row>
    <row r="3931" spans="1:8" x14ac:dyDescent="0.25">
      <c r="A3931">
        <v>19198923</v>
      </c>
      <c r="B3931">
        <v>50</v>
      </c>
      <c r="C3931">
        <v>25</v>
      </c>
      <c r="D3931">
        <v>13</v>
      </c>
      <c r="E3931">
        <v>47</v>
      </c>
      <c r="F3931">
        <v>111</v>
      </c>
      <c r="G3931">
        <v>216</v>
      </c>
      <c r="H3931">
        <v>1774.7114999999999</v>
      </c>
    </row>
    <row r="3932" spans="1:8" x14ac:dyDescent="0.25">
      <c r="A3932">
        <v>19198924</v>
      </c>
      <c r="B3932">
        <v>11</v>
      </c>
      <c r="C3932">
        <v>30</v>
      </c>
      <c r="D3932">
        <v>0</v>
      </c>
      <c r="E3932">
        <v>24</v>
      </c>
      <c r="F3932">
        <v>45</v>
      </c>
      <c r="G3932">
        <v>95</v>
      </c>
      <c r="H3932">
        <v>0</v>
      </c>
    </row>
    <row r="3933" spans="1:8" x14ac:dyDescent="0.25">
      <c r="A3933">
        <v>19209512</v>
      </c>
      <c r="B3933">
        <v>682</v>
      </c>
      <c r="C3933">
        <v>0</v>
      </c>
      <c r="D3933">
        <v>31</v>
      </c>
      <c r="E3933">
        <v>147</v>
      </c>
      <c r="F3933">
        <v>597</v>
      </c>
      <c r="G3933">
        <v>1189</v>
      </c>
      <c r="H3933">
        <v>191.7568</v>
      </c>
    </row>
    <row r="3934" spans="1:8" x14ac:dyDescent="0.25">
      <c r="A3934">
        <v>19209513</v>
      </c>
      <c r="B3934">
        <v>621</v>
      </c>
      <c r="C3934">
        <v>0</v>
      </c>
      <c r="D3934">
        <v>22</v>
      </c>
      <c r="E3934">
        <v>87</v>
      </c>
      <c r="F3934">
        <v>304</v>
      </c>
      <c r="G3934">
        <v>696</v>
      </c>
      <c r="H3934">
        <v>190.7627</v>
      </c>
    </row>
    <row r="3935" spans="1:8" x14ac:dyDescent="0.25">
      <c r="A3935">
        <v>19209514</v>
      </c>
      <c r="B3935">
        <v>960</v>
      </c>
      <c r="C3935">
        <v>0</v>
      </c>
      <c r="D3935">
        <v>33</v>
      </c>
      <c r="E3935">
        <v>161</v>
      </c>
      <c r="F3935">
        <v>550</v>
      </c>
      <c r="G3935">
        <v>1271</v>
      </c>
      <c r="H3935">
        <v>143.09639999999999</v>
      </c>
    </row>
    <row r="3936" spans="1:8" x14ac:dyDescent="0.25">
      <c r="A3936">
        <v>19209515</v>
      </c>
      <c r="B3936">
        <v>543</v>
      </c>
      <c r="C3936">
        <v>4</v>
      </c>
      <c r="D3936">
        <v>12</v>
      </c>
      <c r="E3936">
        <v>55</v>
      </c>
      <c r="F3936">
        <v>223</v>
      </c>
      <c r="G3936">
        <v>650</v>
      </c>
      <c r="H3936">
        <v>141.3133</v>
      </c>
    </row>
    <row r="3937" spans="1:8" x14ac:dyDescent="0.25">
      <c r="A3937">
        <v>19210137</v>
      </c>
      <c r="B3937">
        <v>0</v>
      </c>
      <c r="C3937">
        <v>0</v>
      </c>
      <c r="D3937">
        <v>0</v>
      </c>
      <c r="E3937">
        <v>0</v>
      </c>
      <c r="F3937">
        <v>1</v>
      </c>
      <c r="G3937">
        <v>4</v>
      </c>
      <c r="H3937">
        <v>0</v>
      </c>
    </row>
    <row r="3938" spans="1:8" x14ac:dyDescent="0.25">
      <c r="A3938">
        <v>19210565</v>
      </c>
      <c r="B3938">
        <v>71</v>
      </c>
      <c r="C3938">
        <v>20</v>
      </c>
      <c r="D3938">
        <v>5</v>
      </c>
      <c r="E3938">
        <v>20</v>
      </c>
      <c r="F3938">
        <v>73</v>
      </c>
      <c r="G3938">
        <v>153</v>
      </c>
      <c r="H3938">
        <v>139.12799999999999</v>
      </c>
    </row>
    <row r="3939" spans="1:8" x14ac:dyDescent="0.25">
      <c r="A3939">
        <v>19210569</v>
      </c>
      <c r="B3939">
        <v>292</v>
      </c>
      <c r="C3939">
        <v>90</v>
      </c>
      <c r="D3939">
        <v>20</v>
      </c>
      <c r="E3939">
        <v>76</v>
      </c>
      <c r="F3939">
        <v>326</v>
      </c>
      <c r="G3939">
        <v>647</v>
      </c>
      <c r="H3939">
        <v>24.788</v>
      </c>
    </row>
    <row r="3940" spans="1:8" x14ac:dyDescent="0.25">
      <c r="A3940">
        <v>19210570</v>
      </c>
      <c r="B3940">
        <v>25</v>
      </c>
      <c r="C3940">
        <v>0</v>
      </c>
      <c r="D3940">
        <v>1</v>
      </c>
      <c r="E3940">
        <v>3</v>
      </c>
      <c r="F3940">
        <v>21</v>
      </c>
      <c r="G3940">
        <v>116</v>
      </c>
      <c r="H3940">
        <v>14.99</v>
      </c>
    </row>
    <row r="3941" spans="1:8" x14ac:dyDescent="0.25">
      <c r="A3941">
        <v>19210571</v>
      </c>
      <c r="B3941">
        <v>129</v>
      </c>
      <c r="C3941">
        <v>0</v>
      </c>
      <c r="D3941">
        <v>5</v>
      </c>
      <c r="E3941">
        <v>18</v>
      </c>
      <c r="F3941">
        <v>82</v>
      </c>
      <c r="G3941">
        <v>199</v>
      </c>
      <c r="H3941">
        <v>9.7919999999999998</v>
      </c>
    </row>
    <row r="3942" spans="1:8" x14ac:dyDescent="0.25">
      <c r="A3942">
        <v>19210572</v>
      </c>
      <c r="B3942">
        <v>21</v>
      </c>
      <c r="C3942">
        <v>2</v>
      </c>
      <c r="D3942">
        <v>1</v>
      </c>
      <c r="E3942">
        <v>4</v>
      </c>
      <c r="F3942">
        <v>12</v>
      </c>
      <c r="G3942">
        <v>23</v>
      </c>
      <c r="H3942">
        <v>149.99</v>
      </c>
    </row>
    <row r="3943" spans="1:8" x14ac:dyDescent="0.25">
      <c r="A3943">
        <v>19210955</v>
      </c>
      <c r="B3943">
        <v>11</v>
      </c>
      <c r="C3943">
        <v>0</v>
      </c>
      <c r="D3943">
        <v>0</v>
      </c>
      <c r="E3943">
        <v>2</v>
      </c>
      <c r="F3943">
        <v>6</v>
      </c>
      <c r="G3943">
        <v>115</v>
      </c>
      <c r="H3943">
        <v>0</v>
      </c>
    </row>
    <row r="3944" spans="1:8" x14ac:dyDescent="0.25">
      <c r="A3944">
        <v>19210956</v>
      </c>
      <c r="B3944">
        <v>18</v>
      </c>
      <c r="C3944">
        <v>0</v>
      </c>
      <c r="D3944">
        <v>0</v>
      </c>
      <c r="E3944">
        <v>2</v>
      </c>
      <c r="F3944">
        <v>9</v>
      </c>
      <c r="G3944">
        <v>95</v>
      </c>
      <c r="H3944">
        <v>0</v>
      </c>
    </row>
    <row r="3945" spans="1:8" x14ac:dyDescent="0.25">
      <c r="A3945">
        <v>19210958</v>
      </c>
      <c r="B3945">
        <v>37</v>
      </c>
      <c r="C3945">
        <v>0</v>
      </c>
      <c r="D3945">
        <v>-1</v>
      </c>
      <c r="E3945">
        <v>0</v>
      </c>
      <c r="F3945">
        <v>8</v>
      </c>
      <c r="G3945">
        <v>49</v>
      </c>
      <c r="H3945">
        <v>3</v>
      </c>
    </row>
    <row r="3946" spans="1:8" x14ac:dyDescent="0.25">
      <c r="A3946">
        <v>19211023</v>
      </c>
      <c r="B3946">
        <v>27</v>
      </c>
      <c r="C3946">
        <v>0</v>
      </c>
      <c r="D3946">
        <v>0</v>
      </c>
      <c r="E3946">
        <v>0</v>
      </c>
      <c r="F3946">
        <v>4</v>
      </c>
      <c r="G3946">
        <v>31</v>
      </c>
      <c r="H3946">
        <v>0</v>
      </c>
    </row>
    <row r="3947" spans="1:8" x14ac:dyDescent="0.25">
      <c r="A3947">
        <v>19211024</v>
      </c>
      <c r="B3947">
        <v>41</v>
      </c>
      <c r="C3947">
        <v>0</v>
      </c>
      <c r="D3947">
        <v>0</v>
      </c>
      <c r="E3947">
        <v>2</v>
      </c>
      <c r="F3947">
        <v>8</v>
      </c>
      <c r="G3947">
        <v>28</v>
      </c>
      <c r="H3947">
        <v>0</v>
      </c>
    </row>
    <row r="3948" spans="1:8" x14ac:dyDescent="0.25">
      <c r="A3948">
        <v>19211025</v>
      </c>
      <c r="B3948">
        <v>53</v>
      </c>
      <c r="C3948">
        <v>0</v>
      </c>
      <c r="D3948">
        <v>1</v>
      </c>
      <c r="E3948">
        <v>3</v>
      </c>
      <c r="F3948">
        <v>18</v>
      </c>
      <c r="G3948">
        <v>56</v>
      </c>
      <c r="H3948">
        <v>799.97</v>
      </c>
    </row>
    <row r="3949" spans="1:8" x14ac:dyDescent="0.25">
      <c r="A3949">
        <v>19211026</v>
      </c>
      <c r="B3949">
        <v>64</v>
      </c>
      <c r="C3949">
        <v>0</v>
      </c>
      <c r="D3949">
        <v>0</v>
      </c>
      <c r="E3949">
        <v>12</v>
      </c>
      <c r="F3949">
        <v>24</v>
      </c>
      <c r="G3949">
        <v>78</v>
      </c>
      <c r="H3949">
        <v>0</v>
      </c>
    </row>
    <row r="3950" spans="1:8" x14ac:dyDescent="0.25">
      <c r="A3950">
        <v>19211027</v>
      </c>
      <c r="B3950">
        <v>68</v>
      </c>
      <c r="C3950">
        <v>0</v>
      </c>
      <c r="D3950">
        <v>2</v>
      </c>
      <c r="E3950">
        <v>6</v>
      </c>
      <c r="F3950">
        <v>13</v>
      </c>
      <c r="G3950">
        <v>48</v>
      </c>
      <c r="H3950">
        <v>794.99</v>
      </c>
    </row>
    <row r="3951" spans="1:8" x14ac:dyDescent="0.25">
      <c r="A3951">
        <v>19211028</v>
      </c>
      <c r="B3951">
        <v>78</v>
      </c>
      <c r="C3951">
        <v>0</v>
      </c>
      <c r="D3951">
        <v>2</v>
      </c>
      <c r="E3951">
        <v>15</v>
      </c>
      <c r="F3951">
        <v>50</v>
      </c>
      <c r="G3951">
        <v>140</v>
      </c>
      <c r="H3951">
        <v>659.99</v>
      </c>
    </row>
    <row r="3952" spans="1:8" x14ac:dyDescent="0.25">
      <c r="A3952">
        <v>19211029</v>
      </c>
      <c r="B3952">
        <v>55</v>
      </c>
      <c r="C3952">
        <v>0</v>
      </c>
      <c r="D3952">
        <v>3</v>
      </c>
      <c r="E3952">
        <v>17</v>
      </c>
      <c r="F3952">
        <v>47</v>
      </c>
      <c r="G3952">
        <v>137</v>
      </c>
      <c r="H3952">
        <v>564.99</v>
      </c>
    </row>
    <row r="3953" spans="1:8" x14ac:dyDescent="0.25">
      <c r="A3953">
        <v>19211031</v>
      </c>
      <c r="B3953">
        <v>76</v>
      </c>
      <c r="C3953">
        <v>0</v>
      </c>
      <c r="D3953">
        <v>7</v>
      </c>
      <c r="E3953">
        <v>24</v>
      </c>
      <c r="F3953">
        <v>80</v>
      </c>
      <c r="G3953">
        <v>195</v>
      </c>
      <c r="H3953">
        <v>375.06139999999999</v>
      </c>
    </row>
    <row r="3954" spans="1:8" x14ac:dyDescent="0.25">
      <c r="A3954">
        <v>19211921</v>
      </c>
      <c r="B3954">
        <v>141</v>
      </c>
      <c r="C3954">
        <v>36</v>
      </c>
      <c r="D3954">
        <v>4</v>
      </c>
      <c r="E3954">
        <v>50</v>
      </c>
      <c r="F3954">
        <v>131</v>
      </c>
      <c r="G3954">
        <v>340</v>
      </c>
      <c r="H3954">
        <v>109.16249999999999</v>
      </c>
    </row>
    <row r="3955" spans="1:8" x14ac:dyDescent="0.25">
      <c r="A3955">
        <v>19212285</v>
      </c>
      <c r="B3955">
        <v>0</v>
      </c>
      <c r="C3955">
        <v>0</v>
      </c>
      <c r="D3955">
        <v>0</v>
      </c>
      <c r="E3955">
        <v>0</v>
      </c>
      <c r="F3955">
        <v>3</v>
      </c>
      <c r="G3955">
        <v>3</v>
      </c>
      <c r="H3955">
        <v>0</v>
      </c>
    </row>
    <row r="3956" spans="1:8" x14ac:dyDescent="0.25">
      <c r="A3956">
        <v>19212287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1</v>
      </c>
      <c r="H3956">
        <v>0</v>
      </c>
    </row>
    <row r="3957" spans="1:8" x14ac:dyDescent="0.25">
      <c r="A3957">
        <v>19212289</v>
      </c>
      <c r="B3957">
        <v>1</v>
      </c>
      <c r="C3957">
        <v>0</v>
      </c>
      <c r="D3957">
        <v>0</v>
      </c>
      <c r="E3957">
        <v>0</v>
      </c>
      <c r="F3957">
        <v>1</v>
      </c>
      <c r="G3957">
        <v>7</v>
      </c>
      <c r="H3957">
        <v>0</v>
      </c>
    </row>
    <row r="3958" spans="1:8" x14ac:dyDescent="0.25">
      <c r="A3958">
        <v>19212292</v>
      </c>
      <c r="B3958">
        <v>3</v>
      </c>
      <c r="C3958">
        <v>0</v>
      </c>
      <c r="D3958">
        <v>1</v>
      </c>
      <c r="E3958">
        <v>2</v>
      </c>
      <c r="F3958">
        <v>2</v>
      </c>
      <c r="G3958">
        <v>4</v>
      </c>
      <c r="H3958">
        <v>629.99</v>
      </c>
    </row>
    <row r="3959" spans="1:8" x14ac:dyDescent="0.25">
      <c r="A3959">
        <v>19212293</v>
      </c>
      <c r="B3959">
        <v>1</v>
      </c>
      <c r="C3959">
        <v>0</v>
      </c>
      <c r="D3959">
        <v>0</v>
      </c>
      <c r="E3959">
        <v>0</v>
      </c>
      <c r="F3959">
        <v>1</v>
      </c>
      <c r="G3959">
        <v>2</v>
      </c>
      <c r="H3959">
        <v>0</v>
      </c>
    </row>
    <row r="3960" spans="1:8" x14ac:dyDescent="0.25">
      <c r="A3960">
        <v>19212565</v>
      </c>
      <c r="B3960">
        <v>1</v>
      </c>
      <c r="C3960">
        <v>0</v>
      </c>
      <c r="D3960">
        <v>0</v>
      </c>
      <c r="E3960">
        <v>0</v>
      </c>
      <c r="F3960">
        <v>0</v>
      </c>
      <c r="G3960">
        <v>0</v>
      </c>
      <c r="H3960">
        <v>0</v>
      </c>
    </row>
    <row r="3961" spans="1:8" x14ac:dyDescent="0.25">
      <c r="A3961">
        <v>19213592</v>
      </c>
      <c r="B3961">
        <v>186</v>
      </c>
      <c r="C3961">
        <v>66</v>
      </c>
      <c r="D3961">
        <v>39</v>
      </c>
      <c r="E3961">
        <v>84</v>
      </c>
      <c r="F3961">
        <v>210</v>
      </c>
      <c r="G3961">
        <v>527</v>
      </c>
      <c r="H3961">
        <v>227.89259999999999</v>
      </c>
    </row>
    <row r="3962" spans="1:8" x14ac:dyDescent="0.25">
      <c r="A3962">
        <v>19214531</v>
      </c>
      <c r="B3962">
        <v>312</v>
      </c>
      <c r="C3962">
        <v>0</v>
      </c>
      <c r="D3962">
        <v>15</v>
      </c>
      <c r="E3962">
        <v>47</v>
      </c>
      <c r="F3962">
        <v>222</v>
      </c>
      <c r="G3962">
        <v>506</v>
      </c>
      <c r="H3962">
        <v>997.01400000000001</v>
      </c>
    </row>
    <row r="3963" spans="1:8" x14ac:dyDescent="0.25">
      <c r="A3963">
        <v>19219911</v>
      </c>
      <c r="B3963">
        <v>268</v>
      </c>
      <c r="C3963">
        <v>0</v>
      </c>
      <c r="D3963">
        <v>20</v>
      </c>
      <c r="E3963">
        <v>84</v>
      </c>
      <c r="F3963">
        <v>290</v>
      </c>
      <c r="G3963">
        <v>1288</v>
      </c>
      <c r="H3963">
        <v>341.81900000000002</v>
      </c>
    </row>
    <row r="3964" spans="1:8" x14ac:dyDescent="0.25">
      <c r="A3964">
        <v>19224373</v>
      </c>
      <c r="B3964">
        <v>36</v>
      </c>
      <c r="C3964">
        <v>0</v>
      </c>
      <c r="D3964">
        <v>1</v>
      </c>
      <c r="E3964">
        <v>4</v>
      </c>
      <c r="F3964">
        <v>19</v>
      </c>
      <c r="G3964">
        <v>196</v>
      </c>
      <c r="H3964">
        <v>429.99</v>
      </c>
    </row>
    <row r="3965" spans="1:8" x14ac:dyDescent="0.25">
      <c r="A3965">
        <v>19225463</v>
      </c>
      <c r="B3965">
        <v>291</v>
      </c>
      <c r="C3965">
        <v>257</v>
      </c>
      <c r="D3965">
        <v>65</v>
      </c>
      <c r="E3965">
        <v>201</v>
      </c>
      <c r="F3965">
        <v>745</v>
      </c>
      <c r="G3965">
        <v>1435</v>
      </c>
      <c r="H3965">
        <v>9.6820000000000004</v>
      </c>
    </row>
    <row r="3966" spans="1:8" x14ac:dyDescent="0.25">
      <c r="A3966">
        <v>19228806</v>
      </c>
      <c r="B3966">
        <v>51</v>
      </c>
      <c r="C3966">
        <v>6</v>
      </c>
      <c r="D3966">
        <v>0</v>
      </c>
      <c r="E3966">
        <v>0</v>
      </c>
      <c r="F3966">
        <v>46</v>
      </c>
      <c r="G3966">
        <v>143</v>
      </c>
      <c r="H3966">
        <v>0</v>
      </c>
    </row>
    <row r="3967" spans="1:8" x14ac:dyDescent="0.25">
      <c r="A3967">
        <v>19228807</v>
      </c>
      <c r="B3967">
        <v>102</v>
      </c>
      <c r="C3967">
        <v>0</v>
      </c>
      <c r="D3967">
        <v>6</v>
      </c>
      <c r="E3967">
        <v>35</v>
      </c>
      <c r="F3967">
        <v>172</v>
      </c>
      <c r="G3967">
        <v>431</v>
      </c>
      <c r="H3967">
        <v>1091.42</v>
      </c>
    </row>
    <row r="3968" spans="1:8" x14ac:dyDescent="0.25">
      <c r="A3968">
        <v>19228808</v>
      </c>
      <c r="B3968">
        <v>57</v>
      </c>
      <c r="C3968">
        <v>0</v>
      </c>
      <c r="D3968">
        <v>3</v>
      </c>
      <c r="E3968">
        <v>17</v>
      </c>
      <c r="F3968">
        <v>106</v>
      </c>
      <c r="G3968">
        <v>255</v>
      </c>
      <c r="H3968">
        <v>996.97</v>
      </c>
    </row>
    <row r="3969" spans="1:8" x14ac:dyDescent="0.25">
      <c r="A3969">
        <v>19228809</v>
      </c>
      <c r="B3969">
        <v>40</v>
      </c>
      <c r="C3969">
        <v>1</v>
      </c>
      <c r="D3969">
        <v>13</v>
      </c>
      <c r="E3969">
        <v>30</v>
      </c>
      <c r="F3969">
        <v>125</v>
      </c>
      <c r="G3969">
        <v>339</v>
      </c>
      <c r="H3969">
        <v>1455.2130999999999</v>
      </c>
    </row>
    <row r="3970" spans="1:8" x14ac:dyDescent="0.25">
      <c r="A3970">
        <v>19228810</v>
      </c>
      <c r="B3970">
        <v>32</v>
      </c>
      <c r="C3970">
        <v>0</v>
      </c>
      <c r="D3970">
        <v>3</v>
      </c>
      <c r="E3970">
        <v>18</v>
      </c>
      <c r="F3970">
        <v>63</v>
      </c>
      <c r="G3970">
        <v>117</v>
      </c>
      <c r="H3970">
        <v>1690.6567</v>
      </c>
    </row>
    <row r="3971" spans="1:8" x14ac:dyDescent="0.25">
      <c r="A3971">
        <v>19228811</v>
      </c>
      <c r="B3971">
        <v>38</v>
      </c>
      <c r="C3971">
        <v>0</v>
      </c>
      <c r="D3971">
        <v>3</v>
      </c>
      <c r="E3971">
        <v>11</v>
      </c>
      <c r="F3971">
        <v>67</v>
      </c>
      <c r="G3971">
        <v>210</v>
      </c>
      <c r="H3971">
        <v>1836.6567</v>
      </c>
    </row>
    <row r="3972" spans="1:8" x14ac:dyDescent="0.25">
      <c r="A3972">
        <v>19304112</v>
      </c>
      <c r="B3972">
        <v>67</v>
      </c>
      <c r="C3972">
        <v>30</v>
      </c>
      <c r="D3972">
        <v>18</v>
      </c>
      <c r="E3972">
        <v>69</v>
      </c>
      <c r="F3972">
        <v>213</v>
      </c>
      <c r="G3972">
        <v>470</v>
      </c>
      <c r="H3972">
        <v>248.40110000000001</v>
      </c>
    </row>
    <row r="3973" spans="1:8" x14ac:dyDescent="0.25">
      <c r="A3973">
        <v>19304525</v>
      </c>
      <c r="B3973">
        <v>58</v>
      </c>
      <c r="C3973">
        <v>0</v>
      </c>
      <c r="D3973">
        <v>0</v>
      </c>
      <c r="E3973">
        <v>0</v>
      </c>
      <c r="F3973">
        <v>1</v>
      </c>
      <c r="G3973">
        <v>7</v>
      </c>
      <c r="H3973">
        <v>0</v>
      </c>
    </row>
    <row r="3974" spans="1:8" x14ac:dyDescent="0.25">
      <c r="A3974">
        <v>19304526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11</v>
      </c>
      <c r="H3974">
        <v>0</v>
      </c>
    </row>
    <row r="3975" spans="1:8" x14ac:dyDescent="0.25">
      <c r="A3975">
        <v>19304527</v>
      </c>
      <c r="B3975">
        <v>40</v>
      </c>
      <c r="C3975">
        <v>0</v>
      </c>
      <c r="D3975">
        <v>1</v>
      </c>
      <c r="E3975">
        <v>2</v>
      </c>
      <c r="F3975">
        <v>9</v>
      </c>
      <c r="G3975">
        <v>37</v>
      </c>
      <c r="H3975">
        <v>22.69</v>
      </c>
    </row>
    <row r="3976" spans="1:8" x14ac:dyDescent="0.25">
      <c r="A3976">
        <v>19305008</v>
      </c>
      <c r="B3976">
        <v>1419</v>
      </c>
      <c r="C3976">
        <v>0</v>
      </c>
      <c r="D3976">
        <v>50</v>
      </c>
      <c r="E3976">
        <v>207</v>
      </c>
      <c r="F3976">
        <v>800</v>
      </c>
      <c r="G3976">
        <v>1696</v>
      </c>
      <c r="H3976">
        <v>53.634799999999998</v>
      </c>
    </row>
    <row r="3977" spans="1:8" x14ac:dyDescent="0.25">
      <c r="A3977">
        <v>19305009</v>
      </c>
      <c r="B3977">
        <v>518</v>
      </c>
      <c r="C3977">
        <v>360</v>
      </c>
      <c r="D3977">
        <v>42</v>
      </c>
      <c r="E3977">
        <v>203</v>
      </c>
      <c r="F3977">
        <v>677</v>
      </c>
      <c r="G3977">
        <v>1186</v>
      </c>
      <c r="H3977">
        <v>24.401399999999999</v>
      </c>
    </row>
    <row r="3978" spans="1:8" x14ac:dyDescent="0.25">
      <c r="A3978">
        <v>19305010</v>
      </c>
      <c r="B3978">
        <v>185</v>
      </c>
      <c r="C3978">
        <v>60</v>
      </c>
      <c r="D3978">
        <v>6</v>
      </c>
      <c r="E3978">
        <v>67</v>
      </c>
      <c r="F3978">
        <v>248</v>
      </c>
      <c r="G3978">
        <v>471</v>
      </c>
      <c r="H3978">
        <v>35.918300000000002</v>
      </c>
    </row>
    <row r="3979" spans="1:8" x14ac:dyDescent="0.25">
      <c r="A3979">
        <v>19305012</v>
      </c>
      <c r="B3979">
        <v>378</v>
      </c>
      <c r="C3979">
        <v>0</v>
      </c>
      <c r="D3979">
        <v>7</v>
      </c>
      <c r="E3979">
        <v>37</v>
      </c>
      <c r="F3979">
        <v>125</v>
      </c>
      <c r="G3979">
        <v>281</v>
      </c>
      <c r="H3979">
        <v>21.375699999999998</v>
      </c>
    </row>
    <row r="3980" spans="1:8" x14ac:dyDescent="0.25">
      <c r="A3980">
        <v>19305013</v>
      </c>
      <c r="B3980">
        <v>585</v>
      </c>
      <c r="C3980">
        <v>30</v>
      </c>
      <c r="D3980">
        <v>15</v>
      </c>
      <c r="E3980">
        <v>64</v>
      </c>
      <c r="F3980">
        <v>239</v>
      </c>
      <c r="G3980">
        <v>520</v>
      </c>
      <c r="H3980">
        <v>29.3993</v>
      </c>
    </row>
    <row r="3981" spans="1:8" x14ac:dyDescent="0.25">
      <c r="A3981">
        <v>19305014</v>
      </c>
      <c r="B3981">
        <v>501</v>
      </c>
      <c r="C3981">
        <v>40</v>
      </c>
      <c r="D3981">
        <v>28</v>
      </c>
      <c r="E3981">
        <v>100</v>
      </c>
      <c r="F3981">
        <v>335</v>
      </c>
      <c r="G3981">
        <v>724</v>
      </c>
      <c r="H3981">
        <v>22.5746</v>
      </c>
    </row>
    <row r="3982" spans="1:8" x14ac:dyDescent="0.25">
      <c r="A3982">
        <v>19305015</v>
      </c>
      <c r="B3982">
        <v>319</v>
      </c>
      <c r="C3982">
        <v>40</v>
      </c>
      <c r="D3982">
        <v>8</v>
      </c>
      <c r="E3982">
        <v>34</v>
      </c>
      <c r="F3982">
        <v>154</v>
      </c>
      <c r="G3982">
        <v>325</v>
      </c>
      <c r="H3982">
        <v>32.99</v>
      </c>
    </row>
    <row r="3983" spans="1:8" x14ac:dyDescent="0.25">
      <c r="A3983">
        <v>19305016</v>
      </c>
      <c r="B3983">
        <v>16944</v>
      </c>
      <c r="C3983">
        <v>0</v>
      </c>
      <c r="D3983">
        <v>118</v>
      </c>
      <c r="E3983">
        <v>532</v>
      </c>
      <c r="F3983">
        <v>1662</v>
      </c>
      <c r="G3983">
        <v>3059</v>
      </c>
      <c r="H3983">
        <v>6.9032</v>
      </c>
    </row>
    <row r="3984" spans="1:8" x14ac:dyDescent="0.25">
      <c r="A3984">
        <v>19305017</v>
      </c>
      <c r="B3984">
        <v>12720</v>
      </c>
      <c r="C3984">
        <v>0</v>
      </c>
      <c r="D3984">
        <v>298</v>
      </c>
      <c r="E3984">
        <v>1061</v>
      </c>
      <c r="F3984">
        <v>3535</v>
      </c>
      <c r="G3984">
        <v>6415</v>
      </c>
      <c r="H3984">
        <v>6.6692</v>
      </c>
    </row>
    <row r="3985" spans="1:8" x14ac:dyDescent="0.25">
      <c r="A3985">
        <v>19305018</v>
      </c>
      <c r="B3985">
        <v>6588</v>
      </c>
      <c r="C3985">
        <v>0</v>
      </c>
      <c r="D3985">
        <v>120</v>
      </c>
      <c r="E3985">
        <v>409</v>
      </c>
      <c r="F3985">
        <v>1472</v>
      </c>
      <c r="G3985">
        <v>2833</v>
      </c>
      <c r="H3985">
        <v>14.4687</v>
      </c>
    </row>
    <row r="3986" spans="1:8" x14ac:dyDescent="0.25">
      <c r="A3986">
        <v>19305019</v>
      </c>
      <c r="B3986">
        <v>977</v>
      </c>
      <c r="C3986">
        <v>80</v>
      </c>
      <c r="D3986">
        <v>39</v>
      </c>
      <c r="E3986">
        <v>165</v>
      </c>
      <c r="F3986">
        <v>529</v>
      </c>
      <c r="G3986">
        <v>955</v>
      </c>
      <c r="H3986">
        <v>14.4459</v>
      </c>
    </row>
    <row r="3987" spans="1:8" x14ac:dyDescent="0.25">
      <c r="A3987">
        <v>19305020</v>
      </c>
      <c r="B3987">
        <v>1268</v>
      </c>
      <c r="C3987">
        <v>80</v>
      </c>
      <c r="D3987">
        <v>35</v>
      </c>
      <c r="E3987">
        <v>127</v>
      </c>
      <c r="F3987">
        <v>486</v>
      </c>
      <c r="G3987">
        <v>1007</v>
      </c>
      <c r="H3987">
        <v>9.7637</v>
      </c>
    </row>
    <row r="3988" spans="1:8" x14ac:dyDescent="0.25">
      <c r="A3988">
        <v>19305021</v>
      </c>
      <c r="B3988">
        <v>1056</v>
      </c>
      <c r="C3988">
        <v>160</v>
      </c>
      <c r="D3988">
        <v>41</v>
      </c>
      <c r="E3988">
        <v>186</v>
      </c>
      <c r="F3988">
        <v>673</v>
      </c>
      <c r="G3988">
        <v>1385</v>
      </c>
      <c r="H3988">
        <v>9.3854000000000006</v>
      </c>
    </row>
    <row r="3989" spans="1:8" x14ac:dyDescent="0.25">
      <c r="A3989">
        <v>19305022</v>
      </c>
      <c r="B3989">
        <v>527</v>
      </c>
      <c r="C3989">
        <v>0</v>
      </c>
      <c r="D3989">
        <v>19</v>
      </c>
      <c r="E3989">
        <v>50</v>
      </c>
      <c r="F3989">
        <v>202</v>
      </c>
      <c r="G3989">
        <v>528</v>
      </c>
      <c r="H3989">
        <v>9.9446999999999992</v>
      </c>
    </row>
    <row r="3990" spans="1:8" x14ac:dyDescent="0.25">
      <c r="A3990">
        <v>19309368</v>
      </c>
      <c r="B3990">
        <v>81</v>
      </c>
      <c r="C3990">
        <v>0</v>
      </c>
      <c r="D3990">
        <v>7</v>
      </c>
      <c r="E3990">
        <v>22</v>
      </c>
      <c r="F3990">
        <v>266</v>
      </c>
      <c r="G3990">
        <v>691</v>
      </c>
      <c r="H3990">
        <v>586.18859999999995</v>
      </c>
    </row>
    <row r="3991" spans="1:8" x14ac:dyDescent="0.25">
      <c r="A3991">
        <v>19309376</v>
      </c>
      <c r="B3991">
        <v>12</v>
      </c>
      <c r="C3991">
        <v>0</v>
      </c>
      <c r="D3991">
        <v>0</v>
      </c>
      <c r="E3991">
        <v>1</v>
      </c>
      <c r="F3991">
        <v>13</v>
      </c>
      <c r="G3991">
        <v>45</v>
      </c>
      <c r="H3991">
        <v>0</v>
      </c>
    </row>
    <row r="3992" spans="1:8" x14ac:dyDescent="0.25">
      <c r="A3992">
        <v>19309377</v>
      </c>
      <c r="B3992">
        <v>0</v>
      </c>
      <c r="C3992">
        <v>0</v>
      </c>
      <c r="D3992">
        <v>0</v>
      </c>
      <c r="E3992">
        <v>0</v>
      </c>
      <c r="F3992">
        <v>1</v>
      </c>
      <c r="G3992">
        <v>3</v>
      </c>
      <c r="H3992">
        <v>0</v>
      </c>
    </row>
    <row r="3993" spans="1:8" x14ac:dyDescent="0.25">
      <c r="A3993">
        <v>19309380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1</v>
      </c>
      <c r="H3993">
        <v>0</v>
      </c>
    </row>
    <row r="3994" spans="1:8" x14ac:dyDescent="0.25">
      <c r="A3994">
        <v>19318856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4</v>
      </c>
      <c r="H3994">
        <v>0</v>
      </c>
    </row>
    <row r="3995" spans="1:8" x14ac:dyDescent="0.25">
      <c r="A3995">
        <v>19319067</v>
      </c>
      <c r="B3995">
        <v>522</v>
      </c>
      <c r="C3995">
        <v>72</v>
      </c>
      <c r="D3995">
        <v>18</v>
      </c>
      <c r="E3995">
        <v>97</v>
      </c>
      <c r="F3995">
        <v>309</v>
      </c>
      <c r="G3995">
        <v>519</v>
      </c>
      <c r="H3995">
        <v>12.95</v>
      </c>
    </row>
    <row r="3996" spans="1:8" x14ac:dyDescent="0.25">
      <c r="A3996">
        <v>19320378</v>
      </c>
      <c r="B3996">
        <v>14</v>
      </c>
      <c r="C3996">
        <v>0</v>
      </c>
      <c r="D3996">
        <v>3</v>
      </c>
      <c r="E3996">
        <v>9</v>
      </c>
      <c r="F3996">
        <v>28</v>
      </c>
      <c r="G3996">
        <v>49</v>
      </c>
      <c r="H3996">
        <v>348.30329999999998</v>
      </c>
    </row>
    <row r="3997" spans="1:8" x14ac:dyDescent="0.25">
      <c r="A3997">
        <v>19320888</v>
      </c>
      <c r="B3997">
        <v>281</v>
      </c>
      <c r="C3997">
        <v>528</v>
      </c>
      <c r="D3997">
        <v>27</v>
      </c>
      <c r="E3997">
        <v>118</v>
      </c>
      <c r="F3997">
        <v>878</v>
      </c>
      <c r="G3997">
        <v>1825</v>
      </c>
      <c r="H3997">
        <v>28.827400000000001</v>
      </c>
    </row>
    <row r="3998" spans="1:8" x14ac:dyDescent="0.25">
      <c r="A3998">
        <v>19324555</v>
      </c>
      <c r="B3998">
        <v>4</v>
      </c>
      <c r="C3998">
        <v>0</v>
      </c>
      <c r="D3998">
        <v>0</v>
      </c>
      <c r="E3998">
        <v>0</v>
      </c>
      <c r="F3998">
        <v>0</v>
      </c>
      <c r="G3998">
        <v>18</v>
      </c>
      <c r="H3998">
        <v>0</v>
      </c>
    </row>
    <row r="3999" spans="1:8" x14ac:dyDescent="0.25">
      <c r="A3999">
        <v>19324556</v>
      </c>
      <c r="B3999">
        <v>3</v>
      </c>
      <c r="C3999">
        <v>0</v>
      </c>
      <c r="D3999">
        <v>1</v>
      </c>
      <c r="E3999">
        <v>4</v>
      </c>
      <c r="F3999">
        <v>5</v>
      </c>
      <c r="G3999">
        <v>39</v>
      </c>
      <c r="H3999">
        <v>329</v>
      </c>
    </row>
    <row r="4000" spans="1:8" x14ac:dyDescent="0.25">
      <c r="A4000">
        <v>19324557</v>
      </c>
      <c r="B4000">
        <v>10</v>
      </c>
      <c r="C4000">
        <v>0</v>
      </c>
      <c r="D4000">
        <v>1</v>
      </c>
      <c r="E4000">
        <v>1</v>
      </c>
      <c r="F4000">
        <v>6</v>
      </c>
      <c r="G4000">
        <v>48</v>
      </c>
      <c r="H4000">
        <v>329</v>
      </c>
    </row>
    <row r="4001" spans="1:8" x14ac:dyDescent="0.25">
      <c r="A4001">
        <v>19324558</v>
      </c>
      <c r="B4001">
        <v>2</v>
      </c>
      <c r="C4001">
        <v>0</v>
      </c>
      <c r="D4001">
        <v>0</v>
      </c>
      <c r="E4001">
        <v>-1</v>
      </c>
      <c r="F4001">
        <v>1</v>
      </c>
      <c r="G4001">
        <v>20</v>
      </c>
      <c r="H4001">
        <v>0</v>
      </c>
    </row>
    <row r="4002" spans="1:8" x14ac:dyDescent="0.25">
      <c r="A4002">
        <v>19324559</v>
      </c>
      <c r="B4002">
        <v>5</v>
      </c>
      <c r="C4002">
        <v>0</v>
      </c>
      <c r="D4002">
        <v>0</v>
      </c>
      <c r="E4002">
        <v>0</v>
      </c>
      <c r="F4002">
        <v>0</v>
      </c>
      <c r="G4002">
        <v>20</v>
      </c>
      <c r="H4002">
        <v>0</v>
      </c>
    </row>
    <row r="4003" spans="1:8" x14ac:dyDescent="0.25">
      <c r="A4003">
        <v>19324560</v>
      </c>
      <c r="B4003">
        <v>1</v>
      </c>
      <c r="C4003">
        <v>0</v>
      </c>
      <c r="D4003">
        <v>1</v>
      </c>
      <c r="E4003">
        <v>0</v>
      </c>
      <c r="F4003">
        <v>3</v>
      </c>
      <c r="G4003">
        <v>21</v>
      </c>
      <c r="H4003">
        <v>329</v>
      </c>
    </row>
    <row r="4004" spans="1:8" x14ac:dyDescent="0.25">
      <c r="A4004">
        <v>19324561</v>
      </c>
      <c r="B4004">
        <v>2</v>
      </c>
      <c r="C4004">
        <v>0</v>
      </c>
      <c r="D4004">
        <v>0</v>
      </c>
      <c r="E4004">
        <v>0</v>
      </c>
      <c r="F4004">
        <v>0</v>
      </c>
      <c r="G4004">
        <v>11</v>
      </c>
      <c r="H4004">
        <v>0</v>
      </c>
    </row>
    <row r="4005" spans="1:8" x14ac:dyDescent="0.25">
      <c r="A4005">
        <v>19324562</v>
      </c>
      <c r="B4005">
        <v>5</v>
      </c>
      <c r="C4005">
        <v>0</v>
      </c>
      <c r="D4005">
        <v>0</v>
      </c>
      <c r="E4005">
        <v>0</v>
      </c>
      <c r="F4005">
        <v>2</v>
      </c>
      <c r="G4005">
        <v>10</v>
      </c>
      <c r="H4005">
        <v>0</v>
      </c>
    </row>
    <row r="4006" spans="1:8" x14ac:dyDescent="0.25">
      <c r="A4006">
        <v>19324563</v>
      </c>
      <c r="B4006">
        <v>3</v>
      </c>
      <c r="C4006">
        <v>0</v>
      </c>
      <c r="D4006">
        <v>0</v>
      </c>
      <c r="E4006">
        <v>0</v>
      </c>
      <c r="F4006">
        <v>0</v>
      </c>
      <c r="G4006">
        <v>15</v>
      </c>
      <c r="H4006">
        <v>0</v>
      </c>
    </row>
    <row r="4007" spans="1:8" x14ac:dyDescent="0.25">
      <c r="A4007">
        <v>19324564</v>
      </c>
      <c r="B4007">
        <v>1</v>
      </c>
      <c r="C4007">
        <v>0</v>
      </c>
      <c r="D4007">
        <v>0</v>
      </c>
      <c r="E4007">
        <v>0</v>
      </c>
      <c r="F4007">
        <v>0</v>
      </c>
      <c r="G4007">
        <v>4</v>
      </c>
      <c r="H4007">
        <v>0</v>
      </c>
    </row>
    <row r="4008" spans="1:8" x14ac:dyDescent="0.25">
      <c r="A4008">
        <v>19324565</v>
      </c>
      <c r="B4008">
        <v>0</v>
      </c>
      <c r="C4008">
        <v>0</v>
      </c>
      <c r="D4008">
        <v>0</v>
      </c>
      <c r="E4008">
        <v>0</v>
      </c>
      <c r="F4008">
        <v>4</v>
      </c>
      <c r="G4008">
        <v>26</v>
      </c>
      <c r="H4008">
        <v>0</v>
      </c>
    </row>
    <row r="4009" spans="1:8" x14ac:dyDescent="0.25">
      <c r="A4009">
        <v>19324566</v>
      </c>
      <c r="B4009">
        <v>3</v>
      </c>
      <c r="C4009">
        <v>0</v>
      </c>
      <c r="D4009">
        <v>0</v>
      </c>
      <c r="E4009">
        <v>3</v>
      </c>
      <c r="F4009">
        <v>4</v>
      </c>
      <c r="G4009">
        <v>29</v>
      </c>
      <c r="H4009">
        <v>0</v>
      </c>
    </row>
    <row r="4010" spans="1:8" x14ac:dyDescent="0.25">
      <c r="A4010">
        <v>19324567</v>
      </c>
      <c r="B4010">
        <v>3</v>
      </c>
      <c r="C4010">
        <v>0</v>
      </c>
      <c r="D4010">
        <v>0</v>
      </c>
      <c r="E4010">
        <v>0</v>
      </c>
      <c r="F4010">
        <v>0</v>
      </c>
      <c r="G4010">
        <v>18</v>
      </c>
      <c r="H4010">
        <v>0</v>
      </c>
    </row>
    <row r="4011" spans="1:8" x14ac:dyDescent="0.25">
      <c r="A4011">
        <v>19324568</v>
      </c>
      <c r="B4011">
        <v>4</v>
      </c>
      <c r="C4011">
        <v>0</v>
      </c>
      <c r="D4011">
        <v>0</v>
      </c>
      <c r="E4011">
        <v>1</v>
      </c>
      <c r="F4011">
        <v>5</v>
      </c>
      <c r="G4011">
        <v>28</v>
      </c>
      <c r="H4011">
        <v>0</v>
      </c>
    </row>
    <row r="4012" spans="1:8" x14ac:dyDescent="0.25">
      <c r="A4012">
        <v>19324569</v>
      </c>
      <c r="B4012">
        <v>6</v>
      </c>
      <c r="C4012">
        <v>0</v>
      </c>
      <c r="D4012">
        <v>0</v>
      </c>
      <c r="E4012">
        <v>0</v>
      </c>
      <c r="F4012">
        <v>5</v>
      </c>
      <c r="G4012">
        <v>23</v>
      </c>
      <c r="H4012">
        <v>0</v>
      </c>
    </row>
    <row r="4013" spans="1:8" x14ac:dyDescent="0.25">
      <c r="A4013">
        <v>19324570</v>
      </c>
      <c r="B4013">
        <v>4</v>
      </c>
      <c r="C4013">
        <v>0</v>
      </c>
      <c r="D4013">
        <v>0</v>
      </c>
      <c r="E4013">
        <v>0</v>
      </c>
      <c r="F4013">
        <v>4</v>
      </c>
      <c r="G4013">
        <v>9</v>
      </c>
      <c r="H4013">
        <v>0</v>
      </c>
    </row>
    <row r="4014" spans="1:8" x14ac:dyDescent="0.25">
      <c r="A4014">
        <v>19325473</v>
      </c>
      <c r="B4014">
        <v>21</v>
      </c>
      <c r="C4014">
        <v>0</v>
      </c>
      <c r="D4014">
        <v>4</v>
      </c>
      <c r="E4014">
        <v>6</v>
      </c>
      <c r="F4014">
        <v>62</v>
      </c>
      <c r="G4014">
        <v>146</v>
      </c>
      <c r="H4014">
        <v>2712.915</v>
      </c>
    </row>
    <row r="4015" spans="1:8" x14ac:dyDescent="0.25">
      <c r="A4015">
        <v>19325474</v>
      </c>
      <c r="B4015">
        <v>5</v>
      </c>
      <c r="C4015">
        <v>0</v>
      </c>
      <c r="D4015">
        <v>2</v>
      </c>
      <c r="E4015">
        <v>7</v>
      </c>
      <c r="F4015">
        <v>20</v>
      </c>
      <c r="G4015">
        <v>28</v>
      </c>
      <c r="H4015">
        <v>2239.9949999999999</v>
      </c>
    </row>
    <row r="4016" spans="1:8" x14ac:dyDescent="0.25">
      <c r="A4016">
        <v>19325928</v>
      </c>
      <c r="B4016">
        <v>177</v>
      </c>
      <c r="C4016">
        <v>30</v>
      </c>
      <c r="D4016">
        <v>14</v>
      </c>
      <c r="E4016">
        <v>36</v>
      </c>
      <c r="F4016">
        <v>133</v>
      </c>
      <c r="G4016">
        <v>277</v>
      </c>
      <c r="H4016">
        <v>534.61069999999995</v>
      </c>
    </row>
    <row r="4017" spans="1:8" x14ac:dyDescent="0.25">
      <c r="A4017">
        <v>19325929</v>
      </c>
      <c r="B4017">
        <v>57</v>
      </c>
      <c r="C4017">
        <v>24</v>
      </c>
      <c r="D4017">
        <v>4</v>
      </c>
      <c r="E4017">
        <v>14</v>
      </c>
      <c r="F4017">
        <v>39</v>
      </c>
      <c r="G4017">
        <v>104</v>
      </c>
      <c r="H4017">
        <v>42.752499999999998</v>
      </c>
    </row>
    <row r="4018" spans="1:8" x14ac:dyDescent="0.25">
      <c r="A4018">
        <v>19325930</v>
      </c>
      <c r="B4018">
        <v>80</v>
      </c>
      <c r="C4018">
        <v>0</v>
      </c>
      <c r="D4018">
        <v>4</v>
      </c>
      <c r="E4018">
        <v>7</v>
      </c>
      <c r="F4018">
        <v>33</v>
      </c>
      <c r="G4018">
        <v>87</v>
      </c>
      <c r="H4018">
        <v>6.51</v>
      </c>
    </row>
    <row r="4019" spans="1:8" x14ac:dyDescent="0.25">
      <c r="A4019">
        <v>19325931</v>
      </c>
      <c r="B4019">
        <v>80</v>
      </c>
      <c r="C4019">
        <v>0</v>
      </c>
      <c r="D4019">
        <v>3</v>
      </c>
      <c r="E4019">
        <v>13</v>
      </c>
      <c r="F4019">
        <v>41</v>
      </c>
      <c r="G4019">
        <v>96</v>
      </c>
      <c r="H4019">
        <v>32.606699999999996</v>
      </c>
    </row>
    <row r="4020" spans="1:8" x14ac:dyDescent="0.25">
      <c r="A4020">
        <v>19325932</v>
      </c>
      <c r="B4020">
        <v>78</v>
      </c>
      <c r="C4020">
        <v>0</v>
      </c>
      <c r="D4020">
        <v>-1</v>
      </c>
      <c r="E4020">
        <v>3</v>
      </c>
      <c r="F4020">
        <v>17</v>
      </c>
      <c r="G4020">
        <v>41</v>
      </c>
      <c r="H4020">
        <v>33.049999999999997</v>
      </c>
    </row>
    <row r="4021" spans="1:8" x14ac:dyDescent="0.25">
      <c r="A4021">
        <v>19325933</v>
      </c>
      <c r="B4021">
        <v>60</v>
      </c>
      <c r="C4021">
        <v>16</v>
      </c>
      <c r="D4021">
        <v>3</v>
      </c>
      <c r="E4021">
        <v>6</v>
      </c>
      <c r="F4021">
        <v>28</v>
      </c>
      <c r="G4021">
        <v>66</v>
      </c>
      <c r="H4021">
        <v>57.99</v>
      </c>
    </row>
    <row r="4022" spans="1:8" x14ac:dyDescent="0.25">
      <c r="A4022">
        <v>19329109</v>
      </c>
      <c r="B4022">
        <v>205</v>
      </c>
      <c r="C4022">
        <v>78</v>
      </c>
      <c r="D4022">
        <v>11</v>
      </c>
      <c r="E4022">
        <v>57</v>
      </c>
      <c r="F4022">
        <v>230</v>
      </c>
      <c r="G4022">
        <v>516</v>
      </c>
      <c r="H4022">
        <v>59.6355</v>
      </c>
    </row>
    <row r="4023" spans="1:8" x14ac:dyDescent="0.25">
      <c r="A4023">
        <v>19329110</v>
      </c>
      <c r="B4023">
        <v>342</v>
      </c>
      <c r="C4023">
        <v>0</v>
      </c>
      <c r="D4023">
        <v>19</v>
      </c>
      <c r="E4023">
        <v>74</v>
      </c>
      <c r="F4023">
        <v>221</v>
      </c>
      <c r="G4023">
        <v>441</v>
      </c>
      <c r="H4023">
        <v>68.099999999999994</v>
      </c>
    </row>
    <row r="4024" spans="1:8" x14ac:dyDescent="0.25">
      <c r="A4024">
        <v>19329111</v>
      </c>
      <c r="B4024">
        <v>724</v>
      </c>
      <c r="C4024">
        <v>126</v>
      </c>
      <c r="D4024">
        <v>47</v>
      </c>
      <c r="E4024">
        <v>203</v>
      </c>
      <c r="F4024">
        <v>619</v>
      </c>
      <c r="G4024">
        <v>1172</v>
      </c>
      <c r="H4024">
        <v>63.747</v>
      </c>
    </row>
    <row r="4025" spans="1:8" x14ac:dyDescent="0.25">
      <c r="A4025">
        <v>19329112</v>
      </c>
      <c r="B4025">
        <v>278</v>
      </c>
      <c r="C4025">
        <v>396</v>
      </c>
      <c r="D4025">
        <v>39</v>
      </c>
      <c r="E4025">
        <v>176</v>
      </c>
      <c r="F4025">
        <v>654</v>
      </c>
      <c r="G4025">
        <v>1862</v>
      </c>
      <c r="H4025">
        <v>62.256900000000002</v>
      </c>
    </row>
    <row r="4026" spans="1:8" x14ac:dyDescent="0.25">
      <c r="A4026">
        <v>19329113</v>
      </c>
      <c r="B4026">
        <v>434</v>
      </c>
      <c r="C4026">
        <v>234</v>
      </c>
      <c r="D4026">
        <v>24</v>
      </c>
      <c r="E4026">
        <v>113</v>
      </c>
      <c r="F4026">
        <v>532</v>
      </c>
      <c r="G4026">
        <v>1173</v>
      </c>
      <c r="H4026">
        <v>69.619600000000005</v>
      </c>
    </row>
    <row r="4027" spans="1:8" x14ac:dyDescent="0.25">
      <c r="A4027">
        <v>19329114</v>
      </c>
      <c r="B4027">
        <v>314</v>
      </c>
      <c r="C4027">
        <v>48</v>
      </c>
      <c r="D4027">
        <v>15</v>
      </c>
      <c r="E4027">
        <v>78</v>
      </c>
      <c r="F4027">
        <v>288</v>
      </c>
      <c r="G4027">
        <v>588</v>
      </c>
      <c r="H4027">
        <v>65.511300000000006</v>
      </c>
    </row>
    <row r="4028" spans="1:8" x14ac:dyDescent="0.25">
      <c r="A4028">
        <v>19330944</v>
      </c>
      <c r="B4028">
        <v>1</v>
      </c>
      <c r="C4028">
        <v>0</v>
      </c>
      <c r="D4028">
        <v>0</v>
      </c>
      <c r="E4028">
        <v>0</v>
      </c>
      <c r="F4028">
        <v>0</v>
      </c>
      <c r="G4028">
        <v>5</v>
      </c>
      <c r="H4028">
        <v>0</v>
      </c>
    </row>
    <row r="4029" spans="1:8" x14ac:dyDescent="0.25">
      <c r="A4029">
        <v>19330945</v>
      </c>
      <c r="B4029">
        <v>1</v>
      </c>
      <c r="C4029">
        <v>0</v>
      </c>
      <c r="D4029">
        <v>0</v>
      </c>
      <c r="E4029">
        <v>0</v>
      </c>
      <c r="F4029">
        <v>1</v>
      </c>
      <c r="G4029">
        <v>6</v>
      </c>
      <c r="H4029">
        <v>0</v>
      </c>
    </row>
    <row r="4030" spans="1:8" x14ac:dyDescent="0.25">
      <c r="A4030">
        <v>19331157</v>
      </c>
      <c r="B4030">
        <v>1171</v>
      </c>
      <c r="C4030">
        <v>610</v>
      </c>
      <c r="D4030">
        <v>348</v>
      </c>
      <c r="E4030">
        <v>1286</v>
      </c>
      <c r="F4030">
        <v>4357</v>
      </c>
      <c r="G4030">
        <v>8498</v>
      </c>
      <c r="H4030">
        <v>18.4633</v>
      </c>
    </row>
    <row r="4031" spans="1:8" x14ac:dyDescent="0.25">
      <c r="A4031">
        <v>19331222</v>
      </c>
      <c r="B4031">
        <v>9</v>
      </c>
      <c r="C4031">
        <v>0</v>
      </c>
      <c r="D4031">
        <v>0</v>
      </c>
      <c r="E4031">
        <v>4</v>
      </c>
      <c r="F4031">
        <v>11</v>
      </c>
      <c r="G4031">
        <v>83</v>
      </c>
      <c r="H4031">
        <v>0</v>
      </c>
    </row>
    <row r="4032" spans="1:8" x14ac:dyDescent="0.25">
      <c r="A4032">
        <v>19331223</v>
      </c>
      <c r="B4032">
        <v>12</v>
      </c>
      <c r="C4032">
        <v>0</v>
      </c>
      <c r="D4032">
        <v>0</v>
      </c>
      <c r="E4032">
        <v>0</v>
      </c>
      <c r="F4032">
        <v>2</v>
      </c>
      <c r="G4032">
        <v>19</v>
      </c>
      <c r="H4032">
        <v>0</v>
      </c>
    </row>
    <row r="4033" spans="1:8" x14ac:dyDescent="0.25">
      <c r="A4033">
        <v>19332391</v>
      </c>
      <c r="B4033">
        <v>717</v>
      </c>
      <c r="C4033">
        <v>90</v>
      </c>
      <c r="D4033">
        <v>50</v>
      </c>
      <c r="E4033">
        <v>209</v>
      </c>
      <c r="F4033">
        <v>687</v>
      </c>
      <c r="G4033">
        <v>1282</v>
      </c>
      <c r="H4033">
        <v>29.963000000000001</v>
      </c>
    </row>
    <row r="4034" spans="1:8" x14ac:dyDescent="0.25">
      <c r="A4034">
        <v>19332392</v>
      </c>
      <c r="B4034">
        <v>601</v>
      </c>
      <c r="C4034">
        <v>180</v>
      </c>
      <c r="D4034">
        <v>55</v>
      </c>
      <c r="E4034">
        <v>204</v>
      </c>
      <c r="F4034">
        <v>665</v>
      </c>
      <c r="G4034">
        <v>1261</v>
      </c>
      <c r="H4034">
        <v>39.211799999999997</v>
      </c>
    </row>
    <row r="4035" spans="1:8" x14ac:dyDescent="0.25">
      <c r="A4035">
        <v>19332393</v>
      </c>
      <c r="B4035">
        <v>583</v>
      </c>
      <c r="C4035">
        <v>0</v>
      </c>
      <c r="D4035">
        <v>19</v>
      </c>
      <c r="E4035">
        <v>99</v>
      </c>
      <c r="F4035">
        <v>339</v>
      </c>
      <c r="G4035">
        <v>580</v>
      </c>
      <c r="H4035">
        <v>49.3005</v>
      </c>
    </row>
    <row r="4036" spans="1:8" x14ac:dyDescent="0.25">
      <c r="A4036">
        <v>19332394</v>
      </c>
      <c r="B4036">
        <v>525</v>
      </c>
      <c r="C4036">
        <v>0</v>
      </c>
      <c r="D4036">
        <v>9</v>
      </c>
      <c r="E4036">
        <v>47</v>
      </c>
      <c r="F4036">
        <v>123</v>
      </c>
      <c r="G4036">
        <v>123</v>
      </c>
      <c r="H4036">
        <v>24.064399999999999</v>
      </c>
    </row>
    <row r="4037" spans="1:8" x14ac:dyDescent="0.25">
      <c r="A4037">
        <v>19332395</v>
      </c>
      <c r="B4037">
        <v>534</v>
      </c>
      <c r="C4037">
        <v>40</v>
      </c>
      <c r="D4037">
        <v>12</v>
      </c>
      <c r="E4037">
        <v>54</v>
      </c>
      <c r="F4037">
        <v>162</v>
      </c>
      <c r="G4037">
        <v>166</v>
      </c>
      <c r="H4037">
        <v>28.065799999999999</v>
      </c>
    </row>
    <row r="4038" spans="1:8" x14ac:dyDescent="0.25">
      <c r="A4038">
        <v>19332399</v>
      </c>
      <c r="B4038">
        <v>359</v>
      </c>
      <c r="C4038">
        <v>480</v>
      </c>
      <c r="D4038">
        <v>50</v>
      </c>
      <c r="E4038">
        <v>216</v>
      </c>
      <c r="F4038">
        <v>816</v>
      </c>
      <c r="G4038">
        <v>1480</v>
      </c>
      <c r="H4038">
        <v>34.651800000000001</v>
      </c>
    </row>
    <row r="4039" spans="1:8" x14ac:dyDescent="0.25">
      <c r="A4039">
        <v>19332401</v>
      </c>
      <c r="B4039">
        <v>952</v>
      </c>
      <c r="C4039">
        <v>90</v>
      </c>
      <c r="D4039">
        <v>26</v>
      </c>
      <c r="E4039">
        <v>136</v>
      </c>
      <c r="F4039">
        <v>493</v>
      </c>
      <c r="G4039">
        <v>875</v>
      </c>
      <c r="H4039">
        <v>43.5627</v>
      </c>
    </row>
    <row r="4040" spans="1:8" x14ac:dyDescent="0.25">
      <c r="A4040">
        <v>19332402</v>
      </c>
      <c r="B4040">
        <v>538</v>
      </c>
      <c r="C4040">
        <v>0</v>
      </c>
      <c r="D4040">
        <v>24</v>
      </c>
      <c r="E4040">
        <v>99</v>
      </c>
      <c r="F4040">
        <v>306</v>
      </c>
      <c r="G4040">
        <v>317</v>
      </c>
      <c r="H4040">
        <v>19.128799999999998</v>
      </c>
    </row>
    <row r="4041" spans="1:8" x14ac:dyDescent="0.25">
      <c r="A4041">
        <v>19332722</v>
      </c>
      <c r="B4041">
        <v>32</v>
      </c>
      <c r="C4041">
        <v>0</v>
      </c>
      <c r="D4041">
        <v>0</v>
      </c>
      <c r="E4041">
        <v>4</v>
      </c>
      <c r="F4041">
        <v>28</v>
      </c>
      <c r="G4041">
        <v>92</v>
      </c>
      <c r="H4041">
        <v>0</v>
      </c>
    </row>
    <row r="4042" spans="1:8" x14ac:dyDescent="0.25">
      <c r="A4042">
        <v>19332723</v>
      </c>
      <c r="B4042">
        <v>26</v>
      </c>
      <c r="C4042">
        <v>7</v>
      </c>
      <c r="D4042">
        <v>0</v>
      </c>
      <c r="E4042">
        <v>5</v>
      </c>
      <c r="F4042">
        <v>22</v>
      </c>
      <c r="G4042">
        <v>66</v>
      </c>
      <c r="H4042">
        <v>0</v>
      </c>
    </row>
    <row r="4043" spans="1:8" x14ac:dyDescent="0.25">
      <c r="A4043">
        <v>19332724</v>
      </c>
      <c r="B4043">
        <v>22</v>
      </c>
      <c r="C4043">
        <v>0</v>
      </c>
      <c r="D4043">
        <v>2</v>
      </c>
      <c r="E4043">
        <v>3</v>
      </c>
      <c r="F4043">
        <v>14</v>
      </c>
      <c r="G4043">
        <v>30</v>
      </c>
      <c r="H4043">
        <v>898.48500000000001</v>
      </c>
    </row>
    <row r="4044" spans="1:8" x14ac:dyDescent="0.25">
      <c r="A4044">
        <v>19339665</v>
      </c>
      <c r="B4044">
        <v>2368</v>
      </c>
      <c r="C4044">
        <v>293</v>
      </c>
      <c r="D4044">
        <v>406</v>
      </c>
      <c r="E4044">
        <v>1695</v>
      </c>
      <c r="F4044">
        <v>4949</v>
      </c>
      <c r="G4044">
        <v>7274</v>
      </c>
      <c r="H4044">
        <v>447.09969999999998</v>
      </c>
    </row>
    <row r="4045" spans="1:8" x14ac:dyDescent="0.25">
      <c r="A4045">
        <v>19339666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  <c r="H4045">
        <v>0</v>
      </c>
    </row>
    <row r="4046" spans="1:8" x14ac:dyDescent="0.25">
      <c r="A4046">
        <v>19339667</v>
      </c>
      <c r="B4046">
        <v>115</v>
      </c>
      <c r="C4046">
        <v>20</v>
      </c>
      <c r="D4046">
        <v>24</v>
      </c>
      <c r="E4046">
        <v>70</v>
      </c>
      <c r="F4046">
        <v>256</v>
      </c>
      <c r="G4046">
        <v>506</v>
      </c>
      <c r="H4046">
        <v>34.197499999999998</v>
      </c>
    </row>
    <row r="4047" spans="1:8" x14ac:dyDescent="0.25">
      <c r="A4047">
        <v>19339668</v>
      </c>
      <c r="B4047">
        <v>387</v>
      </c>
      <c r="C4047">
        <v>20</v>
      </c>
      <c r="D4047">
        <v>13</v>
      </c>
      <c r="E4047">
        <v>55</v>
      </c>
      <c r="F4047">
        <v>160</v>
      </c>
      <c r="G4047">
        <v>596</v>
      </c>
      <c r="H4047">
        <v>22.986899999999999</v>
      </c>
    </row>
    <row r="4048" spans="1:8" x14ac:dyDescent="0.25">
      <c r="A4048">
        <v>19339669</v>
      </c>
      <c r="B4048">
        <v>678</v>
      </c>
      <c r="C4048">
        <v>0</v>
      </c>
      <c r="D4048">
        <v>2</v>
      </c>
      <c r="E4048">
        <v>12</v>
      </c>
      <c r="F4048">
        <v>34</v>
      </c>
      <c r="G4048">
        <v>104</v>
      </c>
      <c r="H4048">
        <v>54.094999999999999</v>
      </c>
    </row>
    <row r="4049" spans="1:8" x14ac:dyDescent="0.25">
      <c r="A4049">
        <v>19339671</v>
      </c>
      <c r="B4049">
        <v>262</v>
      </c>
      <c r="C4049">
        <v>22</v>
      </c>
      <c r="D4049">
        <v>10</v>
      </c>
      <c r="E4049">
        <v>58</v>
      </c>
      <c r="F4049">
        <v>185</v>
      </c>
      <c r="G4049">
        <v>420</v>
      </c>
      <c r="H4049">
        <v>39.32</v>
      </c>
    </row>
    <row r="4050" spans="1:8" x14ac:dyDescent="0.25">
      <c r="A4050">
        <v>19339672</v>
      </c>
      <c r="B4050">
        <v>341</v>
      </c>
      <c r="C4050">
        <v>57</v>
      </c>
      <c r="D4050">
        <v>31</v>
      </c>
      <c r="E4050">
        <v>143</v>
      </c>
      <c r="F4050">
        <v>557</v>
      </c>
      <c r="G4050">
        <v>1374</v>
      </c>
      <c r="H4050">
        <v>86.618099999999998</v>
      </c>
    </row>
    <row r="4051" spans="1:8" x14ac:dyDescent="0.25">
      <c r="A4051">
        <v>19339673</v>
      </c>
      <c r="B4051">
        <v>351</v>
      </c>
      <c r="C4051">
        <v>29</v>
      </c>
      <c r="D4051">
        <v>6</v>
      </c>
      <c r="E4051">
        <v>47</v>
      </c>
      <c r="F4051">
        <v>156</v>
      </c>
      <c r="G4051">
        <v>883</v>
      </c>
      <c r="H4051">
        <v>99.353300000000004</v>
      </c>
    </row>
    <row r="4052" spans="1:8" x14ac:dyDescent="0.25">
      <c r="A4052">
        <v>19339677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1</v>
      </c>
      <c r="H4052">
        <v>0</v>
      </c>
    </row>
    <row r="4053" spans="1:8" x14ac:dyDescent="0.25">
      <c r="A4053">
        <v>19339678</v>
      </c>
      <c r="B4053">
        <v>480</v>
      </c>
      <c r="C4053">
        <v>100</v>
      </c>
      <c r="D4053">
        <v>75</v>
      </c>
      <c r="E4053">
        <v>293</v>
      </c>
      <c r="F4053">
        <v>920</v>
      </c>
      <c r="G4053">
        <v>1850</v>
      </c>
      <c r="H4053">
        <v>59.235700000000001</v>
      </c>
    </row>
    <row r="4054" spans="1:8" x14ac:dyDescent="0.25">
      <c r="A4054">
        <v>19339679</v>
      </c>
      <c r="B4054">
        <v>424</v>
      </c>
      <c r="C4054">
        <v>72</v>
      </c>
      <c r="D4054">
        <v>41</v>
      </c>
      <c r="E4054">
        <v>199</v>
      </c>
      <c r="F4054">
        <v>677</v>
      </c>
      <c r="G4054">
        <v>1311</v>
      </c>
      <c r="H4054">
        <v>77.977099999999993</v>
      </c>
    </row>
    <row r="4055" spans="1:8" x14ac:dyDescent="0.25">
      <c r="A4055">
        <v>19339680</v>
      </c>
      <c r="B4055">
        <v>137</v>
      </c>
      <c r="C4055">
        <v>0</v>
      </c>
      <c r="D4055">
        <v>7</v>
      </c>
      <c r="E4055">
        <v>55</v>
      </c>
      <c r="F4055">
        <v>185</v>
      </c>
      <c r="G4055">
        <v>497</v>
      </c>
      <c r="H4055">
        <v>65.154300000000006</v>
      </c>
    </row>
    <row r="4056" spans="1:8" x14ac:dyDescent="0.25">
      <c r="A4056">
        <v>19339681</v>
      </c>
      <c r="B4056">
        <v>158</v>
      </c>
      <c r="C4056">
        <v>35</v>
      </c>
      <c r="D4056">
        <v>14</v>
      </c>
      <c r="E4056">
        <v>57</v>
      </c>
      <c r="F4056">
        <v>197</v>
      </c>
      <c r="G4056">
        <v>513</v>
      </c>
      <c r="H4056">
        <v>77.997100000000003</v>
      </c>
    </row>
    <row r="4057" spans="1:8" x14ac:dyDescent="0.25">
      <c r="A4057">
        <v>19339682</v>
      </c>
      <c r="B4057">
        <v>22</v>
      </c>
      <c r="C4057">
        <v>0</v>
      </c>
      <c r="D4057">
        <v>0</v>
      </c>
      <c r="E4057">
        <v>0</v>
      </c>
      <c r="F4057">
        <v>10</v>
      </c>
      <c r="G4057">
        <v>52</v>
      </c>
      <c r="H4057">
        <v>0</v>
      </c>
    </row>
    <row r="4058" spans="1:8" x14ac:dyDescent="0.25">
      <c r="A4058">
        <v>19339683</v>
      </c>
      <c r="B4058">
        <v>173</v>
      </c>
      <c r="C4058">
        <v>0</v>
      </c>
      <c r="D4058">
        <v>3</v>
      </c>
      <c r="E4058">
        <v>12</v>
      </c>
      <c r="F4058">
        <v>36</v>
      </c>
      <c r="G4058">
        <v>107</v>
      </c>
      <c r="H4058">
        <v>34.99</v>
      </c>
    </row>
    <row r="4059" spans="1:8" x14ac:dyDescent="0.25">
      <c r="A4059">
        <v>19339684</v>
      </c>
      <c r="B4059">
        <v>311</v>
      </c>
      <c r="C4059">
        <v>113</v>
      </c>
      <c r="D4059">
        <v>16</v>
      </c>
      <c r="E4059">
        <v>79</v>
      </c>
      <c r="F4059">
        <v>277</v>
      </c>
      <c r="G4059">
        <v>1118</v>
      </c>
      <c r="H4059">
        <v>69.7119</v>
      </c>
    </row>
    <row r="4060" spans="1:8" x14ac:dyDescent="0.25">
      <c r="A4060">
        <v>19339685</v>
      </c>
      <c r="B4060">
        <v>359</v>
      </c>
      <c r="C4060">
        <v>49</v>
      </c>
      <c r="D4060">
        <v>13</v>
      </c>
      <c r="E4060">
        <v>34</v>
      </c>
      <c r="F4060">
        <v>122</v>
      </c>
      <c r="G4060">
        <v>740</v>
      </c>
      <c r="H4060">
        <v>76.337699999999998</v>
      </c>
    </row>
    <row r="4061" spans="1:8" x14ac:dyDescent="0.25">
      <c r="A4061">
        <v>19339686</v>
      </c>
      <c r="B4061">
        <v>502</v>
      </c>
      <c r="C4061">
        <v>0</v>
      </c>
      <c r="D4061">
        <v>8</v>
      </c>
      <c r="E4061">
        <v>34</v>
      </c>
      <c r="F4061">
        <v>119</v>
      </c>
      <c r="G4061">
        <v>454</v>
      </c>
      <c r="H4061">
        <v>75.592500000000001</v>
      </c>
    </row>
    <row r="4062" spans="1:8" x14ac:dyDescent="0.25">
      <c r="A4062">
        <v>19339707</v>
      </c>
      <c r="B4062">
        <v>0</v>
      </c>
      <c r="C4062">
        <v>0</v>
      </c>
      <c r="D4062">
        <v>0</v>
      </c>
      <c r="E4062">
        <v>0</v>
      </c>
      <c r="F4062">
        <v>1</v>
      </c>
      <c r="G4062">
        <v>2</v>
      </c>
      <c r="H4062">
        <v>0</v>
      </c>
    </row>
    <row r="4063" spans="1:8" x14ac:dyDescent="0.25">
      <c r="A4063">
        <v>19339708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2</v>
      </c>
      <c r="H4063">
        <v>0</v>
      </c>
    </row>
    <row r="4064" spans="1:8" x14ac:dyDescent="0.25">
      <c r="A4064">
        <v>19339709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2</v>
      </c>
      <c r="H4064">
        <v>0</v>
      </c>
    </row>
    <row r="4065" spans="1:8" x14ac:dyDescent="0.25">
      <c r="A4065">
        <v>19339710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2</v>
      </c>
      <c r="H4065">
        <v>0</v>
      </c>
    </row>
    <row r="4066" spans="1:8" x14ac:dyDescent="0.25">
      <c r="A4066">
        <v>19339712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1</v>
      </c>
      <c r="H4066">
        <v>0</v>
      </c>
    </row>
    <row r="4067" spans="1:8" x14ac:dyDescent="0.25">
      <c r="A4067">
        <v>19339713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1</v>
      </c>
      <c r="H4067">
        <v>0</v>
      </c>
    </row>
    <row r="4068" spans="1:8" x14ac:dyDescent="0.25">
      <c r="A4068">
        <v>19339714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  <c r="H4068">
        <v>0</v>
      </c>
    </row>
    <row r="4069" spans="1:8" x14ac:dyDescent="0.25">
      <c r="A4069">
        <v>19339717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1</v>
      </c>
      <c r="H4069">
        <v>0</v>
      </c>
    </row>
    <row r="4070" spans="1:8" x14ac:dyDescent="0.25">
      <c r="A4070">
        <v>19339718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1</v>
      </c>
      <c r="H4070">
        <v>0</v>
      </c>
    </row>
    <row r="4071" spans="1:8" x14ac:dyDescent="0.25">
      <c r="A4071">
        <v>19339719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1</v>
      </c>
      <c r="H4071">
        <v>0</v>
      </c>
    </row>
    <row r="4072" spans="1:8" x14ac:dyDescent="0.25">
      <c r="A4072">
        <v>19339720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1</v>
      </c>
      <c r="H4072">
        <v>0</v>
      </c>
    </row>
    <row r="4073" spans="1:8" x14ac:dyDescent="0.25">
      <c r="A4073">
        <v>19339723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2</v>
      </c>
      <c r="H4073">
        <v>0</v>
      </c>
    </row>
    <row r="4074" spans="1:8" x14ac:dyDescent="0.25">
      <c r="A4074">
        <v>19339724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3</v>
      </c>
      <c r="H4074">
        <v>0</v>
      </c>
    </row>
    <row r="4075" spans="1:8" x14ac:dyDescent="0.25">
      <c r="A4075">
        <v>19339725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1</v>
      </c>
      <c r="H4075">
        <v>0</v>
      </c>
    </row>
    <row r="4076" spans="1:8" x14ac:dyDescent="0.25">
      <c r="A4076">
        <v>19339726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1</v>
      </c>
      <c r="H4076">
        <v>0</v>
      </c>
    </row>
    <row r="4077" spans="1:8" x14ac:dyDescent="0.25">
      <c r="A4077">
        <v>19339727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2</v>
      </c>
      <c r="H4077">
        <v>0</v>
      </c>
    </row>
    <row r="4078" spans="1:8" x14ac:dyDescent="0.25">
      <c r="A4078">
        <v>19339728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1</v>
      </c>
      <c r="H4078">
        <v>0</v>
      </c>
    </row>
    <row r="4079" spans="1:8" x14ac:dyDescent="0.25">
      <c r="A4079">
        <v>19339730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  <c r="H4079">
        <v>0</v>
      </c>
    </row>
    <row r="4080" spans="1:8" x14ac:dyDescent="0.25">
      <c r="A4080">
        <v>19339733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1</v>
      </c>
      <c r="H4080">
        <v>0</v>
      </c>
    </row>
    <row r="4081" spans="1:8" x14ac:dyDescent="0.25">
      <c r="A4081">
        <v>19339734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1</v>
      </c>
      <c r="H4081">
        <v>0</v>
      </c>
    </row>
    <row r="4082" spans="1:8" x14ac:dyDescent="0.25">
      <c r="A4082">
        <v>19339737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1</v>
      </c>
      <c r="H4082">
        <v>0</v>
      </c>
    </row>
    <row r="4083" spans="1:8" x14ac:dyDescent="0.25">
      <c r="A4083">
        <v>19339738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1</v>
      </c>
      <c r="H4083">
        <v>0</v>
      </c>
    </row>
    <row r="4084" spans="1:8" x14ac:dyDescent="0.25">
      <c r="A4084">
        <v>19344762</v>
      </c>
      <c r="B4084">
        <v>7</v>
      </c>
      <c r="C4084">
        <v>0</v>
      </c>
      <c r="D4084">
        <v>0</v>
      </c>
      <c r="E4084">
        <v>0</v>
      </c>
      <c r="F4084">
        <v>0</v>
      </c>
      <c r="G4084">
        <v>0</v>
      </c>
      <c r="H4084">
        <v>0</v>
      </c>
    </row>
    <row r="4085" spans="1:8" x14ac:dyDescent="0.25">
      <c r="A4085">
        <v>19345171</v>
      </c>
      <c r="B4085">
        <v>630</v>
      </c>
      <c r="C4085">
        <v>150</v>
      </c>
      <c r="D4085">
        <v>49</v>
      </c>
      <c r="E4085">
        <v>185</v>
      </c>
      <c r="F4085">
        <v>629</v>
      </c>
      <c r="G4085">
        <v>1219</v>
      </c>
      <c r="H4085">
        <v>27.369</v>
      </c>
    </row>
    <row r="4086" spans="1:8" x14ac:dyDescent="0.25">
      <c r="A4086">
        <v>19345189</v>
      </c>
      <c r="B4086">
        <v>782</v>
      </c>
      <c r="C4086">
        <v>48</v>
      </c>
      <c r="D4086">
        <v>24</v>
      </c>
      <c r="E4086">
        <v>88</v>
      </c>
      <c r="F4086">
        <v>322</v>
      </c>
      <c r="G4086">
        <v>547</v>
      </c>
      <c r="H4086">
        <v>19.4117</v>
      </c>
    </row>
    <row r="4087" spans="1:8" x14ac:dyDescent="0.25">
      <c r="A4087">
        <v>19345190</v>
      </c>
      <c r="B4087">
        <v>-1</v>
      </c>
      <c r="C4087">
        <v>0</v>
      </c>
      <c r="D4087">
        <v>0</v>
      </c>
      <c r="E4087">
        <v>0</v>
      </c>
      <c r="F4087">
        <v>0</v>
      </c>
      <c r="G4087">
        <v>0</v>
      </c>
      <c r="H4087">
        <v>0</v>
      </c>
    </row>
    <row r="4088" spans="1:8" x14ac:dyDescent="0.25">
      <c r="A4088">
        <v>19345191</v>
      </c>
      <c r="B4088">
        <v>738</v>
      </c>
      <c r="C4088">
        <v>120</v>
      </c>
      <c r="D4088">
        <v>45</v>
      </c>
      <c r="E4088">
        <v>195</v>
      </c>
      <c r="F4088">
        <v>678</v>
      </c>
      <c r="G4088">
        <v>1246</v>
      </c>
      <c r="H4088">
        <v>83.928700000000006</v>
      </c>
    </row>
    <row r="4089" spans="1:8" x14ac:dyDescent="0.25">
      <c r="A4089">
        <v>19345192</v>
      </c>
      <c r="B4089">
        <v>944</v>
      </c>
      <c r="C4089">
        <v>132</v>
      </c>
      <c r="D4089">
        <v>38</v>
      </c>
      <c r="E4089">
        <v>166</v>
      </c>
      <c r="F4089">
        <v>523</v>
      </c>
      <c r="G4089">
        <v>880</v>
      </c>
      <c r="H4089">
        <v>12.714700000000001</v>
      </c>
    </row>
    <row r="4090" spans="1:8" x14ac:dyDescent="0.25">
      <c r="A4090">
        <v>19345193</v>
      </c>
      <c r="B4090">
        <v>554</v>
      </c>
      <c r="C4090">
        <v>132</v>
      </c>
      <c r="D4090">
        <v>59</v>
      </c>
      <c r="E4090">
        <v>188</v>
      </c>
      <c r="F4090">
        <v>556</v>
      </c>
      <c r="G4090">
        <v>1054</v>
      </c>
      <c r="H4090">
        <v>14.4529</v>
      </c>
    </row>
    <row r="4091" spans="1:8" x14ac:dyDescent="0.25">
      <c r="A4091">
        <v>19345194</v>
      </c>
      <c r="B4091">
        <v>657</v>
      </c>
      <c r="C4091">
        <v>324</v>
      </c>
      <c r="D4091">
        <v>54</v>
      </c>
      <c r="E4091">
        <v>271</v>
      </c>
      <c r="F4091">
        <v>674</v>
      </c>
      <c r="G4091">
        <v>674</v>
      </c>
      <c r="H4091">
        <v>19.339400000000001</v>
      </c>
    </row>
    <row r="4092" spans="1:8" x14ac:dyDescent="0.25">
      <c r="A4092">
        <v>19345196</v>
      </c>
      <c r="B4092">
        <v>536</v>
      </c>
      <c r="C4092">
        <v>24</v>
      </c>
      <c r="D4092">
        <v>22</v>
      </c>
      <c r="E4092">
        <v>105</v>
      </c>
      <c r="F4092">
        <v>267</v>
      </c>
      <c r="G4092">
        <v>473</v>
      </c>
      <c r="H4092">
        <v>34.754100000000001</v>
      </c>
    </row>
    <row r="4093" spans="1:8" x14ac:dyDescent="0.25">
      <c r="A4093">
        <v>19345198</v>
      </c>
      <c r="B4093">
        <v>210</v>
      </c>
      <c r="C4093">
        <v>168</v>
      </c>
      <c r="D4093">
        <v>42</v>
      </c>
      <c r="E4093">
        <v>204</v>
      </c>
      <c r="F4093">
        <v>552</v>
      </c>
      <c r="G4093">
        <v>730</v>
      </c>
      <c r="H4093">
        <v>22.607399999999998</v>
      </c>
    </row>
    <row r="4094" spans="1:8" x14ac:dyDescent="0.25">
      <c r="A4094">
        <v>19345199</v>
      </c>
      <c r="B4094">
        <v>188</v>
      </c>
      <c r="C4094">
        <v>60</v>
      </c>
      <c r="D4094">
        <v>28</v>
      </c>
      <c r="E4094">
        <v>92</v>
      </c>
      <c r="F4094">
        <v>139</v>
      </c>
      <c r="G4094">
        <v>155</v>
      </c>
      <c r="H4094">
        <v>15.225</v>
      </c>
    </row>
    <row r="4095" spans="1:8" x14ac:dyDescent="0.25">
      <c r="A4095">
        <v>19345200</v>
      </c>
      <c r="B4095">
        <v>561</v>
      </c>
      <c r="C4095">
        <v>0</v>
      </c>
      <c r="D4095">
        <v>19</v>
      </c>
      <c r="E4095">
        <v>108</v>
      </c>
      <c r="F4095">
        <v>355</v>
      </c>
      <c r="G4095">
        <v>712</v>
      </c>
      <c r="H4095">
        <v>17.865300000000001</v>
      </c>
    </row>
    <row r="4096" spans="1:8" x14ac:dyDescent="0.25">
      <c r="A4096">
        <v>19345201</v>
      </c>
      <c r="B4096">
        <v>45</v>
      </c>
      <c r="C4096">
        <v>0</v>
      </c>
      <c r="D4096">
        <v>0</v>
      </c>
      <c r="E4096">
        <v>1</v>
      </c>
      <c r="F4096">
        <v>3</v>
      </c>
      <c r="G4096">
        <v>3</v>
      </c>
      <c r="H4096">
        <v>0</v>
      </c>
    </row>
    <row r="4097" spans="1:8" x14ac:dyDescent="0.25">
      <c r="A4097">
        <v>19355246</v>
      </c>
      <c r="B4097">
        <v>193</v>
      </c>
      <c r="C4097">
        <v>0</v>
      </c>
      <c r="D4097">
        <v>6</v>
      </c>
      <c r="E4097">
        <v>20</v>
      </c>
      <c r="F4097">
        <v>85</v>
      </c>
      <c r="G4097">
        <v>141</v>
      </c>
      <c r="H4097">
        <v>1058.4016999999999</v>
      </c>
    </row>
    <row r="4098" spans="1:8" x14ac:dyDescent="0.25">
      <c r="A4098">
        <v>19355247</v>
      </c>
      <c r="B4098">
        <v>126</v>
      </c>
      <c r="C4098">
        <v>0</v>
      </c>
      <c r="D4098">
        <v>14</v>
      </c>
      <c r="E4098">
        <v>46</v>
      </c>
      <c r="F4098">
        <v>211</v>
      </c>
      <c r="G4098">
        <v>466</v>
      </c>
      <c r="H4098">
        <v>1794.6786</v>
      </c>
    </row>
    <row r="4099" spans="1:8" x14ac:dyDescent="0.25">
      <c r="A4099">
        <v>19355348</v>
      </c>
      <c r="B4099">
        <v>1</v>
      </c>
      <c r="C4099">
        <v>0</v>
      </c>
      <c r="D4099">
        <v>0</v>
      </c>
      <c r="E4099">
        <v>1</v>
      </c>
      <c r="F4099">
        <v>3</v>
      </c>
      <c r="G4099">
        <v>5</v>
      </c>
      <c r="H4099">
        <v>0</v>
      </c>
    </row>
    <row r="4100" spans="1:8" x14ac:dyDescent="0.25">
      <c r="A4100">
        <v>19355349</v>
      </c>
      <c r="B4100">
        <v>1</v>
      </c>
      <c r="C4100">
        <v>0</v>
      </c>
      <c r="D4100">
        <v>0</v>
      </c>
      <c r="E4100">
        <v>1</v>
      </c>
      <c r="F4100">
        <v>2</v>
      </c>
      <c r="G4100">
        <v>2</v>
      </c>
      <c r="H4100">
        <v>0</v>
      </c>
    </row>
    <row r="4101" spans="1:8" x14ac:dyDescent="0.25">
      <c r="A4101">
        <v>19370167</v>
      </c>
      <c r="B4101">
        <v>95</v>
      </c>
      <c r="C4101">
        <v>12</v>
      </c>
      <c r="D4101">
        <v>5</v>
      </c>
      <c r="E4101">
        <v>18</v>
      </c>
      <c r="F4101">
        <v>51</v>
      </c>
      <c r="G4101">
        <v>117</v>
      </c>
      <c r="H4101">
        <v>238.67599999999999</v>
      </c>
    </row>
    <row r="4102" spans="1:8" x14ac:dyDescent="0.25">
      <c r="A4102">
        <v>19370228</v>
      </c>
      <c r="B4102">
        <v>1</v>
      </c>
      <c r="C4102">
        <v>0</v>
      </c>
      <c r="D4102">
        <v>0</v>
      </c>
      <c r="E4102">
        <v>0</v>
      </c>
      <c r="F4102">
        <v>0</v>
      </c>
      <c r="G4102">
        <v>0</v>
      </c>
      <c r="H4102">
        <v>0</v>
      </c>
    </row>
    <row r="4103" spans="1:8" x14ac:dyDescent="0.25">
      <c r="A4103">
        <v>19370229</v>
      </c>
      <c r="B4103">
        <v>1</v>
      </c>
      <c r="C4103">
        <v>0</v>
      </c>
      <c r="D4103">
        <v>0</v>
      </c>
      <c r="E4103">
        <v>0</v>
      </c>
      <c r="F4103">
        <v>0</v>
      </c>
      <c r="G4103">
        <v>0</v>
      </c>
      <c r="H4103">
        <v>0</v>
      </c>
    </row>
    <row r="4104" spans="1:8" x14ac:dyDescent="0.25">
      <c r="A4104">
        <v>19370386</v>
      </c>
      <c r="B4104">
        <v>59</v>
      </c>
      <c r="C4104">
        <v>0</v>
      </c>
      <c r="D4104">
        <v>5</v>
      </c>
      <c r="E4104">
        <v>12</v>
      </c>
      <c r="F4104">
        <v>41</v>
      </c>
      <c r="G4104">
        <v>132</v>
      </c>
      <c r="H4104">
        <v>103.47199999999999</v>
      </c>
    </row>
    <row r="4105" spans="1:8" x14ac:dyDescent="0.25">
      <c r="A4105">
        <v>19374784</v>
      </c>
      <c r="B4105">
        <v>33</v>
      </c>
      <c r="C4105">
        <v>7</v>
      </c>
      <c r="D4105">
        <v>3</v>
      </c>
      <c r="E4105">
        <v>4</v>
      </c>
      <c r="F4105">
        <v>13</v>
      </c>
      <c r="G4105">
        <v>45</v>
      </c>
      <c r="H4105">
        <v>1263.79</v>
      </c>
    </row>
    <row r="4106" spans="1:8" x14ac:dyDescent="0.25">
      <c r="A4106">
        <v>19374786</v>
      </c>
      <c r="B4106">
        <v>23</v>
      </c>
      <c r="C4106">
        <v>2</v>
      </c>
      <c r="D4106">
        <v>0</v>
      </c>
      <c r="E4106">
        <v>3</v>
      </c>
      <c r="F4106">
        <v>5</v>
      </c>
      <c r="G4106">
        <v>14</v>
      </c>
      <c r="H4106">
        <v>0</v>
      </c>
    </row>
    <row r="4107" spans="1:8" x14ac:dyDescent="0.25">
      <c r="A4107">
        <v>19374839</v>
      </c>
      <c r="B4107">
        <v>12</v>
      </c>
      <c r="C4107">
        <v>57</v>
      </c>
      <c r="D4107">
        <v>0</v>
      </c>
      <c r="E4107">
        <v>4</v>
      </c>
      <c r="F4107">
        <v>33</v>
      </c>
      <c r="G4107">
        <v>78</v>
      </c>
      <c r="H4107">
        <v>0</v>
      </c>
    </row>
    <row r="4108" spans="1:8" x14ac:dyDescent="0.25">
      <c r="A4108">
        <v>19374840</v>
      </c>
      <c r="B4108">
        <v>43</v>
      </c>
      <c r="C4108">
        <v>24</v>
      </c>
      <c r="D4108">
        <v>5</v>
      </c>
      <c r="E4108">
        <v>18</v>
      </c>
      <c r="F4108">
        <v>50</v>
      </c>
      <c r="G4108">
        <v>106</v>
      </c>
      <c r="H4108">
        <v>70.69</v>
      </c>
    </row>
    <row r="4109" spans="1:8" x14ac:dyDescent="0.25">
      <c r="A4109">
        <v>19374843</v>
      </c>
      <c r="B4109">
        <v>466</v>
      </c>
      <c r="C4109">
        <v>0</v>
      </c>
      <c r="D4109">
        <v>19</v>
      </c>
      <c r="E4109">
        <v>58</v>
      </c>
      <c r="F4109">
        <v>267</v>
      </c>
      <c r="G4109">
        <v>512</v>
      </c>
      <c r="H4109">
        <v>57.69</v>
      </c>
    </row>
    <row r="4110" spans="1:8" x14ac:dyDescent="0.25">
      <c r="A4110">
        <v>19374844</v>
      </c>
      <c r="B4110">
        <v>775</v>
      </c>
      <c r="C4110">
        <v>48</v>
      </c>
      <c r="D4110">
        <v>25</v>
      </c>
      <c r="E4110">
        <v>96</v>
      </c>
      <c r="F4110">
        <v>330</v>
      </c>
      <c r="G4110">
        <v>615</v>
      </c>
      <c r="H4110">
        <v>19.526</v>
      </c>
    </row>
    <row r="4111" spans="1:8" x14ac:dyDescent="0.25">
      <c r="A4111">
        <v>19374922</v>
      </c>
      <c r="B4111">
        <v>65</v>
      </c>
      <c r="C4111">
        <v>0</v>
      </c>
      <c r="D4111">
        <v>7</v>
      </c>
      <c r="E4111">
        <v>26</v>
      </c>
      <c r="F4111">
        <v>120</v>
      </c>
      <c r="G4111">
        <v>249</v>
      </c>
      <c r="H4111">
        <v>749.27570000000003</v>
      </c>
    </row>
    <row r="4112" spans="1:8" x14ac:dyDescent="0.25">
      <c r="A4112">
        <v>19374923</v>
      </c>
      <c r="B4112">
        <v>91</v>
      </c>
      <c r="C4112">
        <v>0</v>
      </c>
      <c r="D4112">
        <v>0</v>
      </c>
      <c r="E4112">
        <v>6</v>
      </c>
      <c r="F4112">
        <v>49</v>
      </c>
      <c r="G4112">
        <v>106</v>
      </c>
      <c r="H4112">
        <v>0</v>
      </c>
    </row>
    <row r="4113" spans="1:8" x14ac:dyDescent="0.25">
      <c r="A4113">
        <v>19375328</v>
      </c>
      <c r="B4113">
        <v>10</v>
      </c>
      <c r="C4113">
        <v>300</v>
      </c>
      <c r="D4113">
        <v>0</v>
      </c>
      <c r="E4113">
        <v>4</v>
      </c>
      <c r="F4113">
        <v>8</v>
      </c>
      <c r="G4113">
        <v>279</v>
      </c>
      <c r="H4113">
        <v>0</v>
      </c>
    </row>
    <row r="4114" spans="1:8" x14ac:dyDescent="0.25">
      <c r="A4114">
        <v>19375416</v>
      </c>
      <c r="B4114">
        <v>18</v>
      </c>
      <c r="C4114">
        <v>0</v>
      </c>
      <c r="D4114">
        <v>4</v>
      </c>
      <c r="E4114">
        <v>9</v>
      </c>
      <c r="F4114">
        <v>32</v>
      </c>
      <c r="G4114">
        <v>46</v>
      </c>
      <c r="H4114">
        <v>1198.8175000000001</v>
      </c>
    </row>
    <row r="4115" spans="1:8" x14ac:dyDescent="0.25">
      <c r="A4115">
        <v>19375468</v>
      </c>
      <c r="B4115">
        <v>4</v>
      </c>
      <c r="C4115">
        <v>0</v>
      </c>
      <c r="D4115">
        <v>1</v>
      </c>
      <c r="E4115">
        <v>1</v>
      </c>
      <c r="F4115">
        <v>3</v>
      </c>
      <c r="G4115">
        <v>4</v>
      </c>
      <c r="H4115">
        <v>44.99</v>
      </c>
    </row>
    <row r="4116" spans="1:8" x14ac:dyDescent="0.25">
      <c r="A4116">
        <v>19375469</v>
      </c>
      <c r="B4116">
        <v>30</v>
      </c>
      <c r="C4116">
        <v>0</v>
      </c>
      <c r="D4116">
        <v>0</v>
      </c>
      <c r="E4116">
        <v>0</v>
      </c>
      <c r="F4116">
        <v>0</v>
      </c>
      <c r="G4116">
        <v>0</v>
      </c>
      <c r="H4116">
        <v>0</v>
      </c>
    </row>
    <row r="4117" spans="1:8" x14ac:dyDescent="0.25">
      <c r="A4117">
        <v>19375582</v>
      </c>
      <c r="B4117">
        <v>28</v>
      </c>
      <c r="C4117">
        <v>0</v>
      </c>
      <c r="D4117">
        <v>0</v>
      </c>
      <c r="E4117">
        <v>1</v>
      </c>
      <c r="F4117">
        <v>28</v>
      </c>
      <c r="G4117">
        <v>100</v>
      </c>
      <c r="H4117">
        <v>0</v>
      </c>
    </row>
    <row r="4118" spans="1:8" x14ac:dyDescent="0.25">
      <c r="A4118">
        <v>19375583</v>
      </c>
      <c r="B4118">
        <v>2</v>
      </c>
      <c r="C4118">
        <v>0</v>
      </c>
      <c r="D4118">
        <v>0</v>
      </c>
      <c r="E4118">
        <v>0</v>
      </c>
      <c r="F4118">
        <v>5</v>
      </c>
      <c r="G4118">
        <v>126</v>
      </c>
      <c r="H4118">
        <v>0</v>
      </c>
    </row>
    <row r="4119" spans="1:8" x14ac:dyDescent="0.25">
      <c r="A4119">
        <v>19375584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7</v>
      </c>
      <c r="H4119">
        <v>0</v>
      </c>
    </row>
    <row r="4120" spans="1:8" x14ac:dyDescent="0.25">
      <c r="A4120">
        <v>19375586</v>
      </c>
      <c r="B4120">
        <v>516</v>
      </c>
      <c r="C4120">
        <v>0</v>
      </c>
      <c r="D4120">
        <v>4</v>
      </c>
      <c r="E4120">
        <v>24</v>
      </c>
      <c r="F4120">
        <v>137</v>
      </c>
      <c r="G4120">
        <v>743</v>
      </c>
      <c r="H4120">
        <v>44.2575</v>
      </c>
    </row>
    <row r="4121" spans="1:8" x14ac:dyDescent="0.25">
      <c r="A4121">
        <v>19375587</v>
      </c>
      <c r="B4121">
        <v>154</v>
      </c>
      <c r="C4121">
        <v>0</v>
      </c>
      <c r="D4121">
        <v>2</v>
      </c>
      <c r="E4121">
        <v>4</v>
      </c>
      <c r="F4121">
        <v>22</v>
      </c>
      <c r="G4121">
        <v>115</v>
      </c>
      <c r="H4121">
        <v>49.195</v>
      </c>
    </row>
    <row r="4122" spans="1:8" x14ac:dyDescent="0.25">
      <c r="A4122">
        <v>19375588</v>
      </c>
      <c r="B4122">
        <v>66</v>
      </c>
      <c r="C4122">
        <v>0</v>
      </c>
      <c r="D4122">
        <v>0</v>
      </c>
      <c r="E4122">
        <v>2</v>
      </c>
      <c r="F4122">
        <v>9</v>
      </c>
      <c r="G4122">
        <v>453</v>
      </c>
      <c r="H4122">
        <v>0</v>
      </c>
    </row>
    <row r="4123" spans="1:8" x14ac:dyDescent="0.25">
      <c r="A4123">
        <v>19375589</v>
      </c>
      <c r="B4123">
        <v>48</v>
      </c>
      <c r="C4123">
        <v>0</v>
      </c>
      <c r="D4123">
        <v>0</v>
      </c>
      <c r="E4123">
        <v>2</v>
      </c>
      <c r="F4123">
        <v>14</v>
      </c>
      <c r="G4123">
        <v>137</v>
      </c>
      <c r="H4123">
        <v>0</v>
      </c>
    </row>
    <row r="4124" spans="1:8" x14ac:dyDescent="0.25">
      <c r="A4124">
        <v>19375590</v>
      </c>
      <c r="B4124">
        <v>20</v>
      </c>
      <c r="C4124">
        <v>0</v>
      </c>
      <c r="D4124">
        <v>0</v>
      </c>
      <c r="E4124">
        <v>2</v>
      </c>
      <c r="F4124">
        <v>49</v>
      </c>
      <c r="G4124">
        <v>221</v>
      </c>
      <c r="H4124">
        <v>0</v>
      </c>
    </row>
    <row r="4125" spans="1:8" x14ac:dyDescent="0.25">
      <c r="A4125">
        <v>19375592</v>
      </c>
      <c r="B4125">
        <v>3</v>
      </c>
      <c r="C4125">
        <v>0</v>
      </c>
      <c r="D4125">
        <v>0</v>
      </c>
      <c r="E4125">
        <v>0</v>
      </c>
      <c r="F4125">
        <v>6</v>
      </c>
      <c r="G4125">
        <v>29</v>
      </c>
      <c r="H4125">
        <v>0</v>
      </c>
    </row>
    <row r="4126" spans="1:8" x14ac:dyDescent="0.25">
      <c r="A4126">
        <v>19375593</v>
      </c>
      <c r="B4126">
        <v>54</v>
      </c>
      <c r="C4126">
        <v>0</v>
      </c>
      <c r="D4126">
        <v>2</v>
      </c>
      <c r="E4126">
        <v>10</v>
      </c>
      <c r="F4126">
        <v>15</v>
      </c>
      <c r="G4126">
        <v>29</v>
      </c>
      <c r="H4126">
        <v>26.395</v>
      </c>
    </row>
    <row r="4127" spans="1:8" x14ac:dyDescent="0.25">
      <c r="A4127">
        <v>19375615</v>
      </c>
      <c r="B4127">
        <v>65</v>
      </c>
      <c r="C4127">
        <v>58</v>
      </c>
      <c r="D4127">
        <v>0</v>
      </c>
      <c r="E4127">
        <v>11</v>
      </c>
      <c r="F4127">
        <v>26</v>
      </c>
      <c r="G4127">
        <v>33</v>
      </c>
      <c r="H4127">
        <v>0</v>
      </c>
    </row>
    <row r="4128" spans="1:8" x14ac:dyDescent="0.25">
      <c r="A4128">
        <v>19375616</v>
      </c>
      <c r="B4128">
        <v>39</v>
      </c>
      <c r="C4128">
        <v>1</v>
      </c>
      <c r="D4128">
        <v>3</v>
      </c>
      <c r="E4128">
        <v>7</v>
      </c>
      <c r="F4128">
        <v>26</v>
      </c>
      <c r="G4128">
        <v>29</v>
      </c>
      <c r="H4128">
        <v>13.3767</v>
      </c>
    </row>
    <row r="4129" spans="1:8" x14ac:dyDescent="0.25">
      <c r="A4129">
        <v>19375617</v>
      </c>
      <c r="B4129">
        <v>1</v>
      </c>
      <c r="C4129">
        <v>0</v>
      </c>
      <c r="D4129">
        <v>0</v>
      </c>
      <c r="E4129">
        <v>0</v>
      </c>
      <c r="F4129">
        <v>3</v>
      </c>
      <c r="G4129">
        <v>18</v>
      </c>
      <c r="H4129">
        <v>0</v>
      </c>
    </row>
    <row r="4130" spans="1:8" x14ac:dyDescent="0.25">
      <c r="A4130">
        <v>19375618</v>
      </c>
      <c r="B4130">
        <v>15</v>
      </c>
      <c r="C4130">
        <v>0</v>
      </c>
      <c r="D4130">
        <v>0</v>
      </c>
      <c r="E4130">
        <v>0</v>
      </c>
      <c r="F4130">
        <v>7</v>
      </c>
      <c r="G4130">
        <v>15</v>
      </c>
      <c r="H4130">
        <v>0</v>
      </c>
    </row>
    <row r="4131" spans="1:8" x14ac:dyDescent="0.25">
      <c r="A4131">
        <v>19375620</v>
      </c>
      <c r="B4131">
        <v>12</v>
      </c>
      <c r="C4131">
        <v>0</v>
      </c>
      <c r="D4131">
        <v>0</v>
      </c>
      <c r="E4131">
        <v>0</v>
      </c>
      <c r="F4131">
        <v>6</v>
      </c>
      <c r="G4131">
        <v>61</v>
      </c>
      <c r="H4131">
        <v>0</v>
      </c>
    </row>
    <row r="4132" spans="1:8" x14ac:dyDescent="0.25">
      <c r="A4132">
        <v>19375621</v>
      </c>
      <c r="B4132">
        <v>-12</v>
      </c>
      <c r="C4132">
        <v>0</v>
      </c>
      <c r="D4132">
        <v>0</v>
      </c>
      <c r="E4132">
        <v>0</v>
      </c>
      <c r="F4132">
        <v>4</v>
      </c>
      <c r="G4132">
        <v>12</v>
      </c>
      <c r="H4132">
        <v>0</v>
      </c>
    </row>
    <row r="4133" spans="1:8" x14ac:dyDescent="0.25">
      <c r="A4133">
        <v>19376088</v>
      </c>
      <c r="B4133">
        <v>174</v>
      </c>
      <c r="C4133">
        <v>16</v>
      </c>
      <c r="D4133">
        <v>3</v>
      </c>
      <c r="E4133">
        <v>6</v>
      </c>
      <c r="F4133">
        <v>31</v>
      </c>
      <c r="G4133">
        <v>80</v>
      </c>
      <c r="H4133">
        <v>77.09</v>
      </c>
    </row>
    <row r="4134" spans="1:8" x14ac:dyDescent="0.25">
      <c r="A4134">
        <v>19376089</v>
      </c>
      <c r="B4134">
        <v>131</v>
      </c>
      <c r="C4134">
        <v>0</v>
      </c>
      <c r="D4134">
        <v>1</v>
      </c>
      <c r="E4134">
        <v>12</v>
      </c>
      <c r="F4134">
        <v>41</v>
      </c>
      <c r="G4134">
        <v>108</v>
      </c>
      <c r="H4134">
        <v>64.989999999999995</v>
      </c>
    </row>
    <row r="4135" spans="1:8" x14ac:dyDescent="0.25">
      <c r="A4135">
        <v>19376091</v>
      </c>
      <c r="B4135">
        <v>15</v>
      </c>
      <c r="C4135">
        <v>0</v>
      </c>
      <c r="D4135">
        <v>4</v>
      </c>
      <c r="E4135">
        <v>13</v>
      </c>
      <c r="F4135">
        <v>92</v>
      </c>
      <c r="G4135">
        <v>172</v>
      </c>
      <c r="H4135">
        <v>1996.6075000000001</v>
      </c>
    </row>
    <row r="4136" spans="1:8" x14ac:dyDescent="0.25">
      <c r="A4136">
        <v>19379752</v>
      </c>
      <c r="B4136">
        <v>73</v>
      </c>
      <c r="C4136">
        <v>240</v>
      </c>
      <c r="D4136">
        <v>6</v>
      </c>
      <c r="E4136">
        <v>41</v>
      </c>
      <c r="F4136">
        <v>335</v>
      </c>
      <c r="G4136">
        <v>894</v>
      </c>
      <c r="H4136">
        <v>19.989999999999998</v>
      </c>
    </row>
    <row r="4137" spans="1:8" x14ac:dyDescent="0.25">
      <c r="A4137">
        <v>19379753</v>
      </c>
      <c r="B4137">
        <v>58</v>
      </c>
      <c r="C4137">
        <v>264</v>
      </c>
      <c r="D4137">
        <v>11</v>
      </c>
      <c r="E4137">
        <v>55</v>
      </c>
      <c r="F4137">
        <v>372</v>
      </c>
      <c r="G4137">
        <v>888</v>
      </c>
      <c r="H4137">
        <v>19.989999999999998</v>
      </c>
    </row>
    <row r="4138" spans="1:8" x14ac:dyDescent="0.25">
      <c r="A4138">
        <v>19379754</v>
      </c>
      <c r="B4138">
        <v>256</v>
      </c>
      <c r="C4138">
        <v>336</v>
      </c>
      <c r="D4138">
        <v>22</v>
      </c>
      <c r="E4138">
        <v>78</v>
      </c>
      <c r="F4138">
        <v>312</v>
      </c>
      <c r="G4138">
        <v>652</v>
      </c>
      <c r="H4138">
        <v>19.4636</v>
      </c>
    </row>
    <row r="4139" spans="1:8" x14ac:dyDescent="0.25">
      <c r="A4139">
        <v>19379755</v>
      </c>
      <c r="B4139">
        <v>311</v>
      </c>
      <c r="C4139">
        <v>192</v>
      </c>
      <c r="D4139">
        <v>24</v>
      </c>
      <c r="E4139">
        <v>101</v>
      </c>
      <c r="F4139">
        <v>337</v>
      </c>
      <c r="G4139">
        <v>673</v>
      </c>
      <c r="H4139">
        <v>24.478300000000001</v>
      </c>
    </row>
    <row r="4140" spans="1:8" x14ac:dyDescent="0.25">
      <c r="A4140">
        <v>19379756</v>
      </c>
      <c r="B4140">
        <v>419</v>
      </c>
      <c r="C4140">
        <v>72</v>
      </c>
      <c r="D4140">
        <v>28</v>
      </c>
      <c r="E4140">
        <v>109</v>
      </c>
      <c r="F4140">
        <v>325</v>
      </c>
      <c r="G4140">
        <v>566</v>
      </c>
      <c r="H4140">
        <v>24.430700000000002</v>
      </c>
    </row>
    <row r="4141" spans="1:8" x14ac:dyDescent="0.25">
      <c r="A4141">
        <v>19379757</v>
      </c>
      <c r="B4141">
        <v>139</v>
      </c>
      <c r="C4141">
        <v>312</v>
      </c>
      <c r="D4141">
        <v>13</v>
      </c>
      <c r="E4141">
        <v>54</v>
      </c>
      <c r="F4141">
        <v>388</v>
      </c>
      <c r="G4141">
        <v>775</v>
      </c>
      <c r="H4141">
        <v>12.68</v>
      </c>
    </row>
    <row r="4142" spans="1:8" x14ac:dyDescent="0.25">
      <c r="A4142">
        <v>19379758</v>
      </c>
      <c r="B4142">
        <v>164</v>
      </c>
      <c r="C4142">
        <v>48</v>
      </c>
      <c r="D4142">
        <v>4</v>
      </c>
      <c r="E4142">
        <v>38</v>
      </c>
      <c r="F4142">
        <v>131</v>
      </c>
      <c r="G4142">
        <v>325</v>
      </c>
      <c r="H4142">
        <v>27.6</v>
      </c>
    </row>
    <row r="4143" spans="1:8" x14ac:dyDescent="0.25">
      <c r="A4143">
        <v>19379759</v>
      </c>
      <c r="B4143">
        <v>364</v>
      </c>
      <c r="C4143">
        <v>144</v>
      </c>
      <c r="D4143">
        <v>18</v>
      </c>
      <c r="E4143">
        <v>134</v>
      </c>
      <c r="F4143">
        <v>498</v>
      </c>
      <c r="G4143">
        <v>1013</v>
      </c>
      <c r="H4143">
        <v>29.712199999999999</v>
      </c>
    </row>
    <row r="4144" spans="1:8" x14ac:dyDescent="0.25">
      <c r="A4144">
        <v>19379760</v>
      </c>
      <c r="B4144">
        <v>245</v>
      </c>
      <c r="C4144">
        <v>144</v>
      </c>
      <c r="D4144">
        <v>27</v>
      </c>
      <c r="E4144">
        <v>92</v>
      </c>
      <c r="F4144">
        <v>366</v>
      </c>
      <c r="G4144">
        <v>689</v>
      </c>
      <c r="H4144">
        <v>29.115200000000002</v>
      </c>
    </row>
    <row r="4145" spans="1:8" x14ac:dyDescent="0.25">
      <c r="A4145">
        <v>19379761</v>
      </c>
      <c r="B4145">
        <v>364</v>
      </c>
      <c r="C4145">
        <v>72</v>
      </c>
      <c r="D4145">
        <v>23</v>
      </c>
      <c r="E4145">
        <v>62</v>
      </c>
      <c r="F4145">
        <v>200</v>
      </c>
      <c r="G4145">
        <v>366</v>
      </c>
      <c r="H4145">
        <v>22.986999999999998</v>
      </c>
    </row>
    <row r="4146" spans="1:8" x14ac:dyDescent="0.25">
      <c r="A4146">
        <v>19379762</v>
      </c>
      <c r="B4146">
        <v>541</v>
      </c>
      <c r="C4146">
        <v>24</v>
      </c>
      <c r="D4146">
        <v>16</v>
      </c>
      <c r="E4146">
        <v>69</v>
      </c>
      <c r="F4146">
        <v>192</v>
      </c>
      <c r="G4146">
        <v>232</v>
      </c>
      <c r="H4146">
        <v>47.398699999999998</v>
      </c>
    </row>
    <row r="4147" spans="1:8" x14ac:dyDescent="0.25">
      <c r="A4147">
        <v>19380424</v>
      </c>
      <c r="B4147">
        <v>64</v>
      </c>
      <c r="C4147">
        <v>0</v>
      </c>
      <c r="D4147">
        <v>5</v>
      </c>
      <c r="E4147">
        <v>18</v>
      </c>
      <c r="F4147">
        <v>129</v>
      </c>
      <c r="G4147">
        <v>311</v>
      </c>
      <c r="H4147">
        <v>1743.556</v>
      </c>
    </row>
    <row r="4148" spans="1:8" x14ac:dyDescent="0.25">
      <c r="A4148">
        <v>19384747</v>
      </c>
      <c r="B4148">
        <v>63</v>
      </c>
      <c r="C4148">
        <v>0</v>
      </c>
      <c r="D4148">
        <v>4</v>
      </c>
      <c r="E4148">
        <v>17</v>
      </c>
      <c r="F4148">
        <v>96</v>
      </c>
      <c r="G4148">
        <v>283</v>
      </c>
      <c r="H4148">
        <v>999</v>
      </c>
    </row>
    <row r="4149" spans="1:8" x14ac:dyDescent="0.25">
      <c r="A4149">
        <v>19384748</v>
      </c>
      <c r="B4149">
        <v>64</v>
      </c>
      <c r="C4149">
        <v>0</v>
      </c>
      <c r="D4149">
        <v>8</v>
      </c>
      <c r="E4149">
        <v>34</v>
      </c>
      <c r="F4149">
        <v>116</v>
      </c>
      <c r="G4149">
        <v>277</v>
      </c>
      <c r="H4149">
        <v>1012.49</v>
      </c>
    </row>
    <row r="4150" spans="1:8" x14ac:dyDescent="0.25">
      <c r="A4150">
        <v>19384749</v>
      </c>
      <c r="B4150">
        <v>23</v>
      </c>
      <c r="C4150">
        <v>0</v>
      </c>
      <c r="D4150">
        <v>6</v>
      </c>
      <c r="E4150">
        <v>9</v>
      </c>
      <c r="F4150">
        <v>43</v>
      </c>
      <c r="G4150">
        <v>100</v>
      </c>
      <c r="H4150">
        <v>1642.1233</v>
      </c>
    </row>
    <row r="4151" spans="1:8" x14ac:dyDescent="0.25">
      <c r="A4151">
        <v>19385454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1</v>
      </c>
      <c r="H4151">
        <v>0</v>
      </c>
    </row>
    <row r="4152" spans="1:8" x14ac:dyDescent="0.25">
      <c r="A4152">
        <v>19385505</v>
      </c>
      <c r="B4152">
        <v>16</v>
      </c>
      <c r="C4152">
        <v>6</v>
      </c>
      <c r="D4152">
        <v>4</v>
      </c>
      <c r="E4152">
        <v>12</v>
      </c>
      <c r="F4152">
        <v>42</v>
      </c>
      <c r="G4152">
        <v>72</v>
      </c>
      <c r="H4152">
        <v>169.99</v>
      </c>
    </row>
    <row r="4153" spans="1:8" x14ac:dyDescent="0.25">
      <c r="A4153">
        <v>19390143</v>
      </c>
      <c r="B4153">
        <v>90</v>
      </c>
      <c r="C4153">
        <v>0</v>
      </c>
      <c r="D4153">
        <v>1</v>
      </c>
      <c r="E4153">
        <v>7</v>
      </c>
      <c r="F4153">
        <v>35</v>
      </c>
      <c r="G4153">
        <v>123</v>
      </c>
      <c r="H4153">
        <v>10.99</v>
      </c>
    </row>
    <row r="4154" spans="1:8" x14ac:dyDescent="0.25">
      <c r="A4154">
        <v>19394911</v>
      </c>
      <c r="B4154">
        <v>25</v>
      </c>
      <c r="C4154">
        <v>0</v>
      </c>
      <c r="D4154">
        <v>0</v>
      </c>
      <c r="E4154">
        <v>2</v>
      </c>
      <c r="F4154">
        <v>68</v>
      </c>
      <c r="G4154">
        <v>298</v>
      </c>
      <c r="H4154">
        <v>0</v>
      </c>
    </row>
    <row r="4155" spans="1:8" x14ac:dyDescent="0.25">
      <c r="A4155">
        <v>19395535</v>
      </c>
      <c r="B4155">
        <v>133</v>
      </c>
      <c r="C4155">
        <v>8</v>
      </c>
      <c r="D4155">
        <v>9</v>
      </c>
      <c r="E4155">
        <v>26</v>
      </c>
      <c r="F4155">
        <v>78</v>
      </c>
      <c r="G4155">
        <v>180</v>
      </c>
      <c r="H4155">
        <v>239.72329999999999</v>
      </c>
    </row>
    <row r="4156" spans="1:8" x14ac:dyDescent="0.25">
      <c r="A4156">
        <v>19395536</v>
      </c>
      <c r="B4156">
        <v>114</v>
      </c>
      <c r="C4156">
        <v>12</v>
      </c>
      <c r="D4156">
        <v>2</v>
      </c>
      <c r="E4156">
        <v>14</v>
      </c>
      <c r="F4156">
        <v>52</v>
      </c>
      <c r="G4156">
        <v>132</v>
      </c>
      <c r="H4156">
        <v>249</v>
      </c>
    </row>
    <row r="4157" spans="1:8" x14ac:dyDescent="0.25">
      <c r="A4157">
        <v>19396655</v>
      </c>
      <c r="B4157">
        <v>0</v>
      </c>
      <c r="C4157">
        <v>0</v>
      </c>
      <c r="D4157">
        <v>0</v>
      </c>
      <c r="E4157">
        <v>0</v>
      </c>
      <c r="F4157">
        <v>1</v>
      </c>
      <c r="G4157">
        <v>19</v>
      </c>
      <c r="H4157">
        <v>0</v>
      </c>
    </row>
    <row r="4158" spans="1:8" x14ac:dyDescent="0.25">
      <c r="A4158">
        <v>19400302</v>
      </c>
      <c r="B4158">
        <v>189</v>
      </c>
      <c r="C4158">
        <v>195</v>
      </c>
      <c r="D4158">
        <v>17</v>
      </c>
      <c r="E4158">
        <v>105</v>
      </c>
      <c r="F4158">
        <v>343</v>
      </c>
      <c r="G4158">
        <v>723</v>
      </c>
      <c r="H4158">
        <v>373.25470000000001</v>
      </c>
    </row>
    <row r="4159" spans="1:8" x14ac:dyDescent="0.25">
      <c r="A4159">
        <v>19401365</v>
      </c>
      <c r="B4159">
        <v>410</v>
      </c>
      <c r="C4159">
        <v>0</v>
      </c>
      <c r="D4159">
        <v>23</v>
      </c>
      <c r="E4159">
        <v>75</v>
      </c>
      <c r="F4159">
        <v>374</v>
      </c>
      <c r="G4159">
        <v>932</v>
      </c>
      <c r="H4159">
        <v>115.2704</v>
      </c>
    </row>
    <row r="4160" spans="1:8" x14ac:dyDescent="0.25">
      <c r="A4160">
        <v>19401366</v>
      </c>
      <c r="B4160">
        <v>290</v>
      </c>
      <c r="C4160">
        <v>0</v>
      </c>
      <c r="D4160">
        <v>37</v>
      </c>
      <c r="E4160">
        <v>128</v>
      </c>
      <c r="F4160">
        <v>386</v>
      </c>
      <c r="G4160">
        <v>770</v>
      </c>
      <c r="H4160">
        <v>146.28890000000001</v>
      </c>
    </row>
    <row r="4161" spans="1:8" x14ac:dyDescent="0.25">
      <c r="A4161">
        <v>19402085</v>
      </c>
      <c r="B4161">
        <v>27</v>
      </c>
      <c r="C4161">
        <v>8</v>
      </c>
      <c r="D4161">
        <v>1</v>
      </c>
      <c r="E4161">
        <v>3</v>
      </c>
      <c r="F4161">
        <v>9</v>
      </c>
      <c r="G4161">
        <v>25</v>
      </c>
      <c r="H4161">
        <v>499</v>
      </c>
    </row>
    <row r="4162" spans="1:8" x14ac:dyDescent="0.25">
      <c r="A4162">
        <v>19402086</v>
      </c>
      <c r="B4162">
        <v>38</v>
      </c>
      <c r="C4162">
        <v>0</v>
      </c>
      <c r="D4162">
        <v>2</v>
      </c>
      <c r="E4162">
        <v>4</v>
      </c>
      <c r="F4162">
        <v>10</v>
      </c>
      <c r="G4162">
        <v>19</v>
      </c>
      <c r="H4162">
        <v>497.49</v>
      </c>
    </row>
    <row r="4163" spans="1:8" x14ac:dyDescent="0.25">
      <c r="A4163">
        <v>19402087</v>
      </c>
      <c r="B4163">
        <v>11</v>
      </c>
      <c r="C4163">
        <v>0</v>
      </c>
      <c r="D4163">
        <v>1</v>
      </c>
      <c r="E4163">
        <v>5</v>
      </c>
      <c r="F4163">
        <v>12</v>
      </c>
      <c r="G4163">
        <v>34</v>
      </c>
      <c r="H4163">
        <v>499</v>
      </c>
    </row>
    <row r="4164" spans="1:8" x14ac:dyDescent="0.25">
      <c r="A4164">
        <v>19405448</v>
      </c>
      <c r="B4164">
        <v>6</v>
      </c>
      <c r="C4164">
        <v>0</v>
      </c>
      <c r="D4164">
        <v>0</v>
      </c>
      <c r="E4164">
        <v>-1</v>
      </c>
      <c r="F4164">
        <v>7</v>
      </c>
      <c r="G4164">
        <v>14</v>
      </c>
      <c r="H4164">
        <v>0</v>
      </c>
    </row>
    <row r="4165" spans="1:8" x14ac:dyDescent="0.25">
      <c r="A4165">
        <v>19407452</v>
      </c>
      <c r="B4165">
        <v>88</v>
      </c>
      <c r="C4165">
        <v>0</v>
      </c>
      <c r="D4165">
        <v>4</v>
      </c>
      <c r="E4165">
        <v>19</v>
      </c>
      <c r="F4165">
        <v>80</v>
      </c>
      <c r="G4165">
        <v>114</v>
      </c>
      <c r="H4165">
        <v>940.45</v>
      </c>
    </row>
    <row r="4166" spans="1:8" x14ac:dyDescent="0.25">
      <c r="A4166">
        <v>19407453</v>
      </c>
      <c r="B4166">
        <v>99</v>
      </c>
      <c r="C4166">
        <v>0</v>
      </c>
      <c r="D4166">
        <v>2</v>
      </c>
      <c r="E4166">
        <v>20</v>
      </c>
      <c r="F4166">
        <v>57</v>
      </c>
      <c r="G4166">
        <v>144</v>
      </c>
      <c r="H4166">
        <v>949.99</v>
      </c>
    </row>
    <row r="4167" spans="1:8" x14ac:dyDescent="0.25">
      <c r="A4167">
        <v>19410054</v>
      </c>
      <c r="B4167">
        <v>4</v>
      </c>
      <c r="C4167">
        <v>0</v>
      </c>
      <c r="D4167">
        <v>0</v>
      </c>
      <c r="E4167">
        <v>0</v>
      </c>
      <c r="F4167">
        <v>1</v>
      </c>
      <c r="G4167">
        <v>40</v>
      </c>
      <c r="H4167">
        <v>0</v>
      </c>
    </row>
    <row r="4168" spans="1:8" x14ac:dyDescent="0.25">
      <c r="A4168">
        <v>19410055</v>
      </c>
      <c r="B4168">
        <v>2</v>
      </c>
      <c r="C4168">
        <v>0</v>
      </c>
      <c r="D4168">
        <v>0</v>
      </c>
      <c r="E4168">
        <v>0</v>
      </c>
      <c r="F4168">
        <v>7</v>
      </c>
      <c r="G4168">
        <v>60</v>
      </c>
      <c r="H4168">
        <v>0</v>
      </c>
    </row>
    <row r="4169" spans="1:8" x14ac:dyDescent="0.25">
      <c r="A4169">
        <v>19410060</v>
      </c>
      <c r="B4169">
        <v>5</v>
      </c>
      <c r="C4169">
        <v>0</v>
      </c>
      <c r="D4169">
        <v>2</v>
      </c>
      <c r="E4169">
        <v>4</v>
      </c>
      <c r="F4169">
        <v>16</v>
      </c>
      <c r="G4169">
        <v>35</v>
      </c>
      <c r="H4169">
        <v>1613.25</v>
      </c>
    </row>
    <row r="4170" spans="1:8" x14ac:dyDescent="0.25">
      <c r="A4170">
        <v>19410061</v>
      </c>
      <c r="B4170">
        <v>39</v>
      </c>
      <c r="C4170">
        <v>0</v>
      </c>
      <c r="D4170">
        <v>3</v>
      </c>
      <c r="E4170">
        <v>14</v>
      </c>
      <c r="F4170">
        <v>52</v>
      </c>
      <c r="G4170">
        <v>165</v>
      </c>
      <c r="H4170">
        <v>1299</v>
      </c>
    </row>
    <row r="4171" spans="1:8" x14ac:dyDescent="0.25">
      <c r="A4171">
        <v>19410062</v>
      </c>
      <c r="B4171">
        <v>80</v>
      </c>
      <c r="C4171">
        <v>0</v>
      </c>
      <c r="D4171">
        <v>4</v>
      </c>
      <c r="E4171">
        <v>20</v>
      </c>
      <c r="F4171">
        <v>68</v>
      </c>
      <c r="G4171">
        <v>115</v>
      </c>
      <c r="H4171">
        <v>2049</v>
      </c>
    </row>
    <row r="4172" spans="1:8" x14ac:dyDescent="0.25">
      <c r="A4172">
        <v>19410063</v>
      </c>
      <c r="B4172">
        <v>44</v>
      </c>
      <c r="C4172">
        <v>0</v>
      </c>
      <c r="D4172">
        <v>5</v>
      </c>
      <c r="E4172">
        <v>16</v>
      </c>
      <c r="F4172">
        <v>59</v>
      </c>
      <c r="G4172">
        <v>121</v>
      </c>
      <c r="H4172">
        <v>1601.048</v>
      </c>
    </row>
    <row r="4173" spans="1:8" x14ac:dyDescent="0.25">
      <c r="A4173">
        <v>19411414</v>
      </c>
      <c r="B4173">
        <v>24</v>
      </c>
      <c r="C4173">
        <v>8</v>
      </c>
      <c r="D4173">
        <v>11</v>
      </c>
      <c r="E4173">
        <v>21</v>
      </c>
      <c r="F4173">
        <v>63</v>
      </c>
      <c r="G4173">
        <v>123</v>
      </c>
      <c r="H4173">
        <v>649.46180000000004</v>
      </c>
    </row>
    <row r="4174" spans="1:8" x14ac:dyDescent="0.25">
      <c r="A4174">
        <v>19411415</v>
      </c>
      <c r="B4174">
        <v>11</v>
      </c>
      <c r="C4174">
        <v>0</v>
      </c>
      <c r="D4174">
        <v>0</v>
      </c>
      <c r="E4174">
        <v>1</v>
      </c>
      <c r="F4174">
        <v>6</v>
      </c>
      <c r="G4174">
        <v>16</v>
      </c>
      <c r="H4174">
        <v>0</v>
      </c>
    </row>
    <row r="4175" spans="1:8" x14ac:dyDescent="0.25">
      <c r="A4175">
        <v>19411417</v>
      </c>
      <c r="B4175">
        <v>87</v>
      </c>
      <c r="C4175">
        <v>8</v>
      </c>
      <c r="D4175">
        <v>5</v>
      </c>
      <c r="E4175">
        <v>29</v>
      </c>
      <c r="F4175">
        <v>97</v>
      </c>
      <c r="G4175">
        <v>175</v>
      </c>
      <c r="H4175">
        <v>423.49599999999998</v>
      </c>
    </row>
    <row r="4176" spans="1:8" x14ac:dyDescent="0.25">
      <c r="A4176">
        <v>19415484</v>
      </c>
      <c r="B4176">
        <v>157</v>
      </c>
      <c r="C4176">
        <v>2</v>
      </c>
      <c r="D4176">
        <v>23</v>
      </c>
      <c r="E4176">
        <v>86</v>
      </c>
      <c r="F4176">
        <v>307</v>
      </c>
      <c r="G4176">
        <v>691</v>
      </c>
      <c r="H4176">
        <v>83.714799999999997</v>
      </c>
    </row>
    <row r="4177" spans="1:8" x14ac:dyDescent="0.25">
      <c r="A4177">
        <v>19415494</v>
      </c>
      <c r="B4177">
        <v>5</v>
      </c>
      <c r="C4177">
        <v>0</v>
      </c>
      <c r="D4177">
        <v>0</v>
      </c>
      <c r="E4177">
        <v>0</v>
      </c>
      <c r="F4177">
        <v>1</v>
      </c>
      <c r="G4177">
        <v>1</v>
      </c>
      <c r="H4177">
        <v>0</v>
      </c>
    </row>
    <row r="4178" spans="1:8" x14ac:dyDescent="0.25">
      <c r="A4178">
        <v>19416994</v>
      </c>
      <c r="B4178">
        <v>61</v>
      </c>
      <c r="C4178">
        <v>0</v>
      </c>
      <c r="D4178">
        <v>4</v>
      </c>
      <c r="E4178">
        <v>19</v>
      </c>
      <c r="F4178">
        <v>48</v>
      </c>
      <c r="G4178">
        <v>81</v>
      </c>
      <c r="H4178">
        <v>103.11499999999999</v>
      </c>
    </row>
    <row r="4179" spans="1:8" x14ac:dyDescent="0.25">
      <c r="A4179">
        <v>19416995</v>
      </c>
      <c r="B4179">
        <v>63</v>
      </c>
      <c r="C4179">
        <v>10</v>
      </c>
      <c r="D4179">
        <v>4</v>
      </c>
      <c r="E4179">
        <v>13</v>
      </c>
      <c r="F4179">
        <v>31</v>
      </c>
      <c r="G4179">
        <v>50</v>
      </c>
      <c r="H4179">
        <v>107.49</v>
      </c>
    </row>
    <row r="4180" spans="1:8" x14ac:dyDescent="0.25">
      <c r="A4180">
        <v>19416996</v>
      </c>
      <c r="B4180">
        <v>59</v>
      </c>
      <c r="C4180">
        <v>0</v>
      </c>
      <c r="D4180">
        <v>2</v>
      </c>
      <c r="E4180">
        <v>14</v>
      </c>
      <c r="F4180">
        <v>38</v>
      </c>
      <c r="G4180">
        <v>57</v>
      </c>
      <c r="H4180">
        <v>109.99</v>
      </c>
    </row>
    <row r="4181" spans="1:8" x14ac:dyDescent="0.25">
      <c r="A4181">
        <v>19416997</v>
      </c>
      <c r="B4181">
        <v>120</v>
      </c>
      <c r="C4181">
        <v>5</v>
      </c>
      <c r="D4181">
        <v>8</v>
      </c>
      <c r="E4181">
        <v>49</v>
      </c>
      <c r="F4181">
        <v>211</v>
      </c>
      <c r="G4181">
        <v>412</v>
      </c>
      <c r="H4181">
        <v>94.15</v>
      </c>
    </row>
    <row r="4182" spans="1:8" x14ac:dyDescent="0.25">
      <c r="A4182">
        <v>19416998</v>
      </c>
      <c r="B4182">
        <v>25</v>
      </c>
      <c r="C4182">
        <v>0</v>
      </c>
      <c r="D4182">
        <v>2</v>
      </c>
      <c r="E4182">
        <v>12</v>
      </c>
      <c r="F4182">
        <v>25</v>
      </c>
      <c r="G4182">
        <v>29</v>
      </c>
      <c r="H4182">
        <v>94.99</v>
      </c>
    </row>
    <row r="4183" spans="1:8" x14ac:dyDescent="0.25">
      <c r="A4183">
        <v>19416999</v>
      </c>
      <c r="B4183">
        <v>24</v>
      </c>
      <c r="C4183">
        <v>10</v>
      </c>
      <c r="D4183">
        <v>2</v>
      </c>
      <c r="E4183">
        <v>9</v>
      </c>
      <c r="F4183">
        <v>37</v>
      </c>
      <c r="G4183">
        <v>60</v>
      </c>
      <c r="H4183">
        <v>88.98</v>
      </c>
    </row>
    <row r="4184" spans="1:8" x14ac:dyDescent="0.25">
      <c r="A4184">
        <v>19417003</v>
      </c>
      <c r="B4184">
        <v>142</v>
      </c>
      <c r="C4184">
        <v>0</v>
      </c>
      <c r="D4184">
        <v>6</v>
      </c>
      <c r="E4184">
        <v>40</v>
      </c>
      <c r="F4184">
        <v>153</v>
      </c>
      <c r="G4184">
        <v>296</v>
      </c>
      <c r="H4184">
        <v>126.1083</v>
      </c>
    </row>
    <row r="4185" spans="1:8" x14ac:dyDescent="0.25">
      <c r="A4185">
        <v>19417004</v>
      </c>
      <c r="B4185">
        <v>60</v>
      </c>
      <c r="C4185">
        <v>5</v>
      </c>
      <c r="D4185">
        <v>4</v>
      </c>
      <c r="E4185">
        <v>19</v>
      </c>
      <c r="F4185">
        <v>40</v>
      </c>
      <c r="G4185">
        <v>44</v>
      </c>
      <c r="H4185">
        <v>125.0425</v>
      </c>
    </row>
    <row r="4186" spans="1:8" x14ac:dyDescent="0.25">
      <c r="A4186">
        <v>19417005</v>
      </c>
      <c r="B4186">
        <v>0</v>
      </c>
      <c r="C4186">
        <v>5</v>
      </c>
      <c r="D4186">
        <v>0</v>
      </c>
      <c r="E4186">
        <v>0</v>
      </c>
      <c r="F4186">
        <v>0</v>
      </c>
      <c r="G4186">
        <v>5</v>
      </c>
      <c r="H4186">
        <v>0</v>
      </c>
    </row>
    <row r="4187" spans="1:8" x14ac:dyDescent="0.25">
      <c r="A4187">
        <v>19417014</v>
      </c>
      <c r="B4187">
        <v>13</v>
      </c>
      <c r="C4187">
        <v>0</v>
      </c>
      <c r="D4187">
        <v>0</v>
      </c>
      <c r="E4187">
        <v>1</v>
      </c>
      <c r="F4187">
        <v>3</v>
      </c>
      <c r="G4187">
        <v>22</v>
      </c>
      <c r="H4187">
        <v>0</v>
      </c>
    </row>
    <row r="4188" spans="1:8" x14ac:dyDescent="0.25">
      <c r="A4188">
        <v>19417015</v>
      </c>
      <c r="B4188">
        <v>1</v>
      </c>
      <c r="C4188">
        <v>0</v>
      </c>
      <c r="D4188">
        <v>0</v>
      </c>
      <c r="E4188">
        <v>0</v>
      </c>
      <c r="F4188">
        <v>0</v>
      </c>
      <c r="G4188">
        <v>0</v>
      </c>
      <c r="H4188">
        <v>0</v>
      </c>
    </row>
    <row r="4189" spans="1:8" x14ac:dyDescent="0.25">
      <c r="A4189">
        <v>19417016</v>
      </c>
      <c r="B4189">
        <v>15</v>
      </c>
      <c r="C4189">
        <v>0</v>
      </c>
      <c r="D4189">
        <v>1</v>
      </c>
      <c r="E4189">
        <v>1</v>
      </c>
      <c r="F4189">
        <v>4</v>
      </c>
      <c r="G4189">
        <v>20</v>
      </c>
      <c r="H4189">
        <v>742.49</v>
      </c>
    </row>
    <row r="4190" spans="1:8" x14ac:dyDescent="0.25">
      <c r="A4190">
        <v>19417017</v>
      </c>
      <c r="B4190">
        <v>6</v>
      </c>
      <c r="C4190">
        <v>2</v>
      </c>
      <c r="D4190">
        <v>0</v>
      </c>
      <c r="E4190">
        <v>57</v>
      </c>
      <c r="F4190">
        <v>61</v>
      </c>
      <c r="G4190">
        <v>68</v>
      </c>
      <c r="H4190">
        <v>0</v>
      </c>
    </row>
    <row r="4191" spans="1:8" x14ac:dyDescent="0.25">
      <c r="A4191">
        <v>19417018</v>
      </c>
      <c r="B4191">
        <v>0</v>
      </c>
      <c r="C4191">
        <v>6</v>
      </c>
      <c r="D4191">
        <v>0</v>
      </c>
      <c r="E4191">
        <v>0</v>
      </c>
      <c r="F4191">
        <v>6</v>
      </c>
      <c r="G4191">
        <v>8</v>
      </c>
      <c r="H4191">
        <v>0</v>
      </c>
    </row>
    <row r="4192" spans="1:8" x14ac:dyDescent="0.25">
      <c r="A4192">
        <v>19417019</v>
      </c>
      <c r="B4192">
        <v>7</v>
      </c>
      <c r="C4192">
        <v>0</v>
      </c>
      <c r="D4192">
        <v>-1</v>
      </c>
      <c r="E4192">
        <v>3</v>
      </c>
      <c r="F4192">
        <v>18</v>
      </c>
      <c r="G4192">
        <v>25</v>
      </c>
      <c r="H4192">
        <v>1339.49</v>
      </c>
    </row>
    <row r="4193" spans="1:8" x14ac:dyDescent="0.25">
      <c r="A4193">
        <v>19417020</v>
      </c>
      <c r="B4193">
        <v>34</v>
      </c>
      <c r="C4193">
        <v>33</v>
      </c>
      <c r="D4193">
        <v>0</v>
      </c>
      <c r="E4193">
        <v>16</v>
      </c>
      <c r="F4193">
        <v>63</v>
      </c>
      <c r="G4193">
        <v>107</v>
      </c>
      <c r="H4193">
        <v>0</v>
      </c>
    </row>
    <row r="4194" spans="1:8" x14ac:dyDescent="0.25">
      <c r="A4194">
        <v>19417021</v>
      </c>
      <c r="B4194">
        <v>13</v>
      </c>
      <c r="C4194">
        <v>13</v>
      </c>
      <c r="D4194">
        <v>7</v>
      </c>
      <c r="E4194">
        <v>16</v>
      </c>
      <c r="F4194">
        <v>65</v>
      </c>
      <c r="G4194">
        <v>112</v>
      </c>
      <c r="H4194">
        <v>1766.5614</v>
      </c>
    </row>
    <row r="4195" spans="1:8" x14ac:dyDescent="0.25">
      <c r="A4195">
        <v>19417605</v>
      </c>
      <c r="B4195">
        <v>166</v>
      </c>
      <c r="C4195">
        <v>6</v>
      </c>
      <c r="D4195">
        <v>6</v>
      </c>
      <c r="E4195">
        <v>14</v>
      </c>
      <c r="F4195">
        <v>64</v>
      </c>
      <c r="G4195">
        <v>103</v>
      </c>
      <c r="H4195">
        <v>27.7683</v>
      </c>
    </row>
    <row r="4196" spans="1:8" x14ac:dyDescent="0.25">
      <c r="A4196">
        <v>19417606</v>
      </c>
      <c r="B4196">
        <v>90</v>
      </c>
      <c r="C4196">
        <v>3</v>
      </c>
      <c r="D4196">
        <v>2</v>
      </c>
      <c r="E4196">
        <v>10</v>
      </c>
      <c r="F4196">
        <v>29</v>
      </c>
      <c r="G4196">
        <v>41</v>
      </c>
      <c r="H4196">
        <v>22.844999999999999</v>
      </c>
    </row>
    <row r="4197" spans="1:8" x14ac:dyDescent="0.25">
      <c r="A4197">
        <v>19417607</v>
      </c>
      <c r="B4197">
        <v>56</v>
      </c>
      <c r="C4197">
        <v>69</v>
      </c>
      <c r="D4197">
        <v>8</v>
      </c>
      <c r="E4197">
        <v>23</v>
      </c>
      <c r="F4197">
        <v>108</v>
      </c>
      <c r="G4197">
        <v>216</v>
      </c>
      <c r="H4197">
        <v>17.004999999999999</v>
      </c>
    </row>
    <row r="4198" spans="1:8" x14ac:dyDescent="0.25">
      <c r="A4198">
        <v>19417608</v>
      </c>
      <c r="B4198">
        <v>61</v>
      </c>
      <c r="C4198">
        <v>78</v>
      </c>
      <c r="D4198">
        <v>10</v>
      </c>
      <c r="E4198">
        <v>48</v>
      </c>
      <c r="F4198">
        <v>129</v>
      </c>
      <c r="G4198">
        <v>178</v>
      </c>
      <c r="H4198">
        <v>24.969000000000001</v>
      </c>
    </row>
    <row r="4199" spans="1:8" x14ac:dyDescent="0.25">
      <c r="A4199">
        <v>19417609</v>
      </c>
      <c r="B4199">
        <v>184</v>
      </c>
      <c r="C4199">
        <v>39</v>
      </c>
      <c r="D4199">
        <v>10</v>
      </c>
      <c r="E4199">
        <v>57</v>
      </c>
      <c r="F4199">
        <v>165</v>
      </c>
      <c r="G4199">
        <v>259</v>
      </c>
      <c r="H4199">
        <v>12.441000000000001</v>
      </c>
    </row>
    <row r="4200" spans="1:8" x14ac:dyDescent="0.25">
      <c r="A4200">
        <v>19417610</v>
      </c>
      <c r="B4200">
        <v>22</v>
      </c>
      <c r="C4200">
        <v>4</v>
      </c>
      <c r="D4200">
        <v>0</v>
      </c>
      <c r="E4200">
        <v>6</v>
      </c>
      <c r="F4200">
        <v>30</v>
      </c>
      <c r="G4200">
        <v>58</v>
      </c>
      <c r="H4200">
        <v>0</v>
      </c>
    </row>
    <row r="4201" spans="1:8" x14ac:dyDescent="0.25">
      <c r="A4201">
        <v>19417611</v>
      </c>
      <c r="B4201">
        <v>73</v>
      </c>
      <c r="C4201">
        <v>3</v>
      </c>
      <c r="D4201">
        <v>0</v>
      </c>
      <c r="E4201">
        <v>4</v>
      </c>
      <c r="F4201">
        <v>18</v>
      </c>
      <c r="G4201">
        <v>37</v>
      </c>
      <c r="H4201">
        <v>0</v>
      </c>
    </row>
    <row r="4202" spans="1:8" x14ac:dyDescent="0.25">
      <c r="A4202">
        <v>19417612</v>
      </c>
      <c r="B4202">
        <v>32</v>
      </c>
      <c r="C4202">
        <v>0</v>
      </c>
      <c r="D4202">
        <v>0</v>
      </c>
      <c r="E4202">
        <v>0</v>
      </c>
      <c r="F4202">
        <v>27</v>
      </c>
      <c r="G4202">
        <v>37</v>
      </c>
      <c r="H4202">
        <v>0</v>
      </c>
    </row>
    <row r="4203" spans="1:8" x14ac:dyDescent="0.25">
      <c r="A4203">
        <v>19417613</v>
      </c>
      <c r="B4203">
        <v>56</v>
      </c>
      <c r="C4203">
        <v>15</v>
      </c>
      <c r="D4203">
        <v>1</v>
      </c>
      <c r="E4203">
        <v>7</v>
      </c>
      <c r="F4203">
        <v>38</v>
      </c>
      <c r="G4203">
        <v>71</v>
      </c>
      <c r="H4203">
        <v>24.44</v>
      </c>
    </row>
    <row r="4204" spans="1:8" x14ac:dyDescent="0.25">
      <c r="A4204">
        <v>19417614</v>
      </c>
      <c r="B4204">
        <v>47</v>
      </c>
      <c r="C4204">
        <v>0</v>
      </c>
      <c r="D4204">
        <v>0</v>
      </c>
      <c r="E4204">
        <v>5</v>
      </c>
      <c r="F4204">
        <v>17</v>
      </c>
      <c r="G4204">
        <v>30</v>
      </c>
      <c r="H4204">
        <v>0</v>
      </c>
    </row>
    <row r="4205" spans="1:8" x14ac:dyDescent="0.25">
      <c r="A4205">
        <v>19417615</v>
      </c>
      <c r="B4205">
        <v>21</v>
      </c>
      <c r="C4205">
        <v>0</v>
      </c>
      <c r="D4205">
        <v>0</v>
      </c>
      <c r="E4205">
        <v>3</v>
      </c>
      <c r="F4205">
        <v>6</v>
      </c>
      <c r="G4205">
        <v>20</v>
      </c>
      <c r="H4205">
        <v>0</v>
      </c>
    </row>
    <row r="4206" spans="1:8" x14ac:dyDescent="0.25">
      <c r="A4206">
        <v>19419458</v>
      </c>
      <c r="B4206">
        <v>27</v>
      </c>
      <c r="C4206">
        <v>0</v>
      </c>
      <c r="D4206">
        <v>6</v>
      </c>
      <c r="E4206">
        <v>54</v>
      </c>
      <c r="F4206">
        <v>403</v>
      </c>
      <c r="G4206">
        <v>5494</v>
      </c>
      <c r="H4206">
        <v>497.06670000000003</v>
      </c>
    </row>
    <row r="4207" spans="1:8" x14ac:dyDescent="0.25">
      <c r="A4207">
        <v>19420513</v>
      </c>
      <c r="B4207">
        <v>381</v>
      </c>
      <c r="C4207">
        <v>0</v>
      </c>
      <c r="D4207">
        <v>3</v>
      </c>
      <c r="E4207">
        <v>33</v>
      </c>
      <c r="F4207">
        <v>184</v>
      </c>
      <c r="G4207">
        <v>440</v>
      </c>
      <c r="H4207">
        <v>163.98330000000001</v>
      </c>
    </row>
    <row r="4208" spans="1:8" x14ac:dyDescent="0.25">
      <c r="A4208">
        <v>19420514</v>
      </c>
      <c r="B4208">
        <v>321</v>
      </c>
      <c r="C4208">
        <v>0</v>
      </c>
      <c r="D4208">
        <v>13</v>
      </c>
      <c r="E4208">
        <v>38</v>
      </c>
      <c r="F4208">
        <v>133</v>
      </c>
      <c r="G4208">
        <v>364</v>
      </c>
      <c r="H4208">
        <v>163.4931</v>
      </c>
    </row>
    <row r="4209" spans="1:8" x14ac:dyDescent="0.25">
      <c r="A4209">
        <v>19424944</v>
      </c>
      <c r="B4209">
        <v>411</v>
      </c>
      <c r="C4209">
        <v>272</v>
      </c>
      <c r="D4209">
        <v>52</v>
      </c>
      <c r="E4209">
        <v>217</v>
      </c>
      <c r="F4209">
        <v>564</v>
      </c>
      <c r="G4209">
        <v>1105</v>
      </c>
      <c r="H4209">
        <v>18.8581</v>
      </c>
    </row>
    <row r="4210" spans="1:8" x14ac:dyDescent="0.25">
      <c r="A4210">
        <v>19424945</v>
      </c>
      <c r="B4210">
        <v>343</v>
      </c>
      <c r="C4210">
        <v>148</v>
      </c>
      <c r="D4210">
        <v>28</v>
      </c>
      <c r="E4210">
        <v>92</v>
      </c>
      <c r="F4210">
        <v>270</v>
      </c>
      <c r="G4210">
        <v>774</v>
      </c>
      <c r="H4210">
        <v>23.665400000000002</v>
      </c>
    </row>
    <row r="4211" spans="1:8" x14ac:dyDescent="0.25">
      <c r="A4211">
        <v>19424947</v>
      </c>
      <c r="B4211">
        <v>219</v>
      </c>
      <c r="C4211">
        <v>0</v>
      </c>
      <c r="D4211">
        <v>3</v>
      </c>
      <c r="E4211">
        <v>12</v>
      </c>
      <c r="F4211">
        <v>40</v>
      </c>
      <c r="G4211">
        <v>139</v>
      </c>
      <c r="H4211">
        <v>164.99</v>
      </c>
    </row>
    <row r="4212" spans="1:8" x14ac:dyDescent="0.25">
      <c r="A4212">
        <v>19424950</v>
      </c>
      <c r="B4212">
        <v>558</v>
      </c>
      <c r="C4212">
        <v>0</v>
      </c>
      <c r="D4212">
        <v>10</v>
      </c>
      <c r="E4212">
        <v>57</v>
      </c>
      <c r="F4212">
        <v>141</v>
      </c>
      <c r="G4212">
        <v>347</v>
      </c>
      <c r="H4212">
        <v>27.408999999999999</v>
      </c>
    </row>
    <row r="4213" spans="1:8" x14ac:dyDescent="0.25">
      <c r="A4213">
        <v>19424952</v>
      </c>
      <c r="B4213">
        <v>149</v>
      </c>
      <c r="C4213">
        <v>32</v>
      </c>
      <c r="D4213">
        <v>8</v>
      </c>
      <c r="E4213">
        <v>35</v>
      </c>
      <c r="F4213">
        <v>123</v>
      </c>
      <c r="G4213">
        <v>340</v>
      </c>
      <c r="H4213">
        <v>29.934999999999999</v>
      </c>
    </row>
    <row r="4214" spans="1:8" x14ac:dyDescent="0.25">
      <c r="A4214">
        <v>19424953</v>
      </c>
      <c r="B4214">
        <v>152</v>
      </c>
      <c r="C4214">
        <v>32</v>
      </c>
      <c r="D4214">
        <v>6</v>
      </c>
      <c r="E4214">
        <v>25</v>
      </c>
      <c r="F4214">
        <v>105</v>
      </c>
      <c r="G4214">
        <v>293</v>
      </c>
      <c r="H4214">
        <v>34.6083</v>
      </c>
    </row>
    <row r="4215" spans="1:8" x14ac:dyDescent="0.25">
      <c r="A4215">
        <v>19424954</v>
      </c>
      <c r="B4215">
        <v>97</v>
      </c>
      <c r="C4215">
        <v>84</v>
      </c>
      <c r="D4215">
        <v>6</v>
      </c>
      <c r="E4215">
        <v>10</v>
      </c>
      <c r="F4215">
        <v>96</v>
      </c>
      <c r="G4215">
        <v>361</v>
      </c>
      <c r="H4215">
        <v>22.908300000000001</v>
      </c>
    </row>
    <row r="4216" spans="1:8" x14ac:dyDescent="0.25">
      <c r="A4216">
        <v>19424955</v>
      </c>
      <c r="B4216">
        <v>262</v>
      </c>
      <c r="C4216">
        <v>252</v>
      </c>
      <c r="D4216">
        <v>42</v>
      </c>
      <c r="E4216">
        <v>166</v>
      </c>
      <c r="F4216">
        <v>442</v>
      </c>
      <c r="G4216">
        <v>952</v>
      </c>
      <c r="H4216">
        <v>16.746700000000001</v>
      </c>
    </row>
    <row r="4217" spans="1:8" x14ac:dyDescent="0.25">
      <c r="A4217">
        <v>19424956</v>
      </c>
      <c r="B4217">
        <v>3</v>
      </c>
      <c r="C4217">
        <v>0</v>
      </c>
      <c r="D4217">
        <v>0</v>
      </c>
      <c r="E4217">
        <v>8</v>
      </c>
      <c r="F4217">
        <v>33</v>
      </c>
      <c r="G4217">
        <v>83</v>
      </c>
      <c r="H4217">
        <v>0</v>
      </c>
    </row>
    <row r="4218" spans="1:8" x14ac:dyDescent="0.25">
      <c r="A4218">
        <v>19426015</v>
      </c>
      <c r="B4218">
        <v>2</v>
      </c>
      <c r="C4218">
        <v>0</v>
      </c>
      <c r="D4218">
        <v>0</v>
      </c>
      <c r="E4218">
        <v>1</v>
      </c>
      <c r="F4218">
        <v>1</v>
      </c>
      <c r="G4218">
        <v>2</v>
      </c>
      <c r="H4218">
        <v>0</v>
      </c>
    </row>
    <row r="4219" spans="1:8" x14ac:dyDescent="0.25">
      <c r="A4219">
        <v>19426016</v>
      </c>
      <c r="B4219">
        <v>2</v>
      </c>
      <c r="C4219">
        <v>0</v>
      </c>
      <c r="D4219">
        <v>0</v>
      </c>
      <c r="E4219">
        <v>2</v>
      </c>
      <c r="F4219">
        <v>4</v>
      </c>
      <c r="G4219">
        <v>10</v>
      </c>
      <c r="H4219">
        <v>0</v>
      </c>
    </row>
    <row r="4220" spans="1:8" x14ac:dyDescent="0.25">
      <c r="A4220">
        <v>19426017</v>
      </c>
      <c r="B4220">
        <v>4</v>
      </c>
      <c r="C4220">
        <v>0</v>
      </c>
      <c r="D4220">
        <v>0</v>
      </c>
      <c r="E4220">
        <v>0</v>
      </c>
      <c r="F4220">
        <v>4</v>
      </c>
      <c r="G4220">
        <v>8</v>
      </c>
      <c r="H4220">
        <v>0</v>
      </c>
    </row>
    <row r="4221" spans="1:8" x14ac:dyDescent="0.25">
      <c r="A4221">
        <v>19426019</v>
      </c>
      <c r="B4221">
        <v>57</v>
      </c>
      <c r="C4221">
        <v>24</v>
      </c>
      <c r="D4221">
        <v>3</v>
      </c>
      <c r="E4221">
        <v>18</v>
      </c>
      <c r="F4221">
        <v>62</v>
      </c>
      <c r="G4221">
        <v>107</v>
      </c>
      <c r="H4221">
        <v>110.99</v>
      </c>
    </row>
    <row r="4222" spans="1:8" x14ac:dyDescent="0.25">
      <c r="A4222">
        <v>19426020</v>
      </c>
      <c r="B4222">
        <v>44</v>
      </c>
      <c r="C4222">
        <v>12</v>
      </c>
      <c r="D4222">
        <v>4</v>
      </c>
      <c r="E4222">
        <v>11</v>
      </c>
      <c r="F4222">
        <v>27</v>
      </c>
      <c r="G4222">
        <v>63</v>
      </c>
      <c r="H4222">
        <v>168.51</v>
      </c>
    </row>
    <row r="4223" spans="1:8" x14ac:dyDescent="0.25">
      <c r="A4223">
        <v>19426021</v>
      </c>
      <c r="B4223">
        <v>19</v>
      </c>
      <c r="C4223">
        <v>20</v>
      </c>
      <c r="D4223">
        <v>0</v>
      </c>
      <c r="E4223">
        <v>7</v>
      </c>
      <c r="F4223">
        <v>20</v>
      </c>
      <c r="G4223">
        <v>43</v>
      </c>
      <c r="H4223">
        <v>0</v>
      </c>
    </row>
    <row r="4224" spans="1:8" x14ac:dyDescent="0.25">
      <c r="A4224">
        <v>19428193</v>
      </c>
      <c r="B4224">
        <v>73</v>
      </c>
      <c r="C4224">
        <v>12</v>
      </c>
      <c r="D4224">
        <v>8</v>
      </c>
      <c r="E4224">
        <v>30</v>
      </c>
      <c r="F4224">
        <v>97</v>
      </c>
      <c r="G4224">
        <v>234</v>
      </c>
      <c r="H4224">
        <v>99.622500000000002</v>
      </c>
    </row>
    <row r="4225" spans="1:8" x14ac:dyDescent="0.25">
      <c r="A4225">
        <v>19428194</v>
      </c>
      <c r="B4225">
        <v>92</v>
      </c>
      <c r="C4225">
        <v>6</v>
      </c>
      <c r="D4225">
        <v>8</v>
      </c>
      <c r="E4225">
        <v>22</v>
      </c>
      <c r="F4225">
        <v>59</v>
      </c>
      <c r="G4225">
        <v>160</v>
      </c>
      <c r="H4225">
        <v>99.99</v>
      </c>
    </row>
    <row r="4226" spans="1:8" x14ac:dyDescent="0.25">
      <c r="A4226">
        <v>19428195</v>
      </c>
      <c r="B4226">
        <v>88</v>
      </c>
      <c r="C4226">
        <v>6</v>
      </c>
      <c r="D4226">
        <v>1</v>
      </c>
      <c r="E4226">
        <v>4</v>
      </c>
      <c r="F4226">
        <v>12</v>
      </c>
      <c r="G4226">
        <v>42</v>
      </c>
      <c r="H4226">
        <v>24.99</v>
      </c>
    </row>
    <row r="4227" spans="1:8" x14ac:dyDescent="0.25">
      <c r="A4227">
        <v>19428196</v>
      </c>
      <c r="B4227">
        <v>78</v>
      </c>
      <c r="C4227">
        <v>0</v>
      </c>
      <c r="D4227">
        <v>2</v>
      </c>
      <c r="E4227">
        <v>7</v>
      </c>
      <c r="F4227">
        <v>33</v>
      </c>
      <c r="G4227">
        <v>65</v>
      </c>
      <c r="H4227">
        <v>19.989999999999998</v>
      </c>
    </row>
    <row r="4228" spans="1:8" x14ac:dyDescent="0.25">
      <c r="A4228">
        <v>19434744</v>
      </c>
      <c r="B4228">
        <v>309</v>
      </c>
      <c r="C4228">
        <v>72</v>
      </c>
      <c r="D4228">
        <v>19</v>
      </c>
      <c r="E4228">
        <v>76</v>
      </c>
      <c r="F4228">
        <v>326</v>
      </c>
      <c r="G4228">
        <v>326</v>
      </c>
      <c r="H4228">
        <v>29.021100000000001</v>
      </c>
    </row>
    <row r="4229" spans="1:8" x14ac:dyDescent="0.25">
      <c r="A4229">
        <v>19434745</v>
      </c>
      <c r="B4229">
        <v>362</v>
      </c>
      <c r="C4229">
        <v>48</v>
      </c>
      <c r="D4229">
        <v>15</v>
      </c>
      <c r="E4229">
        <v>61</v>
      </c>
      <c r="F4229">
        <v>210</v>
      </c>
      <c r="G4229">
        <v>210</v>
      </c>
      <c r="H4229">
        <v>39.971299999999999</v>
      </c>
    </row>
    <row r="4230" spans="1:8" x14ac:dyDescent="0.25">
      <c r="A4230">
        <v>19434845</v>
      </c>
      <c r="B4230">
        <v>10</v>
      </c>
      <c r="C4230">
        <v>0</v>
      </c>
      <c r="D4230">
        <v>0</v>
      </c>
      <c r="E4230">
        <v>0</v>
      </c>
      <c r="F4230">
        <v>0</v>
      </c>
      <c r="G4230">
        <v>0</v>
      </c>
      <c r="H4230">
        <v>0</v>
      </c>
    </row>
    <row r="4231" spans="1:8" x14ac:dyDescent="0.25">
      <c r="A4231">
        <v>19437027</v>
      </c>
      <c r="B4231">
        <v>4</v>
      </c>
      <c r="C4231">
        <v>0</v>
      </c>
      <c r="D4231">
        <v>0</v>
      </c>
      <c r="E4231">
        <v>1</v>
      </c>
      <c r="F4231">
        <v>4</v>
      </c>
      <c r="G4231">
        <v>19</v>
      </c>
      <c r="H4231">
        <v>0</v>
      </c>
    </row>
    <row r="4232" spans="1:8" x14ac:dyDescent="0.25">
      <c r="A4232">
        <v>19437028</v>
      </c>
      <c r="B4232">
        <v>9</v>
      </c>
      <c r="C4232">
        <v>0</v>
      </c>
      <c r="D4232">
        <v>0</v>
      </c>
      <c r="E4232">
        <v>1</v>
      </c>
      <c r="F4232">
        <v>3</v>
      </c>
      <c r="G4232">
        <v>15</v>
      </c>
      <c r="H4232">
        <v>0</v>
      </c>
    </row>
    <row r="4233" spans="1:8" x14ac:dyDescent="0.25">
      <c r="A4233">
        <v>19437029</v>
      </c>
      <c r="B4233">
        <v>1</v>
      </c>
      <c r="C4233">
        <v>0</v>
      </c>
      <c r="D4233">
        <v>0</v>
      </c>
      <c r="E4233">
        <v>5</v>
      </c>
      <c r="F4233">
        <v>6</v>
      </c>
      <c r="G4233">
        <v>6</v>
      </c>
      <c r="H4233">
        <v>0</v>
      </c>
    </row>
    <row r="4234" spans="1:8" x14ac:dyDescent="0.25">
      <c r="A4234">
        <v>19437030</v>
      </c>
      <c r="B4234">
        <v>8</v>
      </c>
      <c r="C4234">
        <v>0</v>
      </c>
      <c r="D4234">
        <v>0</v>
      </c>
      <c r="E4234">
        <v>0</v>
      </c>
      <c r="F4234">
        <v>0</v>
      </c>
      <c r="G4234">
        <v>1</v>
      </c>
      <c r="H4234">
        <v>0</v>
      </c>
    </row>
    <row r="4235" spans="1:8" x14ac:dyDescent="0.25">
      <c r="A4235">
        <v>19437031</v>
      </c>
      <c r="B4235">
        <v>17</v>
      </c>
      <c r="C4235">
        <v>0</v>
      </c>
      <c r="D4235">
        <v>0</v>
      </c>
      <c r="E4235">
        <v>1</v>
      </c>
      <c r="F4235">
        <v>1</v>
      </c>
      <c r="G4235">
        <v>3</v>
      </c>
      <c r="H4235">
        <v>0</v>
      </c>
    </row>
    <row r="4236" spans="1:8" x14ac:dyDescent="0.25">
      <c r="A4236">
        <v>19437032</v>
      </c>
      <c r="B4236">
        <v>3</v>
      </c>
      <c r="C4236">
        <v>0</v>
      </c>
      <c r="D4236">
        <v>0</v>
      </c>
      <c r="E4236">
        <v>2</v>
      </c>
      <c r="F4236">
        <v>4</v>
      </c>
      <c r="G4236">
        <v>6</v>
      </c>
      <c r="H4236">
        <v>0</v>
      </c>
    </row>
    <row r="4237" spans="1:8" x14ac:dyDescent="0.25">
      <c r="A4237">
        <v>19437033</v>
      </c>
      <c r="B4237">
        <v>17</v>
      </c>
      <c r="C4237">
        <v>0</v>
      </c>
      <c r="D4237">
        <v>1</v>
      </c>
      <c r="E4237">
        <v>2</v>
      </c>
      <c r="F4237">
        <v>6</v>
      </c>
      <c r="G4237">
        <v>6</v>
      </c>
      <c r="H4237">
        <v>12.29</v>
      </c>
    </row>
    <row r="4238" spans="1:8" x14ac:dyDescent="0.25">
      <c r="A4238">
        <v>19437034</v>
      </c>
      <c r="B4238">
        <v>15</v>
      </c>
      <c r="C4238">
        <v>0</v>
      </c>
      <c r="D4238">
        <v>0</v>
      </c>
      <c r="E4238">
        <v>1</v>
      </c>
      <c r="F4238">
        <v>5</v>
      </c>
      <c r="G4238">
        <v>8</v>
      </c>
      <c r="H4238">
        <v>0</v>
      </c>
    </row>
    <row r="4239" spans="1:8" x14ac:dyDescent="0.25">
      <c r="A4239">
        <v>19437854</v>
      </c>
      <c r="B4239">
        <v>371</v>
      </c>
      <c r="C4239">
        <v>400</v>
      </c>
      <c r="D4239">
        <v>46</v>
      </c>
      <c r="E4239">
        <v>213</v>
      </c>
      <c r="F4239">
        <v>858</v>
      </c>
      <c r="G4239">
        <v>1959</v>
      </c>
      <c r="H4239">
        <v>115.815</v>
      </c>
    </row>
    <row r="4240" spans="1:8" x14ac:dyDescent="0.25">
      <c r="A4240">
        <v>19437855</v>
      </c>
      <c r="B4240">
        <v>772</v>
      </c>
      <c r="C4240">
        <v>208</v>
      </c>
      <c r="D4240">
        <v>138</v>
      </c>
      <c r="E4240">
        <v>456</v>
      </c>
      <c r="F4240">
        <v>1607</v>
      </c>
      <c r="G4240">
        <v>4737</v>
      </c>
      <c r="H4240">
        <v>98.311700000000002</v>
      </c>
    </row>
    <row r="4241" spans="1:8" x14ac:dyDescent="0.25">
      <c r="A4241">
        <v>19441244</v>
      </c>
      <c r="B4241">
        <v>46</v>
      </c>
      <c r="C4241">
        <v>25</v>
      </c>
      <c r="D4241">
        <v>10</v>
      </c>
      <c r="E4241">
        <v>26</v>
      </c>
      <c r="F4241">
        <v>60</v>
      </c>
      <c r="G4241">
        <v>115</v>
      </c>
      <c r="H4241">
        <v>781.04600000000005</v>
      </c>
    </row>
    <row r="4242" spans="1:8" x14ac:dyDescent="0.25">
      <c r="A4242">
        <v>19441775</v>
      </c>
      <c r="B4242">
        <v>0</v>
      </c>
      <c r="C4242">
        <v>0</v>
      </c>
      <c r="D4242">
        <v>0</v>
      </c>
      <c r="E4242">
        <v>0</v>
      </c>
      <c r="F4242">
        <v>13</v>
      </c>
      <c r="G4242">
        <v>40</v>
      </c>
      <c r="H4242">
        <v>0</v>
      </c>
    </row>
    <row r="4243" spans="1:8" x14ac:dyDescent="0.25">
      <c r="A4243">
        <v>19441776</v>
      </c>
      <c r="B4243">
        <v>17</v>
      </c>
      <c r="C4243">
        <v>0</v>
      </c>
      <c r="D4243">
        <v>0</v>
      </c>
      <c r="E4243">
        <v>7</v>
      </c>
      <c r="F4243">
        <v>19</v>
      </c>
      <c r="G4243">
        <v>57</v>
      </c>
      <c r="H4243">
        <v>0</v>
      </c>
    </row>
    <row r="4244" spans="1:8" x14ac:dyDescent="0.25">
      <c r="A4244">
        <v>19441777</v>
      </c>
      <c r="B4244">
        <v>5</v>
      </c>
      <c r="C4244">
        <v>0</v>
      </c>
      <c r="D4244">
        <v>8</v>
      </c>
      <c r="E4244">
        <v>8</v>
      </c>
      <c r="F4244">
        <v>13</v>
      </c>
      <c r="G4244">
        <v>34</v>
      </c>
      <c r="H4244">
        <v>9.9700000000000006</v>
      </c>
    </row>
    <row r="4245" spans="1:8" x14ac:dyDescent="0.25">
      <c r="A4245">
        <v>19442314</v>
      </c>
      <c r="B4245">
        <v>48</v>
      </c>
      <c r="C4245">
        <v>0</v>
      </c>
      <c r="D4245">
        <v>1</v>
      </c>
      <c r="E4245">
        <v>10</v>
      </c>
      <c r="F4245">
        <v>21</v>
      </c>
      <c r="G4245">
        <v>39</v>
      </c>
      <c r="H4245">
        <v>1849.99</v>
      </c>
    </row>
    <row r="4246" spans="1:8" x14ac:dyDescent="0.25">
      <c r="A4246">
        <v>19442500</v>
      </c>
      <c r="B4246">
        <v>132</v>
      </c>
      <c r="C4246">
        <v>0</v>
      </c>
      <c r="D4246">
        <v>1</v>
      </c>
      <c r="E4246">
        <v>12</v>
      </c>
      <c r="F4246">
        <v>63</v>
      </c>
      <c r="G4246">
        <v>182</v>
      </c>
      <c r="H4246">
        <v>29.97</v>
      </c>
    </row>
    <row r="4247" spans="1:8" x14ac:dyDescent="0.25">
      <c r="A4247">
        <v>19442501</v>
      </c>
      <c r="B4247">
        <v>34</v>
      </c>
      <c r="C4247">
        <v>0</v>
      </c>
      <c r="D4247">
        <v>0</v>
      </c>
      <c r="E4247">
        <v>7</v>
      </c>
      <c r="F4247">
        <v>41</v>
      </c>
      <c r="G4247">
        <v>146</v>
      </c>
      <c r="H4247">
        <v>0</v>
      </c>
    </row>
    <row r="4248" spans="1:8" x14ac:dyDescent="0.25">
      <c r="A4248">
        <v>19442502</v>
      </c>
      <c r="B4248">
        <v>175</v>
      </c>
      <c r="C4248">
        <v>0</v>
      </c>
      <c r="D4248">
        <v>3</v>
      </c>
      <c r="E4248">
        <v>15</v>
      </c>
      <c r="F4248">
        <v>58</v>
      </c>
      <c r="G4248">
        <v>176</v>
      </c>
      <c r="H4248">
        <v>39.3033</v>
      </c>
    </row>
    <row r="4249" spans="1:8" x14ac:dyDescent="0.25">
      <c r="A4249">
        <v>19442503</v>
      </c>
      <c r="B4249">
        <v>70</v>
      </c>
      <c r="C4249">
        <v>0</v>
      </c>
      <c r="D4249">
        <v>0</v>
      </c>
      <c r="E4249">
        <v>2</v>
      </c>
      <c r="F4249">
        <v>26</v>
      </c>
      <c r="G4249">
        <v>157</v>
      </c>
      <c r="H4249">
        <v>0</v>
      </c>
    </row>
    <row r="4250" spans="1:8" x14ac:dyDescent="0.25">
      <c r="A4250">
        <v>19442504</v>
      </c>
      <c r="B4250">
        <v>21</v>
      </c>
      <c r="C4250">
        <v>0</v>
      </c>
      <c r="D4250">
        <v>0</v>
      </c>
      <c r="E4250">
        <v>2</v>
      </c>
      <c r="F4250">
        <v>13</v>
      </c>
      <c r="G4250">
        <v>182</v>
      </c>
      <c r="H4250">
        <v>0</v>
      </c>
    </row>
    <row r="4251" spans="1:8" x14ac:dyDescent="0.25">
      <c r="A4251">
        <v>19442505</v>
      </c>
      <c r="B4251">
        <v>33</v>
      </c>
      <c r="C4251">
        <v>0</v>
      </c>
      <c r="D4251">
        <v>0</v>
      </c>
      <c r="E4251">
        <v>6</v>
      </c>
      <c r="F4251">
        <v>32</v>
      </c>
      <c r="G4251">
        <v>339</v>
      </c>
      <c r="H4251">
        <v>0</v>
      </c>
    </row>
    <row r="4252" spans="1:8" x14ac:dyDescent="0.25">
      <c r="A4252">
        <v>19442506</v>
      </c>
      <c r="B4252">
        <v>144</v>
      </c>
      <c r="C4252">
        <v>0</v>
      </c>
      <c r="D4252">
        <v>1</v>
      </c>
      <c r="E4252">
        <v>6</v>
      </c>
      <c r="F4252">
        <v>20</v>
      </c>
      <c r="G4252">
        <v>64</v>
      </c>
      <c r="H4252">
        <v>44.99</v>
      </c>
    </row>
    <row r="4253" spans="1:8" x14ac:dyDescent="0.25">
      <c r="A4253">
        <v>19442507</v>
      </c>
      <c r="B4253">
        <v>48</v>
      </c>
      <c r="C4253">
        <v>0</v>
      </c>
      <c r="D4253">
        <v>2</v>
      </c>
      <c r="E4253">
        <v>3</v>
      </c>
      <c r="F4253">
        <v>18</v>
      </c>
      <c r="G4253">
        <v>83</v>
      </c>
      <c r="H4253">
        <v>69.989999999999995</v>
      </c>
    </row>
    <row r="4254" spans="1:8" x14ac:dyDescent="0.25">
      <c r="A4254">
        <v>19442508</v>
      </c>
      <c r="B4254">
        <v>195</v>
      </c>
      <c r="C4254">
        <v>0</v>
      </c>
      <c r="D4254">
        <v>0</v>
      </c>
      <c r="E4254">
        <v>0</v>
      </c>
      <c r="F4254">
        <v>8</v>
      </c>
      <c r="G4254">
        <v>40</v>
      </c>
      <c r="H4254">
        <v>0</v>
      </c>
    </row>
    <row r="4255" spans="1:8" x14ac:dyDescent="0.25">
      <c r="A4255">
        <v>19449896</v>
      </c>
      <c r="B4255">
        <v>48</v>
      </c>
      <c r="C4255">
        <v>10</v>
      </c>
      <c r="D4255">
        <v>2</v>
      </c>
      <c r="E4255">
        <v>12</v>
      </c>
      <c r="F4255">
        <v>47</v>
      </c>
      <c r="G4255">
        <v>99</v>
      </c>
      <c r="H4255">
        <v>99</v>
      </c>
    </row>
    <row r="4256" spans="1:8" x14ac:dyDescent="0.25">
      <c r="A4256">
        <v>19450778</v>
      </c>
      <c r="B4256">
        <v>46</v>
      </c>
      <c r="C4256">
        <v>66</v>
      </c>
      <c r="D4256">
        <v>4</v>
      </c>
      <c r="E4256">
        <v>25</v>
      </c>
      <c r="F4256">
        <v>60</v>
      </c>
      <c r="G4256">
        <v>126</v>
      </c>
      <c r="H4256">
        <v>56.604999999999997</v>
      </c>
    </row>
    <row r="4257" spans="1:8" x14ac:dyDescent="0.25">
      <c r="A4257">
        <v>19450928</v>
      </c>
      <c r="B4257">
        <v>9</v>
      </c>
      <c r="C4257">
        <v>0</v>
      </c>
      <c r="D4257">
        <v>0</v>
      </c>
      <c r="E4257">
        <v>1</v>
      </c>
      <c r="F4257">
        <v>7</v>
      </c>
      <c r="G4257">
        <v>29</v>
      </c>
      <c r="H4257">
        <v>0</v>
      </c>
    </row>
    <row r="4258" spans="1:8" x14ac:dyDescent="0.25">
      <c r="A4258">
        <v>19451968</v>
      </c>
      <c r="B4258">
        <v>111</v>
      </c>
      <c r="C4258">
        <v>114</v>
      </c>
      <c r="D4258">
        <v>5</v>
      </c>
      <c r="E4258">
        <v>61</v>
      </c>
      <c r="F4258">
        <v>173</v>
      </c>
      <c r="G4258">
        <v>277</v>
      </c>
      <c r="H4258">
        <v>267.71199999999999</v>
      </c>
    </row>
    <row r="4259" spans="1:8" x14ac:dyDescent="0.25">
      <c r="A4259">
        <v>19451969</v>
      </c>
      <c r="B4259">
        <v>162</v>
      </c>
      <c r="C4259">
        <v>340</v>
      </c>
      <c r="D4259">
        <v>23</v>
      </c>
      <c r="E4259">
        <v>144</v>
      </c>
      <c r="F4259">
        <v>601</v>
      </c>
      <c r="G4259">
        <v>1220</v>
      </c>
      <c r="H4259">
        <v>102.42959999999999</v>
      </c>
    </row>
    <row r="4260" spans="1:8" x14ac:dyDescent="0.25">
      <c r="A4260">
        <v>19451970</v>
      </c>
      <c r="B4260">
        <v>20</v>
      </c>
      <c r="C4260">
        <v>0</v>
      </c>
      <c r="D4260">
        <v>2</v>
      </c>
      <c r="E4260">
        <v>12</v>
      </c>
      <c r="F4260">
        <v>45</v>
      </c>
      <c r="G4260">
        <v>127</v>
      </c>
      <c r="H4260">
        <v>569.99</v>
      </c>
    </row>
    <row r="4261" spans="1:8" x14ac:dyDescent="0.25">
      <c r="A4261">
        <v>19451971</v>
      </c>
      <c r="B4261">
        <v>85</v>
      </c>
      <c r="C4261">
        <v>0</v>
      </c>
      <c r="D4261">
        <v>12</v>
      </c>
      <c r="E4261">
        <v>39</v>
      </c>
      <c r="F4261">
        <v>63</v>
      </c>
      <c r="G4261">
        <v>213</v>
      </c>
      <c r="H4261">
        <v>1196.48</v>
      </c>
    </row>
    <row r="4262" spans="1:8" x14ac:dyDescent="0.25">
      <c r="A4262">
        <v>19451972</v>
      </c>
      <c r="B4262">
        <v>136</v>
      </c>
      <c r="C4262">
        <v>0</v>
      </c>
      <c r="D4262">
        <v>1</v>
      </c>
      <c r="E4262">
        <v>16</v>
      </c>
      <c r="F4262">
        <v>40</v>
      </c>
      <c r="G4262">
        <v>230</v>
      </c>
      <c r="H4262">
        <v>1199.99</v>
      </c>
    </row>
    <row r="4263" spans="1:8" x14ac:dyDescent="0.25">
      <c r="A4263">
        <v>19455230</v>
      </c>
      <c r="B4263">
        <v>294</v>
      </c>
      <c r="C4263">
        <v>20</v>
      </c>
      <c r="D4263">
        <v>2</v>
      </c>
      <c r="E4263">
        <v>17</v>
      </c>
      <c r="F4263">
        <v>64</v>
      </c>
      <c r="G4263">
        <v>258</v>
      </c>
      <c r="H4263">
        <v>41.59</v>
      </c>
    </row>
    <row r="4264" spans="1:8" x14ac:dyDescent="0.25">
      <c r="A4264">
        <v>19455231</v>
      </c>
      <c r="B4264">
        <v>210</v>
      </c>
      <c r="C4264">
        <v>12</v>
      </c>
      <c r="D4264">
        <v>1</v>
      </c>
      <c r="E4264">
        <v>14</v>
      </c>
      <c r="F4264">
        <v>52</v>
      </c>
      <c r="G4264">
        <v>150</v>
      </c>
      <c r="H4264">
        <v>47.38</v>
      </c>
    </row>
    <row r="4265" spans="1:8" x14ac:dyDescent="0.25">
      <c r="A4265">
        <v>19455232</v>
      </c>
      <c r="B4265">
        <v>250</v>
      </c>
      <c r="C4265">
        <v>96</v>
      </c>
      <c r="D4265">
        <v>13</v>
      </c>
      <c r="E4265">
        <v>44</v>
      </c>
      <c r="F4265">
        <v>143</v>
      </c>
      <c r="G4265">
        <v>357</v>
      </c>
      <c r="H4265">
        <v>24.886900000000001</v>
      </c>
    </row>
    <row r="4266" spans="1:8" x14ac:dyDescent="0.25">
      <c r="A4266">
        <v>19455233</v>
      </c>
      <c r="B4266">
        <v>222</v>
      </c>
      <c r="C4266">
        <v>24</v>
      </c>
      <c r="D4266">
        <v>9</v>
      </c>
      <c r="E4266">
        <v>33</v>
      </c>
      <c r="F4266">
        <v>104</v>
      </c>
      <c r="G4266">
        <v>272</v>
      </c>
      <c r="H4266">
        <v>156.76779999999999</v>
      </c>
    </row>
    <row r="4267" spans="1:8" x14ac:dyDescent="0.25">
      <c r="A4267">
        <v>19455234</v>
      </c>
      <c r="B4267">
        <v>155</v>
      </c>
      <c r="C4267">
        <v>52</v>
      </c>
      <c r="D4267">
        <v>22</v>
      </c>
      <c r="E4267">
        <v>66</v>
      </c>
      <c r="F4267">
        <v>244</v>
      </c>
      <c r="G4267">
        <v>535</v>
      </c>
      <c r="H4267">
        <v>49.943600000000004</v>
      </c>
    </row>
    <row r="4268" spans="1:8" x14ac:dyDescent="0.25">
      <c r="A4268">
        <v>19455235</v>
      </c>
      <c r="B4268">
        <v>177</v>
      </c>
      <c r="C4268">
        <v>0</v>
      </c>
      <c r="D4268">
        <v>10</v>
      </c>
      <c r="E4268">
        <v>56</v>
      </c>
      <c r="F4268">
        <v>128</v>
      </c>
      <c r="G4268">
        <v>354</v>
      </c>
      <c r="H4268">
        <v>70.346999999999994</v>
      </c>
    </row>
    <row r="4269" spans="1:8" x14ac:dyDescent="0.25">
      <c r="A4269">
        <v>19455236</v>
      </c>
      <c r="B4269">
        <v>195</v>
      </c>
      <c r="C4269">
        <v>0</v>
      </c>
      <c r="D4269">
        <v>9</v>
      </c>
      <c r="E4269">
        <v>30</v>
      </c>
      <c r="F4269">
        <v>143</v>
      </c>
      <c r="G4269">
        <v>485</v>
      </c>
      <c r="H4269">
        <v>63.431100000000001</v>
      </c>
    </row>
    <row r="4270" spans="1:8" x14ac:dyDescent="0.25">
      <c r="A4270">
        <v>19455237</v>
      </c>
      <c r="B4270">
        <v>391</v>
      </c>
      <c r="C4270">
        <v>32</v>
      </c>
      <c r="D4270">
        <v>13</v>
      </c>
      <c r="E4270">
        <v>70</v>
      </c>
      <c r="F4270">
        <v>262</v>
      </c>
      <c r="G4270">
        <v>769</v>
      </c>
      <c r="H4270">
        <v>34.513800000000003</v>
      </c>
    </row>
    <row r="4271" spans="1:8" x14ac:dyDescent="0.25">
      <c r="A4271">
        <v>19455238</v>
      </c>
      <c r="B4271">
        <v>88</v>
      </c>
      <c r="C4271">
        <v>8</v>
      </c>
      <c r="D4271">
        <v>3</v>
      </c>
      <c r="E4271">
        <v>5</v>
      </c>
      <c r="F4271">
        <v>42</v>
      </c>
      <c r="G4271">
        <v>143</v>
      </c>
      <c r="H4271">
        <v>33.526699999999998</v>
      </c>
    </row>
    <row r="4272" spans="1:8" x14ac:dyDescent="0.25">
      <c r="A4272">
        <v>19455241</v>
      </c>
      <c r="B4272">
        <v>110</v>
      </c>
      <c r="C4272">
        <v>0</v>
      </c>
      <c r="D4272">
        <v>3</v>
      </c>
      <c r="E4272">
        <v>10</v>
      </c>
      <c r="F4272">
        <v>81</v>
      </c>
      <c r="G4272">
        <v>217</v>
      </c>
      <c r="H4272">
        <v>59.473300000000002</v>
      </c>
    </row>
    <row r="4273" spans="1:8" x14ac:dyDescent="0.25">
      <c r="A4273">
        <v>19455242</v>
      </c>
      <c r="B4273">
        <v>57</v>
      </c>
      <c r="C4273">
        <v>0</v>
      </c>
      <c r="D4273">
        <v>2</v>
      </c>
      <c r="E4273">
        <v>8</v>
      </c>
      <c r="F4273">
        <v>22</v>
      </c>
      <c r="G4273">
        <v>85</v>
      </c>
      <c r="H4273">
        <v>59.604999999999997</v>
      </c>
    </row>
    <row r="4274" spans="1:8" x14ac:dyDescent="0.25">
      <c r="A4274">
        <v>19455992</v>
      </c>
      <c r="B4274">
        <v>4</v>
      </c>
      <c r="C4274">
        <v>0</v>
      </c>
      <c r="D4274">
        <v>0</v>
      </c>
      <c r="E4274">
        <v>0</v>
      </c>
      <c r="F4274">
        <v>4</v>
      </c>
      <c r="G4274">
        <v>6</v>
      </c>
      <c r="H4274">
        <v>0</v>
      </c>
    </row>
    <row r="4275" spans="1:8" x14ac:dyDescent="0.25">
      <c r="A4275">
        <v>19455993</v>
      </c>
      <c r="B4275">
        <v>38</v>
      </c>
      <c r="C4275">
        <v>44</v>
      </c>
      <c r="D4275">
        <v>0</v>
      </c>
      <c r="E4275">
        <v>17</v>
      </c>
      <c r="F4275">
        <v>43</v>
      </c>
      <c r="G4275">
        <v>94</v>
      </c>
      <c r="H4275">
        <v>0</v>
      </c>
    </row>
    <row r="4276" spans="1:8" x14ac:dyDescent="0.25">
      <c r="A4276">
        <v>19455994</v>
      </c>
      <c r="B4276">
        <v>0</v>
      </c>
      <c r="C4276">
        <v>0</v>
      </c>
      <c r="D4276">
        <v>0</v>
      </c>
      <c r="E4276">
        <v>0</v>
      </c>
      <c r="F4276">
        <v>2</v>
      </c>
      <c r="G4276">
        <v>8</v>
      </c>
      <c r="H4276">
        <v>0</v>
      </c>
    </row>
    <row r="4277" spans="1:8" x14ac:dyDescent="0.25">
      <c r="A4277">
        <v>19455995</v>
      </c>
      <c r="B4277">
        <v>35</v>
      </c>
      <c r="C4277">
        <v>8</v>
      </c>
      <c r="D4277">
        <v>1</v>
      </c>
      <c r="E4277">
        <v>2</v>
      </c>
      <c r="F4277">
        <v>11</v>
      </c>
      <c r="G4277">
        <v>39</v>
      </c>
      <c r="H4277">
        <v>89.99</v>
      </c>
    </row>
    <row r="4278" spans="1:8" x14ac:dyDescent="0.25">
      <c r="A4278">
        <v>19455996</v>
      </c>
      <c r="B4278">
        <v>22</v>
      </c>
      <c r="C4278">
        <v>0</v>
      </c>
      <c r="D4278">
        <v>2</v>
      </c>
      <c r="E4278">
        <v>7</v>
      </c>
      <c r="F4278">
        <v>43</v>
      </c>
      <c r="G4278">
        <v>110</v>
      </c>
      <c r="H4278">
        <v>59.99</v>
      </c>
    </row>
    <row r="4279" spans="1:8" x14ac:dyDescent="0.25">
      <c r="A4279">
        <v>19456374</v>
      </c>
      <c r="B4279">
        <v>9</v>
      </c>
      <c r="C4279">
        <v>0</v>
      </c>
      <c r="D4279">
        <v>0</v>
      </c>
      <c r="E4279">
        <v>2</v>
      </c>
      <c r="F4279">
        <v>3</v>
      </c>
      <c r="G4279">
        <v>6</v>
      </c>
      <c r="H4279">
        <v>0</v>
      </c>
    </row>
    <row r="4280" spans="1:8" x14ac:dyDescent="0.25">
      <c r="A4280">
        <v>19456375</v>
      </c>
      <c r="B4280">
        <v>8</v>
      </c>
      <c r="C4280">
        <v>0</v>
      </c>
      <c r="D4280">
        <v>1</v>
      </c>
      <c r="E4280">
        <v>1</v>
      </c>
      <c r="F4280">
        <v>7</v>
      </c>
      <c r="G4280">
        <v>8</v>
      </c>
      <c r="H4280">
        <v>64.25</v>
      </c>
    </row>
    <row r="4281" spans="1:8" x14ac:dyDescent="0.25">
      <c r="A4281">
        <v>19456376</v>
      </c>
      <c r="B4281">
        <v>4</v>
      </c>
      <c r="C4281">
        <v>0</v>
      </c>
      <c r="D4281">
        <v>1</v>
      </c>
      <c r="E4281">
        <v>1</v>
      </c>
      <c r="F4281">
        <v>3</v>
      </c>
      <c r="G4281">
        <v>8</v>
      </c>
      <c r="H4281">
        <v>104.99</v>
      </c>
    </row>
    <row r="4282" spans="1:8" x14ac:dyDescent="0.25">
      <c r="A4282">
        <v>19456377</v>
      </c>
      <c r="B4282">
        <v>4</v>
      </c>
      <c r="C4282">
        <v>0</v>
      </c>
      <c r="D4282">
        <v>0</v>
      </c>
      <c r="E4282">
        <v>1</v>
      </c>
      <c r="F4282">
        <v>4</v>
      </c>
      <c r="G4282">
        <v>9</v>
      </c>
      <c r="H4282">
        <v>0</v>
      </c>
    </row>
    <row r="4283" spans="1:8" x14ac:dyDescent="0.25">
      <c r="A4283">
        <v>19456378</v>
      </c>
      <c r="B4283">
        <v>3</v>
      </c>
      <c r="C4283">
        <v>0</v>
      </c>
      <c r="D4283">
        <v>0</v>
      </c>
      <c r="E4283">
        <v>2</v>
      </c>
      <c r="F4283">
        <v>3</v>
      </c>
      <c r="G4283">
        <v>4</v>
      </c>
      <c r="H4283">
        <v>0</v>
      </c>
    </row>
    <row r="4284" spans="1:8" x14ac:dyDescent="0.25">
      <c r="A4284">
        <v>19456450</v>
      </c>
      <c r="B4284">
        <v>1</v>
      </c>
      <c r="C4284">
        <v>0</v>
      </c>
      <c r="D4284">
        <v>0</v>
      </c>
      <c r="E4284">
        <v>1</v>
      </c>
      <c r="F4284">
        <v>3</v>
      </c>
      <c r="G4284">
        <v>5</v>
      </c>
      <c r="H4284">
        <v>0</v>
      </c>
    </row>
    <row r="4285" spans="1:8" x14ac:dyDescent="0.25">
      <c r="A4285">
        <v>19456451</v>
      </c>
      <c r="B4285">
        <v>20</v>
      </c>
      <c r="C4285">
        <v>0</v>
      </c>
      <c r="D4285">
        <v>2</v>
      </c>
      <c r="E4285">
        <v>3</v>
      </c>
      <c r="F4285">
        <v>9</v>
      </c>
      <c r="G4285">
        <v>11</v>
      </c>
      <c r="H4285">
        <v>359.99</v>
      </c>
    </row>
    <row r="4286" spans="1:8" x14ac:dyDescent="0.25">
      <c r="A4286">
        <v>19456452</v>
      </c>
      <c r="B4286">
        <v>33</v>
      </c>
      <c r="C4286">
        <v>0</v>
      </c>
      <c r="D4286">
        <v>2</v>
      </c>
      <c r="E4286">
        <v>12</v>
      </c>
      <c r="F4286">
        <v>20</v>
      </c>
      <c r="G4286">
        <v>41</v>
      </c>
      <c r="H4286">
        <v>57.12</v>
      </c>
    </row>
    <row r="4287" spans="1:8" x14ac:dyDescent="0.25">
      <c r="A4287">
        <v>19456453</v>
      </c>
      <c r="B4287">
        <v>25</v>
      </c>
      <c r="C4287">
        <v>16</v>
      </c>
      <c r="D4287">
        <v>1</v>
      </c>
      <c r="E4287">
        <v>27</v>
      </c>
      <c r="F4287">
        <v>52</v>
      </c>
      <c r="G4287">
        <v>113</v>
      </c>
      <c r="H4287">
        <v>59.99</v>
      </c>
    </row>
    <row r="4288" spans="1:8" x14ac:dyDescent="0.25">
      <c r="A4288">
        <v>19456454</v>
      </c>
      <c r="B4288">
        <v>19</v>
      </c>
      <c r="C4288">
        <v>0</v>
      </c>
      <c r="D4288">
        <v>0</v>
      </c>
      <c r="E4288">
        <v>4</v>
      </c>
      <c r="F4288">
        <v>12</v>
      </c>
      <c r="G4288">
        <v>22</v>
      </c>
      <c r="H4288">
        <v>0</v>
      </c>
    </row>
    <row r="4289" spans="1:8" x14ac:dyDescent="0.25">
      <c r="A4289">
        <v>19456455</v>
      </c>
      <c r="B4289">
        <v>45</v>
      </c>
      <c r="C4289">
        <v>0</v>
      </c>
      <c r="D4289">
        <v>2</v>
      </c>
      <c r="E4289">
        <v>20</v>
      </c>
      <c r="F4289">
        <v>44</v>
      </c>
      <c r="G4289">
        <v>83</v>
      </c>
      <c r="H4289">
        <v>111.2</v>
      </c>
    </row>
    <row r="4290" spans="1:8" x14ac:dyDescent="0.25">
      <c r="A4290">
        <v>19456456</v>
      </c>
      <c r="B4290">
        <v>89</v>
      </c>
      <c r="C4290">
        <v>32</v>
      </c>
      <c r="D4290">
        <v>0</v>
      </c>
      <c r="E4290">
        <v>5</v>
      </c>
      <c r="F4290">
        <v>19</v>
      </c>
      <c r="G4290">
        <v>55</v>
      </c>
      <c r="H4290">
        <v>0</v>
      </c>
    </row>
    <row r="4291" spans="1:8" x14ac:dyDescent="0.25">
      <c r="A4291">
        <v>19456457</v>
      </c>
      <c r="B4291">
        <v>4</v>
      </c>
      <c r="C4291">
        <v>0</v>
      </c>
      <c r="D4291">
        <v>0</v>
      </c>
      <c r="E4291">
        <v>1</v>
      </c>
      <c r="F4291">
        <v>5</v>
      </c>
      <c r="G4291">
        <v>8</v>
      </c>
      <c r="H4291">
        <v>0</v>
      </c>
    </row>
    <row r="4292" spans="1:8" x14ac:dyDescent="0.25">
      <c r="A4292">
        <v>19456458</v>
      </c>
      <c r="B4292">
        <v>0</v>
      </c>
      <c r="C4292">
        <v>0</v>
      </c>
      <c r="D4292">
        <v>0</v>
      </c>
      <c r="E4292">
        <v>1</v>
      </c>
      <c r="F4292">
        <v>2</v>
      </c>
      <c r="G4292">
        <v>4</v>
      </c>
      <c r="H4292">
        <v>0</v>
      </c>
    </row>
    <row r="4293" spans="1:8" x14ac:dyDescent="0.25">
      <c r="A4293">
        <v>19456459</v>
      </c>
      <c r="B4293">
        <v>49</v>
      </c>
      <c r="C4293">
        <v>0</v>
      </c>
      <c r="D4293">
        <v>2</v>
      </c>
      <c r="E4293">
        <v>8</v>
      </c>
      <c r="F4293">
        <v>15</v>
      </c>
      <c r="G4293">
        <v>34</v>
      </c>
      <c r="H4293">
        <v>137.995</v>
      </c>
    </row>
    <row r="4294" spans="1:8" x14ac:dyDescent="0.25">
      <c r="A4294">
        <v>19456460</v>
      </c>
      <c r="B4294">
        <v>33</v>
      </c>
      <c r="C4294">
        <v>0</v>
      </c>
      <c r="D4294">
        <v>1</v>
      </c>
      <c r="E4294">
        <v>4</v>
      </c>
      <c r="F4294">
        <v>14</v>
      </c>
      <c r="G4294">
        <v>29</v>
      </c>
      <c r="H4294">
        <v>142.99</v>
      </c>
    </row>
    <row r="4295" spans="1:8" x14ac:dyDescent="0.25">
      <c r="A4295">
        <v>19457624</v>
      </c>
      <c r="B4295">
        <v>207</v>
      </c>
      <c r="C4295">
        <v>3</v>
      </c>
      <c r="D4295">
        <v>7</v>
      </c>
      <c r="E4295">
        <v>23</v>
      </c>
      <c r="F4295">
        <v>113</v>
      </c>
      <c r="G4295">
        <v>209</v>
      </c>
      <c r="H4295">
        <v>299.65570000000002</v>
      </c>
    </row>
    <row r="4296" spans="1:8" x14ac:dyDescent="0.25">
      <c r="A4296">
        <v>19457749</v>
      </c>
      <c r="B4296">
        <v>96</v>
      </c>
      <c r="C4296">
        <v>0</v>
      </c>
      <c r="D4296">
        <v>-1</v>
      </c>
      <c r="E4296">
        <v>14</v>
      </c>
      <c r="F4296">
        <v>34</v>
      </c>
      <c r="G4296">
        <v>107</v>
      </c>
      <c r="H4296">
        <v>524.25</v>
      </c>
    </row>
    <row r="4297" spans="1:8" x14ac:dyDescent="0.25">
      <c r="A4297">
        <v>19457755</v>
      </c>
      <c r="B4297">
        <v>22</v>
      </c>
      <c r="C4297">
        <v>0</v>
      </c>
      <c r="D4297">
        <v>0</v>
      </c>
      <c r="E4297">
        <v>0</v>
      </c>
      <c r="F4297">
        <v>2</v>
      </c>
      <c r="G4297">
        <v>7</v>
      </c>
      <c r="H4297">
        <v>0</v>
      </c>
    </row>
    <row r="4298" spans="1:8" x14ac:dyDescent="0.25">
      <c r="A4298">
        <v>19457858</v>
      </c>
      <c r="B4298">
        <v>271</v>
      </c>
      <c r="C4298">
        <v>42</v>
      </c>
      <c r="D4298">
        <v>6</v>
      </c>
      <c r="E4298">
        <v>28</v>
      </c>
      <c r="F4298">
        <v>73</v>
      </c>
      <c r="G4298">
        <v>221</v>
      </c>
      <c r="H4298">
        <v>39.99</v>
      </c>
    </row>
    <row r="4299" spans="1:8" x14ac:dyDescent="0.25">
      <c r="A4299">
        <v>19459299</v>
      </c>
      <c r="B4299">
        <v>-78</v>
      </c>
      <c r="C4299">
        <v>0</v>
      </c>
      <c r="D4299">
        <v>0</v>
      </c>
      <c r="E4299">
        <v>0</v>
      </c>
      <c r="F4299">
        <v>0</v>
      </c>
      <c r="G4299">
        <v>78</v>
      </c>
      <c r="H4299">
        <v>0</v>
      </c>
    </row>
    <row r="4300" spans="1:8" x14ac:dyDescent="0.25">
      <c r="A4300">
        <v>19459300</v>
      </c>
      <c r="B4300">
        <v>-170</v>
      </c>
      <c r="C4300">
        <v>0</v>
      </c>
      <c r="D4300">
        <v>0</v>
      </c>
      <c r="E4300">
        <v>0</v>
      </c>
      <c r="F4300">
        <v>0</v>
      </c>
      <c r="G4300">
        <v>170</v>
      </c>
      <c r="H4300">
        <v>0</v>
      </c>
    </row>
    <row r="4301" spans="1:8" x14ac:dyDescent="0.25">
      <c r="A4301">
        <v>19459301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156</v>
      </c>
      <c r="H4301">
        <v>0</v>
      </c>
    </row>
    <row r="4302" spans="1:8" x14ac:dyDescent="0.25">
      <c r="A4302">
        <v>19459313</v>
      </c>
      <c r="B4302">
        <v>6</v>
      </c>
      <c r="C4302">
        <v>0</v>
      </c>
      <c r="D4302">
        <v>0</v>
      </c>
      <c r="E4302">
        <v>0</v>
      </c>
      <c r="F4302">
        <v>0</v>
      </c>
      <c r="G4302">
        <v>0</v>
      </c>
      <c r="H4302">
        <v>0</v>
      </c>
    </row>
    <row r="4303" spans="1:8" x14ac:dyDescent="0.25">
      <c r="A4303">
        <v>19459314</v>
      </c>
      <c r="B4303">
        <v>6</v>
      </c>
      <c r="C4303">
        <v>0</v>
      </c>
      <c r="D4303">
        <v>0</v>
      </c>
      <c r="E4303">
        <v>0</v>
      </c>
      <c r="F4303">
        <v>0</v>
      </c>
      <c r="G4303">
        <v>0</v>
      </c>
      <c r="H4303">
        <v>0</v>
      </c>
    </row>
    <row r="4304" spans="1:8" x14ac:dyDescent="0.25">
      <c r="A4304">
        <v>19459315</v>
      </c>
      <c r="B4304">
        <v>6</v>
      </c>
      <c r="C4304">
        <v>0</v>
      </c>
      <c r="D4304">
        <v>0</v>
      </c>
      <c r="E4304">
        <v>0</v>
      </c>
      <c r="F4304">
        <v>0</v>
      </c>
      <c r="G4304">
        <v>0</v>
      </c>
      <c r="H4304">
        <v>0</v>
      </c>
    </row>
    <row r="4305" spans="1:8" x14ac:dyDescent="0.25">
      <c r="A4305">
        <v>19459316</v>
      </c>
      <c r="B4305">
        <v>6</v>
      </c>
      <c r="C4305">
        <v>0</v>
      </c>
      <c r="D4305">
        <v>0</v>
      </c>
      <c r="E4305">
        <v>0</v>
      </c>
      <c r="F4305">
        <v>0</v>
      </c>
      <c r="G4305">
        <v>0</v>
      </c>
      <c r="H4305">
        <v>0</v>
      </c>
    </row>
    <row r="4306" spans="1:8" x14ac:dyDescent="0.25">
      <c r="A4306">
        <v>19459317</v>
      </c>
      <c r="B4306">
        <v>5</v>
      </c>
      <c r="C4306">
        <v>0</v>
      </c>
      <c r="D4306">
        <v>0</v>
      </c>
      <c r="E4306">
        <v>0</v>
      </c>
      <c r="F4306">
        <v>1</v>
      </c>
      <c r="G4306">
        <v>1</v>
      </c>
      <c r="H4306">
        <v>0</v>
      </c>
    </row>
    <row r="4307" spans="1:8" x14ac:dyDescent="0.25">
      <c r="A4307">
        <v>19459318</v>
      </c>
      <c r="B4307">
        <v>6</v>
      </c>
      <c r="C4307">
        <v>0</v>
      </c>
      <c r="D4307">
        <v>0</v>
      </c>
      <c r="E4307">
        <v>0</v>
      </c>
      <c r="F4307">
        <v>0</v>
      </c>
      <c r="G4307">
        <v>0</v>
      </c>
      <c r="H4307">
        <v>0</v>
      </c>
    </row>
    <row r="4308" spans="1:8" x14ac:dyDescent="0.25">
      <c r="A4308">
        <v>19459319</v>
      </c>
      <c r="B4308">
        <v>6</v>
      </c>
      <c r="C4308">
        <v>0</v>
      </c>
      <c r="D4308">
        <v>0</v>
      </c>
      <c r="E4308">
        <v>0</v>
      </c>
      <c r="F4308">
        <v>0</v>
      </c>
      <c r="G4308">
        <v>0</v>
      </c>
      <c r="H4308">
        <v>0</v>
      </c>
    </row>
    <row r="4309" spans="1:8" x14ac:dyDescent="0.25">
      <c r="A4309">
        <v>19459320</v>
      </c>
      <c r="B4309">
        <v>6</v>
      </c>
      <c r="C4309">
        <v>0</v>
      </c>
      <c r="D4309">
        <v>0</v>
      </c>
      <c r="E4309">
        <v>0</v>
      </c>
      <c r="F4309">
        <v>0</v>
      </c>
      <c r="G4309">
        <v>0</v>
      </c>
      <c r="H4309">
        <v>0</v>
      </c>
    </row>
    <row r="4310" spans="1:8" x14ac:dyDescent="0.25">
      <c r="A4310">
        <v>19459321</v>
      </c>
      <c r="B4310">
        <v>6</v>
      </c>
      <c r="C4310">
        <v>0</v>
      </c>
      <c r="D4310">
        <v>0</v>
      </c>
      <c r="E4310">
        <v>0</v>
      </c>
      <c r="F4310">
        <v>0</v>
      </c>
      <c r="G4310">
        <v>0</v>
      </c>
      <c r="H4310">
        <v>0</v>
      </c>
    </row>
    <row r="4311" spans="1:8" x14ac:dyDescent="0.25">
      <c r="A4311">
        <v>19459322</v>
      </c>
      <c r="B4311">
        <v>6</v>
      </c>
      <c r="C4311">
        <v>0</v>
      </c>
      <c r="D4311">
        <v>0</v>
      </c>
      <c r="E4311">
        <v>0</v>
      </c>
      <c r="F4311">
        <v>0</v>
      </c>
      <c r="G4311">
        <v>0</v>
      </c>
      <c r="H4311">
        <v>0</v>
      </c>
    </row>
    <row r="4312" spans="1:8" x14ac:dyDescent="0.25">
      <c r="A4312">
        <v>19459323</v>
      </c>
      <c r="B4312">
        <v>6</v>
      </c>
      <c r="C4312">
        <v>0</v>
      </c>
      <c r="D4312">
        <v>0</v>
      </c>
      <c r="E4312">
        <v>0</v>
      </c>
      <c r="F4312">
        <v>0</v>
      </c>
      <c r="G4312">
        <v>0</v>
      </c>
      <c r="H4312">
        <v>0</v>
      </c>
    </row>
    <row r="4313" spans="1:8" x14ac:dyDescent="0.25">
      <c r="A4313">
        <v>19459967</v>
      </c>
      <c r="B4313">
        <v>11</v>
      </c>
      <c r="C4313">
        <v>0</v>
      </c>
      <c r="D4313">
        <v>0</v>
      </c>
      <c r="E4313">
        <v>2</v>
      </c>
      <c r="F4313">
        <v>19</v>
      </c>
      <c r="G4313">
        <v>33</v>
      </c>
      <c r="H4313">
        <v>0</v>
      </c>
    </row>
    <row r="4314" spans="1:8" x14ac:dyDescent="0.25">
      <c r="A4314">
        <v>19469871</v>
      </c>
      <c r="B4314">
        <v>15</v>
      </c>
      <c r="C4314">
        <v>0</v>
      </c>
      <c r="D4314">
        <v>3</v>
      </c>
      <c r="E4314">
        <v>7</v>
      </c>
      <c r="F4314">
        <v>32</v>
      </c>
      <c r="G4314">
        <v>144</v>
      </c>
      <c r="H4314">
        <v>934.1567</v>
      </c>
    </row>
    <row r="4315" spans="1:8" x14ac:dyDescent="0.25">
      <c r="A4315">
        <v>19469872</v>
      </c>
      <c r="B4315">
        <v>43</v>
      </c>
      <c r="C4315">
        <v>0</v>
      </c>
      <c r="D4315">
        <v>10</v>
      </c>
      <c r="E4315">
        <v>22</v>
      </c>
      <c r="F4315">
        <v>54</v>
      </c>
      <c r="G4315">
        <v>241</v>
      </c>
      <c r="H4315">
        <v>1046.1600000000001</v>
      </c>
    </row>
    <row r="4316" spans="1:8" x14ac:dyDescent="0.25">
      <c r="A4316">
        <v>19469873</v>
      </c>
      <c r="B4316">
        <v>2</v>
      </c>
      <c r="C4316">
        <v>0</v>
      </c>
      <c r="D4316">
        <v>0</v>
      </c>
      <c r="E4316">
        <v>1</v>
      </c>
      <c r="F4316">
        <v>20</v>
      </c>
      <c r="G4316">
        <v>113</v>
      </c>
      <c r="H4316">
        <v>0</v>
      </c>
    </row>
    <row r="4317" spans="1:8" x14ac:dyDescent="0.25">
      <c r="A4317">
        <v>19469874</v>
      </c>
      <c r="B4317">
        <v>2</v>
      </c>
      <c r="C4317">
        <v>0</v>
      </c>
      <c r="D4317">
        <v>0</v>
      </c>
      <c r="E4317">
        <v>0</v>
      </c>
      <c r="F4317">
        <v>10</v>
      </c>
      <c r="G4317">
        <v>86</v>
      </c>
      <c r="H4317">
        <v>0</v>
      </c>
    </row>
    <row r="4318" spans="1:8" x14ac:dyDescent="0.25">
      <c r="A4318">
        <v>19469877</v>
      </c>
      <c r="B4318">
        <v>0</v>
      </c>
      <c r="C4318">
        <v>0</v>
      </c>
      <c r="D4318">
        <v>0</v>
      </c>
      <c r="E4318">
        <v>0</v>
      </c>
      <c r="F4318">
        <v>2</v>
      </c>
      <c r="G4318">
        <v>7</v>
      </c>
      <c r="H4318">
        <v>0</v>
      </c>
    </row>
    <row r="4319" spans="1:8" x14ac:dyDescent="0.25">
      <c r="A4319">
        <v>19469879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2</v>
      </c>
      <c r="H4319">
        <v>0</v>
      </c>
    </row>
    <row r="4320" spans="1:8" x14ac:dyDescent="0.25">
      <c r="A4320">
        <v>19469881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1</v>
      </c>
      <c r="H4320">
        <v>0</v>
      </c>
    </row>
    <row r="4321" spans="1:8" x14ac:dyDescent="0.25">
      <c r="A4321">
        <v>19474926</v>
      </c>
      <c r="B4321">
        <v>2</v>
      </c>
      <c r="C4321">
        <v>0</v>
      </c>
      <c r="D4321">
        <v>0</v>
      </c>
      <c r="E4321">
        <v>0</v>
      </c>
      <c r="F4321">
        <v>2</v>
      </c>
      <c r="G4321">
        <v>4</v>
      </c>
      <c r="H4321">
        <v>0</v>
      </c>
    </row>
    <row r="4322" spans="1:8" x14ac:dyDescent="0.25">
      <c r="A4322">
        <v>19474927</v>
      </c>
      <c r="B4322">
        <v>-1493</v>
      </c>
      <c r="C4322">
        <v>0</v>
      </c>
      <c r="D4322">
        <v>0</v>
      </c>
      <c r="E4322">
        <v>0</v>
      </c>
      <c r="F4322">
        <v>0</v>
      </c>
      <c r="G4322">
        <v>0</v>
      </c>
      <c r="H4322">
        <v>0</v>
      </c>
    </row>
    <row r="4323" spans="1:8" x14ac:dyDescent="0.25">
      <c r="A4323">
        <v>19474931</v>
      </c>
      <c r="B4323">
        <v>56</v>
      </c>
      <c r="C4323">
        <v>0</v>
      </c>
      <c r="D4323">
        <v>2</v>
      </c>
      <c r="E4323">
        <v>18</v>
      </c>
      <c r="F4323">
        <v>60</v>
      </c>
      <c r="G4323">
        <v>250</v>
      </c>
      <c r="H4323">
        <v>57.655000000000001</v>
      </c>
    </row>
    <row r="4324" spans="1:8" x14ac:dyDescent="0.25">
      <c r="A4324">
        <v>19479760</v>
      </c>
      <c r="B4324">
        <v>185</v>
      </c>
      <c r="C4324">
        <v>84</v>
      </c>
      <c r="D4324">
        <v>16</v>
      </c>
      <c r="E4324">
        <v>91</v>
      </c>
      <c r="F4324">
        <v>281</v>
      </c>
      <c r="G4324">
        <v>672</v>
      </c>
      <c r="H4324">
        <v>32.823099999999997</v>
      </c>
    </row>
    <row r="4325" spans="1:8" x14ac:dyDescent="0.25">
      <c r="A4325">
        <v>19479761</v>
      </c>
      <c r="B4325">
        <v>217</v>
      </c>
      <c r="C4325">
        <v>48</v>
      </c>
      <c r="D4325">
        <v>9</v>
      </c>
      <c r="E4325">
        <v>39</v>
      </c>
      <c r="F4325">
        <v>166</v>
      </c>
      <c r="G4325">
        <v>389</v>
      </c>
      <c r="H4325">
        <v>33.549999999999997</v>
      </c>
    </row>
    <row r="4326" spans="1:8" x14ac:dyDescent="0.25">
      <c r="A4326">
        <v>19479762</v>
      </c>
      <c r="B4326">
        <v>91</v>
      </c>
      <c r="C4326">
        <v>30</v>
      </c>
      <c r="D4326">
        <v>13</v>
      </c>
      <c r="E4326">
        <v>40</v>
      </c>
      <c r="F4326">
        <v>123</v>
      </c>
      <c r="G4326">
        <v>273</v>
      </c>
      <c r="H4326">
        <v>53.153799999999997</v>
      </c>
    </row>
    <row r="4327" spans="1:8" x14ac:dyDescent="0.25">
      <c r="A4327">
        <v>19479763</v>
      </c>
      <c r="B4327">
        <v>39</v>
      </c>
      <c r="C4327">
        <v>30</v>
      </c>
      <c r="D4327">
        <v>8</v>
      </c>
      <c r="E4327">
        <v>19</v>
      </c>
      <c r="F4327">
        <v>74</v>
      </c>
      <c r="G4327">
        <v>158</v>
      </c>
      <c r="H4327">
        <v>54.996299999999998</v>
      </c>
    </row>
    <row r="4328" spans="1:8" x14ac:dyDescent="0.25">
      <c r="A4328">
        <v>19479764</v>
      </c>
      <c r="B4328">
        <v>96</v>
      </c>
      <c r="C4328">
        <v>42</v>
      </c>
      <c r="D4328">
        <v>3</v>
      </c>
      <c r="E4328">
        <v>42</v>
      </c>
      <c r="F4328">
        <v>125</v>
      </c>
      <c r="G4328">
        <v>297</v>
      </c>
      <c r="H4328">
        <v>49.99</v>
      </c>
    </row>
    <row r="4329" spans="1:8" x14ac:dyDescent="0.25">
      <c r="A4329">
        <v>19479765</v>
      </c>
      <c r="B4329">
        <v>155</v>
      </c>
      <c r="C4329">
        <v>48</v>
      </c>
      <c r="D4329">
        <v>22</v>
      </c>
      <c r="E4329">
        <v>62</v>
      </c>
      <c r="F4329">
        <v>230</v>
      </c>
      <c r="G4329">
        <v>546</v>
      </c>
      <c r="H4329">
        <v>54.151400000000002</v>
      </c>
    </row>
    <row r="4330" spans="1:8" x14ac:dyDescent="0.25">
      <c r="A4330">
        <v>19479766</v>
      </c>
      <c r="B4330">
        <v>113</v>
      </c>
      <c r="C4330">
        <v>50</v>
      </c>
      <c r="D4330">
        <v>11</v>
      </c>
      <c r="E4330">
        <v>51</v>
      </c>
      <c r="F4330">
        <v>222</v>
      </c>
      <c r="G4330">
        <v>493</v>
      </c>
      <c r="H4330">
        <v>47.031799999999997</v>
      </c>
    </row>
    <row r="4331" spans="1:8" x14ac:dyDescent="0.25">
      <c r="A4331">
        <v>19479768</v>
      </c>
      <c r="B4331">
        <v>43</v>
      </c>
      <c r="C4331">
        <v>45</v>
      </c>
      <c r="D4331">
        <v>6</v>
      </c>
      <c r="E4331">
        <v>35</v>
      </c>
      <c r="F4331">
        <v>143</v>
      </c>
      <c r="G4331">
        <v>388</v>
      </c>
      <c r="H4331">
        <v>46.106699999999996</v>
      </c>
    </row>
    <row r="4332" spans="1:8" x14ac:dyDescent="0.25">
      <c r="A4332">
        <v>19479769</v>
      </c>
      <c r="B4332">
        <v>128</v>
      </c>
      <c r="C4332">
        <v>0</v>
      </c>
      <c r="D4332">
        <v>1</v>
      </c>
      <c r="E4332">
        <v>4</v>
      </c>
      <c r="F4332">
        <v>25</v>
      </c>
      <c r="G4332">
        <v>89</v>
      </c>
      <c r="H4332">
        <v>198</v>
      </c>
    </row>
    <row r="4333" spans="1:8" x14ac:dyDescent="0.25">
      <c r="A4333">
        <v>19479770</v>
      </c>
      <c r="B4333">
        <v>230</v>
      </c>
      <c r="C4333">
        <v>30</v>
      </c>
      <c r="D4333">
        <v>8</v>
      </c>
      <c r="E4333">
        <v>22</v>
      </c>
      <c r="F4333">
        <v>62</v>
      </c>
      <c r="G4333">
        <v>171</v>
      </c>
      <c r="H4333">
        <v>104.5962</v>
      </c>
    </row>
    <row r="4334" spans="1:8" x14ac:dyDescent="0.25">
      <c r="A4334">
        <v>19479771</v>
      </c>
      <c r="B4334">
        <v>253</v>
      </c>
      <c r="C4334">
        <v>30</v>
      </c>
      <c r="D4334">
        <v>6</v>
      </c>
      <c r="E4334">
        <v>29</v>
      </c>
      <c r="F4334">
        <v>113</v>
      </c>
      <c r="G4334">
        <v>309</v>
      </c>
      <c r="H4334">
        <v>105.66670000000001</v>
      </c>
    </row>
    <row r="4335" spans="1:8" x14ac:dyDescent="0.25">
      <c r="A4335">
        <v>19479772</v>
      </c>
      <c r="B4335">
        <v>169</v>
      </c>
      <c r="C4335">
        <v>12</v>
      </c>
      <c r="D4335">
        <v>0</v>
      </c>
      <c r="E4335">
        <v>17</v>
      </c>
      <c r="F4335">
        <v>75</v>
      </c>
      <c r="G4335">
        <v>206</v>
      </c>
      <c r="H4335">
        <v>0</v>
      </c>
    </row>
    <row r="4336" spans="1:8" x14ac:dyDescent="0.25">
      <c r="A4336">
        <v>19479773</v>
      </c>
      <c r="B4336">
        <v>92</v>
      </c>
      <c r="C4336">
        <v>0</v>
      </c>
      <c r="D4336">
        <v>1</v>
      </c>
      <c r="E4336">
        <v>4</v>
      </c>
      <c r="F4336">
        <v>23</v>
      </c>
      <c r="G4336">
        <v>63</v>
      </c>
      <c r="H4336">
        <v>99</v>
      </c>
    </row>
    <row r="4337" spans="1:8" x14ac:dyDescent="0.25">
      <c r="A4337">
        <v>19479774</v>
      </c>
      <c r="B4337">
        <v>32</v>
      </c>
      <c r="C4337">
        <v>20</v>
      </c>
      <c r="D4337">
        <v>6</v>
      </c>
      <c r="E4337">
        <v>25</v>
      </c>
      <c r="F4337">
        <v>98</v>
      </c>
      <c r="G4337">
        <v>185</v>
      </c>
      <c r="H4337">
        <v>211.1883</v>
      </c>
    </row>
    <row r="4338" spans="1:8" x14ac:dyDescent="0.25">
      <c r="A4338">
        <v>19480151</v>
      </c>
      <c r="B4338">
        <v>7</v>
      </c>
      <c r="C4338">
        <v>0</v>
      </c>
      <c r="D4338">
        <v>1</v>
      </c>
      <c r="E4338">
        <v>1</v>
      </c>
      <c r="F4338">
        <v>2</v>
      </c>
      <c r="G4338">
        <v>8</v>
      </c>
      <c r="H4338">
        <v>109.99</v>
      </c>
    </row>
    <row r="4339" spans="1:8" x14ac:dyDescent="0.25">
      <c r="A4339">
        <v>19480152</v>
      </c>
      <c r="B4339">
        <v>80</v>
      </c>
      <c r="C4339">
        <v>25</v>
      </c>
      <c r="D4339">
        <v>21</v>
      </c>
      <c r="E4339">
        <v>30</v>
      </c>
      <c r="F4339">
        <v>52</v>
      </c>
      <c r="G4339">
        <v>216</v>
      </c>
      <c r="H4339">
        <v>194.50479999999999</v>
      </c>
    </row>
    <row r="4340" spans="1:8" x14ac:dyDescent="0.25">
      <c r="A4340">
        <v>19480154</v>
      </c>
      <c r="B4340">
        <v>-1</v>
      </c>
      <c r="C4340">
        <v>0</v>
      </c>
      <c r="D4340">
        <v>0</v>
      </c>
      <c r="E4340">
        <v>0</v>
      </c>
      <c r="F4340">
        <v>0</v>
      </c>
      <c r="G4340">
        <v>0</v>
      </c>
      <c r="H4340">
        <v>0</v>
      </c>
    </row>
    <row r="4341" spans="1:8" x14ac:dyDescent="0.25">
      <c r="A4341">
        <v>19481037</v>
      </c>
      <c r="B4341">
        <v>23</v>
      </c>
      <c r="C4341">
        <v>60</v>
      </c>
      <c r="D4341">
        <v>3</v>
      </c>
      <c r="E4341">
        <v>17</v>
      </c>
      <c r="F4341">
        <v>39</v>
      </c>
      <c r="G4341">
        <v>98</v>
      </c>
      <c r="H4341">
        <v>626.6567</v>
      </c>
    </row>
    <row r="4342" spans="1:8" x14ac:dyDescent="0.25">
      <c r="A4342">
        <v>19481038</v>
      </c>
      <c r="B4342">
        <v>5</v>
      </c>
      <c r="C4342">
        <v>6</v>
      </c>
      <c r="D4342">
        <v>3</v>
      </c>
      <c r="E4342">
        <v>5</v>
      </c>
      <c r="F4342">
        <v>12</v>
      </c>
      <c r="G4342">
        <v>20</v>
      </c>
      <c r="H4342">
        <v>3248.3233</v>
      </c>
    </row>
    <row r="4343" spans="1:8" x14ac:dyDescent="0.25">
      <c r="A4343">
        <v>19481039</v>
      </c>
      <c r="B4343">
        <v>40</v>
      </c>
      <c r="C4343">
        <v>80</v>
      </c>
      <c r="D4343">
        <v>9</v>
      </c>
      <c r="E4343">
        <v>67</v>
      </c>
      <c r="F4343">
        <v>182</v>
      </c>
      <c r="G4343">
        <v>398</v>
      </c>
      <c r="H4343">
        <v>201.64330000000001</v>
      </c>
    </row>
    <row r="4344" spans="1:8" x14ac:dyDescent="0.25">
      <c r="A4344">
        <v>19481263</v>
      </c>
      <c r="B4344">
        <v>191</v>
      </c>
      <c r="C4344">
        <v>105</v>
      </c>
      <c r="D4344">
        <v>23</v>
      </c>
      <c r="E4344">
        <v>69</v>
      </c>
      <c r="F4344">
        <v>200</v>
      </c>
      <c r="G4344">
        <v>483</v>
      </c>
      <c r="H4344">
        <v>24.916499999999999</v>
      </c>
    </row>
    <row r="4345" spans="1:8" x14ac:dyDescent="0.25">
      <c r="A4345">
        <v>19481264</v>
      </c>
      <c r="B4345">
        <v>17</v>
      </c>
      <c r="C4345">
        <v>0</v>
      </c>
      <c r="D4345">
        <v>0</v>
      </c>
      <c r="E4345">
        <v>2</v>
      </c>
      <c r="F4345">
        <v>44</v>
      </c>
      <c r="G4345">
        <v>121</v>
      </c>
      <c r="H4345">
        <v>0</v>
      </c>
    </row>
    <row r="4346" spans="1:8" x14ac:dyDescent="0.25">
      <c r="A4346">
        <v>19481265</v>
      </c>
      <c r="B4346">
        <v>76</v>
      </c>
      <c r="C4346">
        <v>0</v>
      </c>
      <c r="D4346">
        <v>7</v>
      </c>
      <c r="E4346">
        <v>35</v>
      </c>
      <c r="F4346">
        <v>112</v>
      </c>
      <c r="G4346">
        <v>237</v>
      </c>
      <c r="H4346">
        <v>29.1386</v>
      </c>
    </row>
    <row r="4347" spans="1:8" x14ac:dyDescent="0.25">
      <c r="A4347">
        <v>19481266</v>
      </c>
      <c r="B4347">
        <v>74</v>
      </c>
      <c r="C4347">
        <v>5</v>
      </c>
      <c r="D4347">
        <v>1</v>
      </c>
      <c r="E4347">
        <v>6</v>
      </c>
      <c r="F4347">
        <v>33</v>
      </c>
      <c r="G4347">
        <v>108</v>
      </c>
      <c r="H4347">
        <v>34.99</v>
      </c>
    </row>
    <row r="4348" spans="1:8" x14ac:dyDescent="0.25">
      <c r="A4348">
        <v>19481267</v>
      </c>
      <c r="B4348">
        <v>63</v>
      </c>
      <c r="C4348">
        <v>0</v>
      </c>
      <c r="D4348">
        <v>1</v>
      </c>
      <c r="E4348">
        <v>1</v>
      </c>
      <c r="F4348">
        <v>10</v>
      </c>
      <c r="G4348">
        <v>52</v>
      </c>
      <c r="H4348">
        <v>27.99</v>
      </c>
    </row>
    <row r="4349" spans="1:8" x14ac:dyDescent="0.25">
      <c r="A4349">
        <v>19481268</v>
      </c>
      <c r="B4349">
        <v>84</v>
      </c>
      <c r="C4349">
        <v>5</v>
      </c>
      <c r="D4349">
        <v>2</v>
      </c>
      <c r="E4349">
        <v>9</v>
      </c>
      <c r="F4349">
        <v>21</v>
      </c>
      <c r="G4349">
        <v>81</v>
      </c>
      <c r="H4349">
        <v>22.49</v>
      </c>
    </row>
    <row r="4350" spans="1:8" x14ac:dyDescent="0.25">
      <c r="A4350">
        <v>19481465</v>
      </c>
      <c r="B4350">
        <v>17</v>
      </c>
      <c r="C4350">
        <v>0</v>
      </c>
      <c r="D4350">
        <v>3</v>
      </c>
      <c r="E4350">
        <v>11</v>
      </c>
      <c r="F4350">
        <v>51</v>
      </c>
      <c r="G4350">
        <v>202</v>
      </c>
      <c r="H4350">
        <v>896.6567</v>
      </c>
    </row>
    <row r="4351" spans="1:8" x14ac:dyDescent="0.25">
      <c r="A4351">
        <v>19481471</v>
      </c>
      <c r="B4351">
        <v>10</v>
      </c>
      <c r="C4351">
        <v>0</v>
      </c>
      <c r="D4351">
        <v>4</v>
      </c>
      <c r="E4351">
        <v>7</v>
      </c>
      <c r="F4351">
        <v>52</v>
      </c>
      <c r="G4351">
        <v>370</v>
      </c>
      <c r="H4351">
        <v>444.24</v>
      </c>
    </row>
    <row r="4352" spans="1:8" x14ac:dyDescent="0.25">
      <c r="A4352">
        <v>19481472</v>
      </c>
      <c r="B4352">
        <v>34</v>
      </c>
      <c r="C4352">
        <v>0</v>
      </c>
      <c r="D4352">
        <v>2</v>
      </c>
      <c r="E4352">
        <v>5</v>
      </c>
      <c r="F4352">
        <v>91</v>
      </c>
      <c r="G4352">
        <v>607</v>
      </c>
      <c r="H4352">
        <v>327.49</v>
      </c>
    </row>
    <row r="4353" spans="1:8" x14ac:dyDescent="0.25">
      <c r="A4353">
        <v>19481473</v>
      </c>
      <c r="B4353">
        <v>8</v>
      </c>
      <c r="C4353">
        <v>0</v>
      </c>
      <c r="D4353">
        <v>0</v>
      </c>
      <c r="E4353">
        <v>0</v>
      </c>
      <c r="F4353">
        <v>85</v>
      </c>
      <c r="G4353">
        <v>641</v>
      </c>
      <c r="H4353">
        <v>0</v>
      </c>
    </row>
    <row r="4354" spans="1:8" x14ac:dyDescent="0.25">
      <c r="A4354">
        <v>19481474</v>
      </c>
      <c r="B4354">
        <v>23</v>
      </c>
      <c r="C4354">
        <v>0</v>
      </c>
      <c r="D4354">
        <v>1</v>
      </c>
      <c r="E4354">
        <v>10</v>
      </c>
      <c r="F4354">
        <v>83</v>
      </c>
      <c r="G4354">
        <v>617</v>
      </c>
      <c r="H4354">
        <v>137.99</v>
      </c>
    </row>
    <row r="4355" spans="1:8" x14ac:dyDescent="0.25">
      <c r="A4355">
        <v>19482152</v>
      </c>
      <c r="B4355">
        <v>141</v>
      </c>
      <c r="C4355">
        <v>0</v>
      </c>
      <c r="D4355">
        <v>10</v>
      </c>
      <c r="E4355">
        <v>29</v>
      </c>
      <c r="F4355">
        <v>75</v>
      </c>
      <c r="G4355">
        <v>158</v>
      </c>
      <c r="H4355">
        <v>1319</v>
      </c>
    </row>
    <row r="4356" spans="1:8" x14ac:dyDescent="0.25">
      <c r="A4356">
        <v>19482726</v>
      </c>
      <c r="B4356">
        <v>104</v>
      </c>
      <c r="C4356">
        <v>0</v>
      </c>
      <c r="D4356">
        <v>1</v>
      </c>
      <c r="E4356">
        <v>1</v>
      </c>
      <c r="F4356">
        <v>16</v>
      </c>
      <c r="G4356">
        <v>31</v>
      </c>
      <c r="H4356">
        <v>126.03</v>
      </c>
    </row>
    <row r="4357" spans="1:8" x14ac:dyDescent="0.25">
      <c r="A4357">
        <v>19482727</v>
      </c>
      <c r="B4357">
        <v>259</v>
      </c>
      <c r="C4357">
        <v>0</v>
      </c>
      <c r="D4357">
        <v>2</v>
      </c>
      <c r="E4357">
        <v>10</v>
      </c>
      <c r="F4357">
        <v>66</v>
      </c>
      <c r="G4357">
        <v>130</v>
      </c>
      <c r="H4357">
        <v>149.99</v>
      </c>
    </row>
    <row r="4358" spans="1:8" x14ac:dyDescent="0.25">
      <c r="A4358">
        <v>19483785</v>
      </c>
      <c r="B4358">
        <v>106</v>
      </c>
      <c r="C4358">
        <v>24</v>
      </c>
      <c r="D4358">
        <v>8</v>
      </c>
      <c r="E4358">
        <v>28</v>
      </c>
      <c r="F4358">
        <v>100</v>
      </c>
      <c r="G4358">
        <v>210</v>
      </c>
      <c r="H4358">
        <v>66.108800000000002</v>
      </c>
    </row>
    <row r="4359" spans="1:8" x14ac:dyDescent="0.25">
      <c r="A4359">
        <v>19485131</v>
      </c>
      <c r="B4359">
        <v>40</v>
      </c>
      <c r="C4359">
        <v>6</v>
      </c>
      <c r="D4359">
        <v>5</v>
      </c>
      <c r="E4359">
        <v>29</v>
      </c>
      <c r="F4359">
        <v>87</v>
      </c>
      <c r="G4359">
        <v>221</v>
      </c>
      <c r="H4359">
        <v>64.11</v>
      </c>
    </row>
    <row r="4360" spans="1:8" x14ac:dyDescent="0.25">
      <c r="A4360">
        <v>19485132</v>
      </c>
      <c r="B4360">
        <v>54</v>
      </c>
      <c r="C4360">
        <v>6</v>
      </c>
      <c r="D4360">
        <v>6</v>
      </c>
      <c r="E4360">
        <v>60</v>
      </c>
      <c r="F4360">
        <v>223</v>
      </c>
      <c r="G4360">
        <v>620</v>
      </c>
      <c r="H4360">
        <v>62.545000000000002</v>
      </c>
    </row>
    <row r="4361" spans="1:8" x14ac:dyDescent="0.25">
      <c r="A4361">
        <v>19485133</v>
      </c>
      <c r="B4361">
        <v>176</v>
      </c>
      <c r="C4361">
        <v>36</v>
      </c>
      <c r="D4361">
        <v>24</v>
      </c>
      <c r="E4361">
        <v>79</v>
      </c>
      <c r="F4361">
        <v>220</v>
      </c>
      <c r="G4361">
        <v>576</v>
      </c>
      <c r="H4361">
        <v>63.86</v>
      </c>
    </row>
    <row r="4362" spans="1:8" x14ac:dyDescent="0.25">
      <c r="A4362">
        <v>19485134</v>
      </c>
      <c r="B4362">
        <v>37</v>
      </c>
      <c r="C4362">
        <v>6</v>
      </c>
      <c r="D4362">
        <v>2</v>
      </c>
      <c r="E4362">
        <v>26</v>
      </c>
      <c r="F4362">
        <v>69</v>
      </c>
      <c r="G4362">
        <v>173</v>
      </c>
      <c r="H4362">
        <v>64.989999999999995</v>
      </c>
    </row>
    <row r="4363" spans="1:8" x14ac:dyDescent="0.25">
      <c r="A4363">
        <v>19487067</v>
      </c>
      <c r="B4363">
        <v>67</v>
      </c>
      <c r="C4363">
        <v>0</v>
      </c>
      <c r="D4363">
        <v>6</v>
      </c>
      <c r="E4363">
        <v>27</v>
      </c>
      <c r="F4363">
        <v>92</v>
      </c>
      <c r="G4363">
        <v>173</v>
      </c>
      <c r="H4363">
        <v>1042.9232999999999</v>
      </c>
    </row>
    <row r="4364" spans="1:8" x14ac:dyDescent="0.25">
      <c r="A4364">
        <v>19487250</v>
      </c>
      <c r="B4364">
        <v>51</v>
      </c>
      <c r="C4364">
        <v>12</v>
      </c>
      <c r="D4364">
        <v>2</v>
      </c>
      <c r="E4364">
        <v>16</v>
      </c>
      <c r="F4364">
        <v>50</v>
      </c>
      <c r="G4364">
        <v>109</v>
      </c>
      <c r="H4364">
        <v>114.99</v>
      </c>
    </row>
    <row r="4365" spans="1:8" x14ac:dyDescent="0.25">
      <c r="A4365">
        <v>19487251</v>
      </c>
      <c r="B4365">
        <v>54</v>
      </c>
      <c r="C4365">
        <v>24</v>
      </c>
      <c r="D4365">
        <v>9</v>
      </c>
      <c r="E4365">
        <v>27</v>
      </c>
      <c r="F4365">
        <v>57</v>
      </c>
      <c r="G4365">
        <v>131</v>
      </c>
      <c r="H4365">
        <v>168.15219999999999</v>
      </c>
    </row>
    <row r="4366" spans="1:8" x14ac:dyDescent="0.25">
      <c r="A4366">
        <v>19487252</v>
      </c>
      <c r="B4366">
        <v>263</v>
      </c>
      <c r="C4366">
        <v>128</v>
      </c>
      <c r="D4366">
        <v>26</v>
      </c>
      <c r="E4366">
        <v>88</v>
      </c>
      <c r="F4366">
        <v>287</v>
      </c>
      <c r="G4366">
        <v>667</v>
      </c>
      <c r="H4366">
        <v>48.892299999999999</v>
      </c>
    </row>
    <row r="4367" spans="1:8" x14ac:dyDescent="0.25">
      <c r="A4367">
        <v>19487253</v>
      </c>
      <c r="B4367">
        <v>223</v>
      </c>
      <c r="C4367">
        <v>80</v>
      </c>
      <c r="D4367">
        <v>16</v>
      </c>
      <c r="E4367">
        <v>40</v>
      </c>
      <c r="F4367">
        <v>133</v>
      </c>
      <c r="G4367">
        <v>365</v>
      </c>
      <c r="H4367">
        <v>46.080599999999997</v>
      </c>
    </row>
    <row r="4368" spans="1:8" x14ac:dyDescent="0.25">
      <c r="A4368">
        <v>19487254</v>
      </c>
      <c r="B4368">
        <v>185</v>
      </c>
      <c r="C4368">
        <v>120</v>
      </c>
      <c r="D4368">
        <v>15</v>
      </c>
      <c r="E4368">
        <v>73</v>
      </c>
      <c r="F4368">
        <v>203</v>
      </c>
      <c r="G4368">
        <v>574</v>
      </c>
      <c r="H4368">
        <v>48.630699999999997</v>
      </c>
    </row>
    <row r="4369" spans="1:8" x14ac:dyDescent="0.25">
      <c r="A4369">
        <v>19487255</v>
      </c>
      <c r="B4369">
        <v>300</v>
      </c>
      <c r="C4369">
        <v>120</v>
      </c>
      <c r="D4369">
        <v>18</v>
      </c>
      <c r="E4369">
        <v>60</v>
      </c>
      <c r="F4369">
        <v>287</v>
      </c>
      <c r="G4369">
        <v>727</v>
      </c>
      <c r="H4369">
        <v>48.1006</v>
      </c>
    </row>
    <row r="4370" spans="1:8" x14ac:dyDescent="0.25">
      <c r="A4370">
        <v>19487256</v>
      </c>
      <c r="B4370">
        <v>61</v>
      </c>
      <c r="C4370">
        <v>10</v>
      </c>
      <c r="D4370">
        <v>4</v>
      </c>
      <c r="E4370">
        <v>9</v>
      </c>
      <c r="F4370">
        <v>9</v>
      </c>
      <c r="G4370">
        <v>9</v>
      </c>
      <c r="H4370">
        <v>193.34</v>
      </c>
    </row>
    <row r="4371" spans="1:8" x14ac:dyDescent="0.25">
      <c r="A4371">
        <v>19487257</v>
      </c>
      <c r="B4371">
        <v>38</v>
      </c>
      <c r="C4371">
        <v>30</v>
      </c>
      <c r="D4371">
        <v>8</v>
      </c>
      <c r="E4371">
        <v>27</v>
      </c>
      <c r="F4371">
        <v>68</v>
      </c>
      <c r="G4371">
        <v>139</v>
      </c>
      <c r="H4371">
        <v>158.84129999999999</v>
      </c>
    </row>
    <row r="4372" spans="1:8" x14ac:dyDescent="0.25">
      <c r="A4372">
        <v>19487517</v>
      </c>
      <c r="B4372">
        <v>20</v>
      </c>
      <c r="C4372">
        <v>0</v>
      </c>
      <c r="D4372">
        <v>0</v>
      </c>
      <c r="E4372">
        <v>3</v>
      </c>
      <c r="F4372">
        <v>27</v>
      </c>
      <c r="G4372">
        <v>200</v>
      </c>
      <c r="H4372">
        <v>0</v>
      </c>
    </row>
    <row r="4373" spans="1:8" x14ac:dyDescent="0.25">
      <c r="A4373">
        <v>19488445</v>
      </c>
      <c r="B4373">
        <v>575</v>
      </c>
      <c r="C4373">
        <v>0</v>
      </c>
      <c r="D4373">
        <v>33</v>
      </c>
      <c r="E4373">
        <v>99</v>
      </c>
      <c r="F4373">
        <v>253</v>
      </c>
      <c r="G4373">
        <v>506</v>
      </c>
      <c r="H4373">
        <v>1296.2718</v>
      </c>
    </row>
    <row r="4374" spans="1:8" x14ac:dyDescent="0.25">
      <c r="A4374">
        <v>19488447</v>
      </c>
      <c r="B4374">
        <v>479</v>
      </c>
      <c r="C4374">
        <v>0</v>
      </c>
      <c r="D4374">
        <v>15</v>
      </c>
      <c r="E4374">
        <v>54</v>
      </c>
      <c r="F4374">
        <v>168</v>
      </c>
      <c r="G4374">
        <v>343</v>
      </c>
      <c r="H4374">
        <v>1078.2713000000001</v>
      </c>
    </row>
    <row r="4375" spans="1:8" x14ac:dyDescent="0.25">
      <c r="A4375">
        <v>19488577</v>
      </c>
      <c r="B4375">
        <v>30</v>
      </c>
      <c r="C4375">
        <v>4</v>
      </c>
      <c r="D4375">
        <v>0</v>
      </c>
      <c r="E4375">
        <v>1</v>
      </c>
      <c r="F4375">
        <v>18</v>
      </c>
      <c r="G4375">
        <v>46</v>
      </c>
      <c r="H4375">
        <v>0</v>
      </c>
    </row>
    <row r="4376" spans="1:8" x14ac:dyDescent="0.25">
      <c r="A4376">
        <v>19488579</v>
      </c>
      <c r="B4376">
        <v>45</v>
      </c>
      <c r="C4376">
        <v>12</v>
      </c>
      <c r="D4376">
        <v>5</v>
      </c>
      <c r="E4376">
        <v>11</v>
      </c>
      <c r="F4376">
        <v>47</v>
      </c>
      <c r="G4376">
        <v>77</v>
      </c>
      <c r="H4376">
        <v>343.72800000000001</v>
      </c>
    </row>
    <row r="4377" spans="1:8" x14ac:dyDescent="0.25">
      <c r="A4377">
        <v>19489196</v>
      </c>
      <c r="B4377">
        <v>2</v>
      </c>
      <c r="C4377">
        <v>0</v>
      </c>
      <c r="D4377">
        <v>0</v>
      </c>
      <c r="E4377">
        <v>0</v>
      </c>
      <c r="F4377">
        <v>1</v>
      </c>
      <c r="G4377">
        <v>1</v>
      </c>
      <c r="H4377">
        <v>0</v>
      </c>
    </row>
    <row r="4378" spans="1:8" x14ac:dyDescent="0.25">
      <c r="A4378">
        <v>19489197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1</v>
      </c>
      <c r="H4378">
        <v>0</v>
      </c>
    </row>
    <row r="4379" spans="1:8" x14ac:dyDescent="0.25">
      <c r="A4379">
        <v>19489198</v>
      </c>
      <c r="B4379">
        <v>9</v>
      </c>
      <c r="C4379">
        <v>1</v>
      </c>
      <c r="D4379">
        <v>0</v>
      </c>
      <c r="E4379">
        <v>1</v>
      </c>
      <c r="F4379">
        <v>9</v>
      </c>
      <c r="G4379">
        <v>15</v>
      </c>
      <c r="H4379">
        <v>0</v>
      </c>
    </row>
    <row r="4380" spans="1:8" x14ac:dyDescent="0.25">
      <c r="A4380">
        <v>19489199</v>
      </c>
      <c r="B4380">
        <v>2</v>
      </c>
      <c r="C4380">
        <v>0</v>
      </c>
      <c r="D4380">
        <v>0</v>
      </c>
      <c r="E4380">
        <v>1</v>
      </c>
      <c r="F4380">
        <v>6</v>
      </c>
      <c r="G4380">
        <v>16</v>
      </c>
      <c r="H4380">
        <v>0</v>
      </c>
    </row>
    <row r="4381" spans="1:8" x14ac:dyDescent="0.25">
      <c r="A4381">
        <v>19489201</v>
      </c>
      <c r="B4381">
        <v>6</v>
      </c>
      <c r="C4381">
        <v>0</v>
      </c>
      <c r="D4381">
        <v>7</v>
      </c>
      <c r="E4381">
        <v>17</v>
      </c>
      <c r="F4381">
        <v>96</v>
      </c>
      <c r="G4381">
        <v>234</v>
      </c>
      <c r="H4381">
        <v>159</v>
      </c>
    </row>
    <row r="4382" spans="1:8" x14ac:dyDescent="0.25">
      <c r="A4382">
        <v>19489227</v>
      </c>
      <c r="B4382">
        <v>143</v>
      </c>
      <c r="C4382">
        <v>0</v>
      </c>
      <c r="D4382">
        <v>15</v>
      </c>
      <c r="E4382">
        <v>142</v>
      </c>
      <c r="F4382">
        <v>305</v>
      </c>
      <c r="G4382">
        <v>693</v>
      </c>
      <c r="H4382">
        <v>248.74600000000001</v>
      </c>
    </row>
    <row r="4383" spans="1:8" x14ac:dyDescent="0.25">
      <c r="A4383">
        <v>19489681</v>
      </c>
      <c r="B4383">
        <v>44</v>
      </c>
      <c r="C4383">
        <v>4</v>
      </c>
      <c r="D4383">
        <v>4</v>
      </c>
      <c r="E4383">
        <v>10</v>
      </c>
      <c r="F4383">
        <v>19</v>
      </c>
      <c r="G4383">
        <v>36</v>
      </c>
      <c r="H4383">
        <v>134</v>
      </c>
    </row>
    <row r="4384" spans="1:8" x14ac:dyDescent="0.25">
      <c r="A4384">
        <v>19489682</v>
      </c>
      <c r="B4384">
        <v>25</v>
      </c>
      <c r="C4384">
        <v>0</v>
      </c>
      <c r="D4384">
        <v>0</v>
      </c>
      <c r="E4384">
        <v>5</v>
      </c>
      <c r="F4384">
        <v>21</v>
      </c>
      <c r="G4384">
        <v>50</v>
      </c>
      <c r="H4384">
        <v>0</v>
      </c>
    </row>
    <row r="4385" spans="1:8" x14ac:dyDescent="0.25">
      <c r="A4385">
        <v>19489683</v>
      </c>
      <c r="B4385">
        <v>47</v>
      </c>
      <c r="C4385">
        <v>12</v>
      </c>
      <c r="D4385">
        <v>4</v>
      </c>
      <c r="E4385">
        <v>9</v>
      </c>
      <c r="F4385">
        <v>27</v>
      </c>
      <c r="G4385">
        <v>64</v>
      </c>
      <c r="H4385">
        <v>87.75</v>
      </c>
    </row>
    <row r="4386" spans="1:8" x14ac:dyDescent="0.25">
      <c r="A4386">
        <v>19491259</v>
      </c>
      <c r="B4386">
        <v>138</v>
      </c>
      <c r="C4386">
        <v>48</v>
      </c>
      <c r="D4386">
        <v>7</v>
      </c>
      <c r="E4386">
        <v>40</v>
      </c>
      <c r="F4386">
        <v>176</v>
      </c>
      <c r="G4386">
        <v>290</v>
      </c>
      <c r="H4386">
        <v>11.99</v>
      </c>
    </row>
    <row r="4387" spans="1:8" x14ac:dyDescent="0.25">
      <c r="A4387">
        <v>19491260</v>
      </c>
      <c r="B4387">
        <v>193</v>
      </c>
      <c r="C4387">
        <v>72</v>
      </c>
      <c r="D4387">
        <v>16</v>
      </c>
      <c r="E4387">
        <v>71</v>
      </c>
      <c r="F4387">
        <v>192</v>
      </c>
      <c r="G4387">
        <v>330</v>
      </c>
      <c r="H4387">
        <v>15.6487</v>
      </c>
    </row>
    <row r="4388" spans="1:8" x14ac:dyDescent="0.25">
      <c r="A4388">
        <v>19491261</v>
      </c>
      <c r="B4388">
        <v>96</v>
      </c>
      <c r="C4388">
        <v>72</v>
      </c>
      <c r="D4388">
        <v>19</v>
      </c>
      <c r="E4388">
        <v>77</v>
      </c>
      <c r="F4388">
        <v>214</v>
      </c>
      <c r="G4388">
        <v>346</v>
      </c>
      <c r="H4388">
        <v>23.048400000000001</v>
      </c>
    </row>
    <row r="4389" spans="1:8" x14ac:dyDescent="0.25">
      <c r="A4389">
        <v>19491262</v>
      </c>
      <c r="B4389">
        <v>140</v>
      </c>
      <c r="C4389">
        <v>40</v>
      </c>
      <c r="D4389">
        <v>9</v>
      </c>
      <c r="E4389">
        <v>28</v>
      </c>
      <c r="F4389">
        <v>107</v>
      </c>
      <c r="G4389">
        <v>193</v>
      </c>
      <c r="H4389">
        <v>32.434399999999997</v>
      </c>
    </row>
    <row r="4390" spans="1:8" x14ac:dyDescent="0.25">
      <c r="A4390">
        <v>19491263</v>
      </c>
      <c r="B4390">
        <v>176</v>
      </c>
      <c r="C4390">
        <v>0</v>
      </c>
      <c r="D4390">
        <v>3</v>
      </c>
      <c r="E4390">
        <v>9</v>
      </c>
      <c r="F4390">
        <v>43</v>
      </c>
      <c r="G4390">
        <v>68</v>
      </c>
      <c r="H4390">
        <v>27.99</v>
      </c>
    </row>
    <row r="4391" spans="1:8" x14ac:dyDescent="0.25">
      <c r="A4391">
        <v>19491264</v>
      </c>
      <c r="B4391">
        <v>140</v>
      </c>
      <c r="C4391">
        <v>0</v>
      </c>
      <c r="D4391">
        <v>1</v>
      </c>
      <c r="E4391">
        <v>3</v>
      </c>
      <c r="F4391">
        <v>24</v>
      </c>
      <c r="G4391">
        <v>47</v>
      </c>
      <c r="H4391">
        <v>64.989999999999995</v>
      </c>
    </row>
    <row r="4392" spans="1:8" x14ac:dyDescent="0.25">
      <c r="A4392">
        <v>19491265</v>
      </c>
      <c r="B4392">
        <v>154</v>
      </c>
      <c r="C4392">
        <v>0</v>
      </c>
      <c r="D4392">
        <v>0</v>
      </c>
      <c r="E4392">
        <v>0</v>
      </c>
      <c r="F4392">
        <v>4</v>
      </c>
      <c r="G4392">
        <v>14</v>
      </c>
      <c r="H4392">
        <v>0</v>
      </c>
    </row>
    <row r="4393" spans="1:8" x14ac:dyDescent="0.25">
      <c r="A4393">
        <v>19491266</v>
      </c>
      <c r="B4393">
        <v>124</v>
      </c>
      <c r="C4393">
        <v>12</v>
      </c>
      <c r="D4393">
        <v>0</v>
      </c>
      <c r="E4393">
        <v>1</v>
      </c>
      <c r="F4393">
        <v>2</v>
      </c>
      <c r="G4393">
        <v>24</v>
      </c>
      <c r="H4393">
        <v>0</v>
      </c>
    </row>
    <row r="4394" spans="1:8" x14ac:dyDescent="0.25">
      <c r="A4394">
        <v>19491569</v>
      </c>
      <c r="B4394">
        <v>32</v>
      </c>
      <c r="C4394">
        <v>25</v>
      </c>
      <c r="D4394">
        <v>3</v>
      </c>
      <c r="E4394">
        <v>21</v>
      </c>
      <c r="F4394">
        <v>92</v>
      </c>
      <c r="G4394">
        <v>201</v>
      </c>
      <c r="H4394">
        <v>46.333300000000001</v>
      </c>
    </row>
    <row r="4395" spans="1:8" x14ac:dyDescent="0.25">
      <c r="A4395">
        <v>19496232</v>
      </c>
      <c r="B4395">
        <v>128</v>
      </c>
      <c r="C4395">
        <v>0</v>
      </c>
      <c r="D4395">
        <v>4</v>
      </c>
      <c r="E4395">
        <v>26</v>
      </c>
      <c r="F4395">
        <v>81</v>
      </c>
      <c r="G4395">
        <v>157</v>
      </c>
      <c r="H4395">
        <v>1445.2874999999999</v>
      </c>
    </row>
    <row r="4396" spans="1:8" x14ac:dyDescent="0.25">
      <c r="A4396">
        <v>19496886</v>
      </c>
      <c r="B4396">
        <v>58</v>
      </c>
      <c r="C4396">
        <v>0</v>
      </c>
      <c r="D4396">
        <v>0</v>
      </c>
      <c r="E4396">
        <v>0</v>
      </c>
      <c r="F4396">
        <v>9</v>
      </c>
      <c r="G4396">
        <v>37</v>
      </c>
      <c r="H4396">
        <v>0</v>
      </c>
    </row>
    <row r="4397" spans="1:8" x14ac:dyDescent="0.25">
      <c r="A4397">
        <v>19496888</v>
      </c>
      <c r="B4397">
        <v>22</v>
      </c>
      <c r="C4397">
        <v>4</v>
      </c>
      <c r="D4397">
        <v>0</v>
      </c>
      <c r="E4397">
        <v>2</v>
      </c>
      <c r="F4397">
        <v>12</v>
      </c>
      <c r="G4397">
        <v>24</v>
      </c>
      <c r="H4397">
        <v>0</v>
      </c>
    </row>
    <row r="4398" spans="1:8" x14ac:dyDescent="0.25">
      <c r="A4398">
        <v>19497383</v>
      </c>
      <c r="B4398">
        <v>68</v>
      </c>
      <c r="C4398">
        <v>36</v>
      </c>
      <c r="D4398">
        <v>8</v>
      </c>
      <c r="E4398">
        <v>38</v>
      </c>
      <c r="F4398">
        <v>112</v>
      </c>
      <c r="G4398">
        <v>244</v>
      </c>
      <c r="H4398">
        <v>68.013800000000003</v>
      </c>
    </row>
    <row r="4399" spans="1:8" x14ac:dyDescent="0.25">
      <c r="A4399">
        <v>19497384</v>
      </c>
      <c r="B4399">
        <v>69</v>
      </c>
      <c r="C4399">
        <v>40</v>
      </c>
      <c r="D4399">
        <v>6</v>
      </c>
      <c r="E4399">
        <v>34</v>
      </c>
      <c r="F4399">
        <v>97</v>
      </c>
      <c r="G4399">
        <v>186</v>
      </c>
      <c r="H4399">
        <v>69.989999999999995</v>
      </c>
    </row>
    <row r="4400" spans="1:8" x14ac:dyDescent="0.25">
      <c r="A4400">
        <v>19497385</v>
      </c>
      <c r="B4400">
        <v>110</v>
      </c>
      <c r="C4400">
        <v>4</v>
      </c>
      <c r="D4400">
        <v>5</v>
      </c>
      <c r="E4400">
        <v>17</v>
      </c>
      <c r="F4400">
        <v>59</v>
      </c>
      <c r="G4400">
        <v>177</v>
      </c>
      <c r="H4400">
        <v>54.39</v>
      </c>
    </row>
    <row r="4401" spans="1:8" x14ac:dyDescent="0.25">
      <c r="A4401">
        <v>19497386</v>
      </c>
      <c r="B4401">
        <v>104</v>
      </c>
      <c r="C4401">
        <v>28</v>
      </c>
      <c r="D4401">
        <v>10</v>
      </c>
      <c r="E4401">
        <v>33</v>
      </c>
      <c r="F4401">
        <v>119</v>
      </c>
      <c r="G4401">
        <v>270</v>
      </c>
      <c r="H4401">
        <v>67.5</v>
      </c>
    </row>
    <row r="4402" spans="1:8" x14ac:dyDescent="0.25">
      <c r="A4402">
        <v>19497390</v>
      </c>
      <c r="B4402">
        <v>214</v>
      </c>
      <c r="C4402">
        <v>16</v>
      </c>
      <c r="D4402">
        <v>10</v>
      </c>
      <c r="E4402">
        <v>59</v>
      </c>
      <c r="F4402">
        <v>159</v>
      </c>
      <c r="G4402">
        <v>437</v>
      </c>
      <c r="H4402">
        <v>19.401</v>
      </c>
    </row>
    <row r="4403" spans="1:8" x14ac:dyDescent="0.25">
      <c r="A4403">
        <v>19497391</v>
      </c>
      <c r="B4403">
        <v>124</v>
      </c>
      <c r="C4403">
        <v>104</v>
      </c>
      <c r="D4403">
        <v>13</v>
      </c>
      <c r="E4403">
        <v>45</v>
      </c>
      <c r="F4403">
        <v>201</v>
      </c>
      <c r="G4403">
        <v>600</v>
      </c>
      <c r="H4403">
        <v>19.989999999999998</v>
      </c>
    </row>
    <row r="4404" spans="1:8" x14ac:dyDescent="0.25">
      <c r="A4404">
        <v>19497393</v>
      </c>
      <c r="B4404">
        <v>52</v>
      </c>
      <c r="C4404">
        <v>0</v>
      </c>
      <c r="D4404">
        <v>3</v>
      </c>
      <c r="E4404">
        <v>7</v>
      </c>
      <c r="F4404">
        <v>57</v>
      </c>
      <c r="G4404">
        <v>155</v>
      </c>
      <c r="H4404">
        <v>76.58</v>
      </c>
    </row>
    <row r="4405" spans="1:8" x14ac:dyDescent="0.25">
      <c r="A4405">
        <v>19498779</v>
      </c>
      <c r="B4405">
        <v>252</v>
      </c>
      <c r="C4405">
        <v>157</v>
      </c>
      <c r="D4405">
        <v>38</v>
      </c>
      <c r="E4405">
        <v>134</v>
      </c>
      <c r="F4405">
        <v>373</v>
      </c>
      <c r="G4405">
        <v>858</v>
      </c>
      <c r="H4405">
        <v>29.6403</v>
      </c>
    </row>
    <row r="4406" spans="1:8" x14ac:dyDescent="0.25">
      <c r="A4406">
        <v>19498780</v>
      </c>
      <c r="B4406">
        <v>271</v>
      </c>
      <c r="C4406">
        <v>109</v>
      </c>
      <c r="D4406">
        <v>19</v>
      </c>
      <c r="E4406">
        <v>89</v>
      </c>
      <c r="F4406">
        <v>294</v>
      </c>
      <c r="G4406">
        <v>706</v>
      </c>
      <c r="H4406">
        <v>37.601100000000002</v>
      </c>
    </row>
    <row r="4407" spans="1:8" x14ac:dyDescent="0.25">
      <c r="A4407">
        <v>19498781</v>
      </c>
      <c r="B4407">
        <v>179</v>
      </c>
      <c r="C4407">
        <v>45</v>
      </c>
      <c r="D4407">
        <v>9</v>
      </c>
      <c r="E4407">
        <v>37</v>
      </c>
      <c r="F4407">
        <v>139</v>
      </c>
      <c r="G4407">
        <v>306</v>
      </c>
      <c r="H4407">
        <v>29.97</v>
      </c>
    </row>
    <row r="4408" spans="1:8" x14ac:dyDescent="0.25">
      <c r="A4408">
        <v>19498782</v>
      </c>
      <c r="B4408">
        <v>202</v>
      </c>
      <c r="C4408">
        <v>65</v>
      </c>
      <c r="D4408">
        <v>11</v>
      </c>
      <c r="E4408">
        <v>48</v>
      </c>
      <c r="F4408">
        <v>153</v>
      </c>
      <c r="G4408">
        <v>302</v>
      </c>
      <c r="H4408">
        <v>28.144500000000001</v>
      </c>
    </row>
    <row r="4409" spans="1:8" x14ac:dyDescent="0.25">
      <c r="A4409">
        <v>19500299</v>
      </c>
      <c r="B4409">
        <v>178</v>
      </c>
      <c r="C4409">
        <v>0</v>
      </c>
      <c r="D4409">
        <v>7</v>
      </c>
      <c r="E4409">
        <v>35</v>
      </c>
      <c r="F4409">
        <v>85</v>
      </c>
      <c r="G4409">
        <v>629</v>
      </c>
      <c r="H4409">
        <v>29.178599999999999</v>
      </c>
    </row>
    <row r="4410" spans="1:8" x14ac:dyDescent="0.25">
      <c r="A4410">
        <v>19500301</v>
      </c>
      <c r="B4410">
        <v>20</v>
      </c>
      <c r="C4410">
        <v>0</v>
      </c>
      <c r="D4410">
        <v>1</v>
      </c>
      <c r="E4410">
        <v>5</v>
      </c>
      <c r="F4410">
        <v>15</v>
      </c>
      <c r="G4410">
        <v>121</v>
      </c>
      <c r="H4410">
        <v>29.99</v>
      </c>
    </row>
    <row r="4411" spans="1:8" x14ac:dyDescent="0.25">
      <c r="A4411">
        <v>19500302</v>
      </c>
      <c r="B4411">
        <v>84</v>
      </c>
      <c r="C4411">
        <v>0</v>
      </c>
      <c r="D4411">
        <v>4</v>
      </c>
      <c r="E4411">
        <v>14</v>
      </c>
      <c r="F4411">
        <v>45</v>
      </c>
      <c r="G4411">
        <v>174</v>
      </c>
      <c r="H4411">
        <v>29.99</v>
      </c>
    </row>
    <row r="4412" spans="1:8" x14ac:dyDescent="0.25">
      <c r="A4412">
        <v>19500303</v>
      </c>
      <c r="B4412">
        <v>437</v>
      </c>
      <c r="C4412">
        <v>0</v>
      </c>
      <c r="D4412">
        <v>2</v>
      </c>
      <c r="E4412">
        <v>10</v>
      </c>
      <c r="F4412">
        <v>47</v>
      </c>
      <c r="G4412">
        <v>210</v>
      </c>
      <c r="H4412">
        <v>47.725000000000001</v>
      </c>
    </row>
    <row r="4413" spans="1:8" x14ac:dyDescent="0.25">
      <c r="A4413">
        <v>19500304</v>
      </c>
      <c r="B4413">
        <v>158</v>
      </c>
      <c r="C4413">
        <v>0</v>
      </c>
      <c r="D4413">
        <v>1</v>
      </c>
      <c r="E4413">
        <v>5</v>
      </c>
      <c r="F4413">
        <v>13</v>
      </c>
      <c r="G4413">
        <v>48</v>
      </c>
      <c r="H4413">
        <v>35.51</v>
      </c>
    </row>
    <row r="4414" spans="1:8" x14ac:dyDescent="0.25">
      <c r="A4414">
        <v>19500305</v>
      </c>
      <c r="B4414">
        <v>38</v>
      </c>
      <c r="C4414">
        <v>0</v>
      </c>
      <c r="D4414">
        <v>0</v>
      </c>
      <c r="E4414">
        <v>2</v>
      </c>
      <c r="F4414">
        <v>10</v>
      </c>
      <c r="G4414">
        <v>68</v>
      </c>
      <c r="H4414">
        <v>0</v>
      </c>
    </row>
    <row r="4415" spans="1:8" x14ac:dyDescent="0.25">
      <c r="A4415">
        <v>19500306</v>
      </c>
      <c r="B4415">
        <v>10</v>
      </c>
      <c r="C4415">
        <v>0</v>
      </c>
      <c r="D4415">
        <v>0</v>
      </c>
      <c r="E4415">
        <v>0</v>
      </c>
      <c r="F4415">
        <v>0</v>
      </c>
      <c r="G4415">
        <v>57</v>
      </c>
      <c r="H4415">
        <v>0</v>
      </c>
    </row>
    <row r="4416" spans="1:8" x14ac:dyDescent="0.25">
      <c r="A4416">
        <v>19500307</v>
      </c>
      <c r="B4416">
        <v>147</v>
      </c>
      <c r="C4416">
        <v>0</v>
      </c>
      <c r="D4416">
        <v>0</v>
      </c>
      <c r="E4416">
        <v>10</v>
      </c>
      <c r="F4416">
        <v>22</v>
      </c>
      <c r="G4416">
        <v>48</v>
      </c>
      <c r="H4416">
        <v>0</v>
      </c>
    </row>
    <row r="4417" spans="1:8" x14ac:dyDescent="0.25">
      <c r="A4417">
        <v>19500394</v>
      </c>
      <c r="B4417">
        <v>14</v>
      </c>
      <c r="C4417">
        <v>0</v>
      </c>
      <c r="D4417">
        <v>0</v>
      </c>
      <c r="E4417">
        <v>2</v>
      </c>
      <c r="F4417">
        <v>57</v>
      </c>
      <c r="G4417">
        <v>213</v>
      </c>
      <c r="H4417">
        <v>0</v>
      </c>
    </row>
    <row r="4418" spans="1:8" x14ac:dyDescent="0.25">
      <c r="A4418">
        <v>19500779</v>
      </c>
      <c r="B4418">
        <v>39</v>
      </c>
      <c r="C4418">
        <v>0</v>
      </c>
      <c r="D4418">
        <v>1</v>
      </c>
      <c r="E4418">
        <v>5</v>
      </c>
      <c r="F4418">
        <v>35</v>
      </c>
      <c r="G4418">
        <v>570</v>
      </c>
      <c r="H4418">
        <v>247.99</v>
      </c>
    </row>
    <row r="4419" spans="1:8" x14ac:dyDescent="0.25">
      <c r="A4419">
        <v>19500780</v>
      </c>
      <c r="B4419">
        <v>5</v>
      </c>
      <c r="C4419">
        <v>0</v>
      </c>
      <c r="D4419">
        <v>4</v>
      </c>
      <c r="E4419">
        <v>9</v>
      </c>
      <c r="F4419">
        <v>66</v>
      </c>
      <c r="G4419">
        <v>712</v>
      </c>
      <c r="H4419">
        <v>282.47500000000002</v>
      </c>
    </row>
    <row r="4420" spans="1:8" x14ac:dyDescent="0.25">
      <c r="A4420">
        <v>19500781</v>
      </c>
      <c r="B4420">
        <v>9</v>
      </c>
      <c r="C4420">
        <v>0</v>
      </c>
      <c r="D4420">
        <v>1</v>
      </c>
      <c r="E4420">
        <v>4</v>
      </c>
      <c r="F4420">
        <v>23</v>
      </c>
      <c r="G4420">
        <v>282</v>
      </c>
      <c r="H4420">
        <v>349.97</v>
      </c>
    </row>
    <row r="4421" spans="1:8" x14ac:dyDescent="0.25">
      <c r="A4421">
        <v>19500782</v>
      </c>
      <c r="B4421">
        <v>60</v>
      </c>
      <c r="C4421">
        <v>0</v>
      </c>
      <c r="D4421">
        <v>4</v>
      </c>
      <c r="E4421">
        <v>11</v>
      </c>
      <c r="F4421">
        <v>50</v>
      </c>
      <c r="G4421">
        <v>186</v>
      </c>
      <c r="H4421">
        <v>648.73</v>
      </c>
    </row>
    <row r="4422" spans="1:8" x14ac:dyDescent="0.25">
      <c r="A4422">
        <v>19500783</v>
      </c>
      <c r="B4422">
        <v>3</v>
      </c>
      <c r="C4422">
        <v>0</v>
      </c>
      <c r="D4422">
        <v>1</v>
      </c>
      <c r="E4422">
        <v>2</v>
      </c>
      <c r="F4422">
        <v>12</v>
      </c>
      <c r="G4422">
        <v>176</v>
      </c>
      <c r="H4422">
        <v>249.99</v>
      </c>
    </row>
    <row r="4423" spans="1:8" x14ac:dyDescent="0.25">
      <c r="A4423">
        <v>19500784</v>
      </c>
      <c r="B4423">
        <v>10</v>
      </c>
      <c r="C4423">
        <v>0</v>
      </c>
      <c r="D4423">
        <v>1</v>
      </c>
      <c r="E4423">
        <v>1</v>
      </c>
      <c r="F4423">
        <v>14</v>
      </c>
      <c r="G4423">
        <v>190</v>
      </c>
      <c r="H4423">
        <v>447.99</v>
      </c>
    </row>
    <row r="4424" spans="1:8" x14ac:dyDescent="0.25">
      <c r="A4424">
        <v>19500785</v>
      </c>
      <c r="B4424">
        <v>14</v>
      </c>
      <c r="C4424">
        <v>0</v>
      </c>
      <c r="D4424">
        <v>1</v>
      </c>
      <c r="E4424">
        <v>1</v>
      </c>
      <c r="F4424">
        <v>10</v>
      </c>
      <c r="G4424">
        <v>168</v>
      </c>
      <c r="H4424">
        <v>592.99</v>
      </c>
    </row>
    <row r="4425" spans="1:8" x14ac:dyDescent="0.25">
      <c r="A4425">
        <v>19502558</v>
      </c>
      <c r="B4425">
        <v>0</v>
      </c>
      <c r="C4425">
        <v>0</v>
      </c>
      <c r="D4425">
        <v>0</v>
      </c>
      <c r="E4425">
        <v>0</v>
      </c>
      <c r="F4425">
        <v>4</v>
      </c>
      <c r="G4425">
        <v>19</v>
      </c>
      <c r="H4425">
        <v>0</v>
      </c>
    </row>
    <row r="4426" spans="1:8" x14ac:dyDescent="0.25">
      <c r="A4426">
        <v>19504982</v>
      </c>
      <c r="B4426">
        <v>75</v>
      </c>
      <c r="C4426">
        <v>0</v>
      </c>
      <c r="D4426">
        <v>21</v>
      </c>
      <c r="E4426">
        <v>52</v>
      </c>
      <c r="F4426">
        <v>153</v>
      </c>
      <c r="G4426">
        <v>554</v>
      </c>
      <c r="H4426">
        <v>112.08329999999999</v>
      </c>
    </row>
    <row r="4427" spans="1:8" x14ac:dyDescent="0.25">
      <c r="A4427">
        <v>19504983</v>
      </c>
      <c r="B4427">
        <v>205</v>
      </c>
      <c r="C4427">
        <v>0</v>
      </c>
      <c r="D4427">
        <v>30</v>
      </c>
      <c r="E4427">
        <v>81</v>
      </c>
      <c r="F4427">
        <v>182</v>
      </c>
      <c r="G4427">
        <v>449</v>
      </c>
      <c r="H4427">
        <v>160.13900000000001</v>
      </c>
    </row>
    <row r="4428" spans="1:8" x14ac:dyDescent="0.25">
      <c r="A4428">
        <v>19504984</v>
      </c>
      <c r="B4428">
        <v>271</v>
      </c>
      <c r="C4428">
        <v>0</v>
      </c>
      <c r="D4428">
        <v>19</v>
      </c>
      <c r="E4428">
        <v>57</v>
      </c>
      <c r="F4428">
        <v>145</v>
      </c>
      <c r="G4428">
        <v>223</v>
      </c>
      <c r="H4428">
        <v>211.04259999999999</v>
      </c>
    </row>
    <row r="4429" spans="1:8" x14ac:dyDescent="0.25">
      <c r="A4429">
        <v>19505158</v>
      </c>
      <c r="B4429">
        <v>178</v>
      </c>
      <c r="C4429">
        <v>0</v>
      </c>
      <c r="D4429">
        <v>7</v>
      </c>
      <c r="E4429">
        <v>8</v>
      </c>
      <c r="F4429">
        <v>28</v>
      </c>
      <c r="G4429">
        <v>75</v>
      </c>
      <c r="H4429">
        <v>345.0086</v>
      </c>
    </row>
    <row r="4430" spans="1:8" x14ac:dyDescent="0.25">
      <c r="A4430">
        <v>19505159</v>
      </c>
      <c r="B4430">
        <v>7</v>
      </c>
      <c r="C4430">
        <v>0</v>
      </c>
      <c r="D4430">
        <v>1</v>
      </c>
      <c r="E4430">
        <v>1</v>
      </c>
      <c r="F4430">
        <v>2</v>
      </c>
      <c r="G4430">
        <v>3</v>
      </c>
      <c r="H4430">
        <v>444.49</v>
      </c>
    </row>
    <row r="4431" spans="1:8" x14ac:dyDescent="0.25">
      <c r="A4431">
        <v>19505160</v>
      </c>
      <c r="B4431">
        <v>33</v>
      </c>
      <c r="C4431">
        <v>10</v>
      </c>
      <c r="D4431">
        <v>8</v>
      </c>
      <c r="E4431">
        <v>24</v>
      </c>
      <c r="F4431">
        <v>85</v>
      </c>
      <c r="G4431">
        <v>172</v>
      </c>
      <c r="H4431">
        <v>279.05619999999999</v>
      </c>
    </row>
    <row r="4432" spans="1:8" x14ac:dyDescent="0.25">
      <c r="A4432">
        <v>19505161</v>
      </c>
      <c r="B4432">
        <v>11</v>
      </c>
      <c r="C4432">
        <v>0</v>
      </c>
      <c r="D4432">
        <v>1</v>
      </c>
      <c r="E4432">
        <v>4</v>
      </c>
      <c r="F4432">
        <v>6</v>
      </c>
      <c r="G4432">
        <v>24</v>
      </c>
      <c r="H4432">
        <v>246.05</v>
      </c>
    </row>
    <row r="4433" spans="1:8" x14ac:dyDescent="0.25">
      <c r="A4433">
        <v>19505162</v>
      </c>
      <c r="B4433">
        <v>79</v>
      </c>
      <c r="C4433">
        <v>0</v>
      </c>
      <c r="D4433">
        <v>3</v>
      </c>
      <c r="E4433">
        <v>17</v>
      </c>
      <c r="F4433">
        <v>62</v>
      </c>
      <c r="G4433">
        <v>135</v>
      </c>
      <c r="H4433">
        <v>289</v>
      </c>
    </row>
    <row r="4434" spans="1:8" x14ac:dyDescent="0.25">
      <c r="A4434">
        <v>19505163</v>
      </c>
      <c r="B4434">
        <v>12</v>
      </c>
      <c r="C4434">
        <v>0</v>
      </c>
      <c r="D4434">
        <v>0</v>
      </c>
      <c r="E4434">
        <v>0</v>
      </c>
      <c r="F4434">
        <v>6</v>
      </c>
      <c r="G4434">
        <v>17</v>
      </c>
      <c r="H4434">
        <v>0</v>
      </c>
    </row>
    <row r="4435" spans="1:8" x14ac:dyDescent="0.25">
      <c r="A4435">
        <v>19505164</v>
      </c>
      <c r="B4435">
        <v>6</v>
      </c>
      <c r="C4435">
        <v>0</v>
      </c>
      <c r="D4435">
        <v>0</v>
      </c>
      <c r="E4435">
        <v>0</v>
      </c>
      <c r="F4435">
        <v>2</v>
      </c>
      <c r="G4435">
        <v>3</v>
      </c>
      <c r="H4435">
        <v>0</v>
      </c>
    </row>
    <row r="4436" spans="1:8" x14ac:dyDescent="0.25">
      <c r="A4436">
        <v>19505165</v>
      </c>
      <c r="B4436">
        <v>9</v>
      </c>
      <c r="C4436">
        <v>0</v>
      </c>
      <c r="D4436">
        <v>0</v>
      </c>
      <c r="E4436">
        <v>0</v>
      </c>
      <c r="F4436">
        <v>0</v>
      </c>
      <c r="G4436">
        <v>1</v>
      </c>
      <c r="H4436">
        <v>0</v>
      </c>
    </row>
    <row r="4437" spans="1:8" x14ac:dyDescent="0.25">
      <c r="A4437">
        <v>19505166</v>
      </c>
      <c r="B4437">
        <v>7</v>
      </c>
      <c r="C4437">
        <v>0</v>
      </c>
      <c r="D4437">
        <v>0</v>
      </c>
      <c r="E4437">
        <v>1</v>
      </c>
      <c r="F4437">
        <v>1</v>
      </c>
      <c r="G4437">
        <v>3</v>
      </c>
      <c r="H4437">
        <v>0</v>
      </c>
    </row>
    <row r="4438" spans="1:8" x14ac:dyDescent="0.25">
      <c r="A4438">
        <v>19505167</v>
      </c>
      <c r="B4438">
        <v>48</v>
      </c>
      <c r="C4438">
        <v>0</v>
      </c>
      <c r="D4438">
        <v>6</v>
      </c>
      <c r="E4438">
        <v>20</v>
      </c>
      <c r="F4438">
        <v>44</v>
      </c>
      <c r="G4438">
        <v>98</v>
      </c>
      <c r="H4438">
        <v>557.93830000000003</v>
      </c>
    </row>
    <row r="4439" spans="1:8" x14ac:dyDescent="0.25">
      <c r="A4439">
        <v>19505214</v>
      </c>
      <c r="B4439">
        <v>169</v>
      </c>
      <c r="C4439">
        <v>0</v>
      </c>
      <c r="D4439">
        <v>5</v>
      </c>
      <c r="E4439">
        <v>18</v>
      </c>
      <c r="F4439">
        <v>87</v>
      </c>
      <c r="G4439">
        <v>207</v>
      </c>
      <c r="H4439">
        <v>109.164</v>
      </c>
    </row>
    <row r="4440" spans="1:8" x14ac:dyDescent="0.25">
      <c r="A4440">
        <v>19505215</v>
      </c>
      <c r="B4440">
        <v>107</v>
      </c>
      <c r="C4440">
        <v>0</v>
      </c>
      <c r="D4440">
        <v>2</v>
      </c>
      <c r="E4440">
        <v>23</v>
      </c>
      <c r="F4440">
        <v>159</v>
      </c>
      <c r="G4440">
        <v>239</v>
      </c>
      <c r="H4440">
        <v>164.99</v>
      </c>
    </row>
    <row r="4441" spans="1:8" x14ac:dyDescent="0.25">
      <c r="A4441">
        <v>19506113</v>
      </c>
      <c r="B4441">
        <v>58</v>
      </c>
      <c r="C4441">
        <v>24</v>
      </c>
      <c r="D4441">
        <v>1</v>
      </c>
      <c r="E4441">
        <v>2</v>
      </c>
      <c r="F4441">
        <v>16</v>
      </c>
      <c r="G4441">
        <v>61</v>
      </c>
      <c r="H4441">
        <v>75.84</v>
      </c>
    </row>
    <row r="4442" spans="1:8" x14ac:dyDescent="0.25">
      <c r="A4442">
        <v>19506114</v>
      </c>
      <c r="B4442">
        <v>50</v>
      </c>
      <c r="C4442">
        <v>0</v>
      </c>
      <c r="D4442">
        <v>0</v>
      </c>
      <c r="E4442">
        <v>1</v>
      </c>
      <c r="F4442">
        <v>6</v>
      </c>
      <c r="G4442">
        <v>21</v>
      </c>
      <c r="H4442">
        <v>0</v>
      </c>
    </row>
    <row r="4443" spans="1:8" x14ac:dyDescent="0.25">
      <c r="A4443">
        <v>19506115</v>
      </c>
      <c r="B4443">
        <v>132</v>
      </c>
      <c r="C4443">
        <v>16</v>
      </c>
      <c r="D4443">
        <v>5</v>
      </c>
      <c r="E4443">
        <v>25</v>
      </c>
      <c r="F4443">
        <v>91</v>
      </c>
      <c r="G4443">
        <v>242</v>
      </c>
      <c r="H4443">
        <v>16.989999999999998</v>
      </c>
    </row>
    <row r="4444" spans="1:8" x14ac:dyDescent="0.25">
      <c r="A4444">
        <v>19506116</v>
      </c>
      <c r="B4444">
        <v>87</v>
      </c>
      <c r="C4444">
        <v>0</v>
      </c>
      <c r="D4444">
        <v>2</v>
      </c>
      <c r="E4444">
        <v>12</v>
      </c>
      <c r="F4444">
        <v>44</v>
      </c>
      <c r="G4444">
        <v>100</v>
      </c>
      <c r="H4444">
        <v>28.99</v>
      </c>
    </row>
    <row r="4445" spans="1:8" x14ac:dyDescent="0.25">
      <c r="A4445">
        <v>19506117</v>
      </c>
      <c r="B4445">
        <v>4</v>
      </c>
      <c r="C4445">
        <v>0</v>
      </c>
      <c r="D4445">
        <v>0</v>
      </c>
      <c r="E4445">
        <v>0</v>
      </c>
      <c r="F4445">
        <v>3</v>
      </c>
      <c r="G4445">
        <v>6</v>
      </c>
      <c r="H4445">
        <v>0</v>
      </c>
    </row>
    <row r="4446" spans="1:8" x14ac:dyDescent="0.25">
      <c r="A4446">
        <v>19506118</v>
      </c>
      <c r="B4446">
        <v>229</v>
      </c>
      <c r="C4446">
        <v>16</v>
      </c>
      <c r="D4446">
        <v>4</v>
      </c>
      <c r="E4446">
        <v>17</v>
      </c>
      <c r="F4446">
        <v>52</v>
      </c>
      <c r="G4446">
        <v>130</v>
      </c>
      <c r="H4446">
        <v>80.724999999999994</v>
      </c>
    </row>
    <row r="4447" spans="1:8" x14ac:dyDescent="0.25">
      <c r="A4447">
        <v>19506275</v>
      </c>
      <c r="B4447">
        <v>58</v>
      </c>
      <c r="C4447">
        <v>0</v>
      </c>
      <c r="D4447">
        <v>1</v>
      </c>
      <c r="E4447">
        <v>21</v>
      </c>
      <c r="F4447">
        <v>61</v>
      </c>
      <c r="G4447">
        <v>86</v>
      </c>
      <c r="H4447">
        <v>1499.99</v>
      </c>
    </row>
    <row r="4448" spans="1:8" x14ac:dyDescent="0.25">
      <c r="A4448">
        <v>19509872</v>
      </c>
      <c r="B4448">
        <v>268</v>
      </c>
      <c r="C4448">
        <v>36</v>
      </c>
      <c r="D4448">
        <v>10</v>
      </c>
      <c r="E4448">
        <v>37</v>
      </c>
      <c r="F4448">
        <v>113</v>
      </c>
      <c r="G4448">
        <v>239</v>
      </c>
      <c r="H4448">
        <v>57.49</v>
      </c>
    </row>
    <row r="4449" spans="1:8" x14ac:dyDescent="0.25">
      <c r="A4449">
        <v>19509873</v>
      </c>
      <c r="B4449">
        <v>201</v>
      </c>
      <c r="C4449">
        <v>16</v>
      </c>
      <c r="D4449">
        <v>8</v>
      </c>
      <c r="E4449">
        <v>55</v>
      </c>
      <c r="F4449">
        <v>162</v>
      </c>
      <c r="G4449">
        <v>315</v>
      </c>
      <c r="H4449">
        <v>59.695</v>
      </c>
    </row>
    <row r="4450" spans="1:8" x14ac:dyDescent="0.25">
      <c r="A4450">
        <v>19511808</v>
      </c>
      <c r="B4450">
        <v>65</v>
      </c>
      <c r="C4450">
        <v>6</v>
      </c>
      <c r="D4450">
        <v>3</v>
      </c>
      <c r="E4450">
        <v>10</v>
      </c>
      <c r="F4450">
        <v>43</v>
      </c>
      <c r="G4450">
        <v>132</v>
      </c>
      <c r="H4450">
        <v>140.82329999999999</v>
      </c>
    </row>
    <row r="4451" spans="1:8" x14ac:dyDescent="0.25">
      <c r="A4451">
        <v>19511810</v>
      </c>
      <c r="B4451">
        <v>144</v>
      </c>
      <c r="C4451">
        <v>0</v>
      </c>
      <c r="D4451">
        <v>6</v>
      </c>
      <c r="E4451">
        <v>6</v>
      </c>
      <c r="F4451">
        <v>18</v>
      </c>
      <c r="G4451">
        <v>904</v>
      </c>
      <c r="H4451">
        <v>93.196700000000007</v>
      </c>
    </row>
    <row r="4452" spans="1:8" x14ac:dyDescent="0.25">
      <c r="A4452">
        <v>19516007</v>
      </c>
      <c r="B4452">
        <v>20</v>
      </c>
      <c r="C4452">
        <v>0</v>
      </c>
      <c r="D4452">
        <v>4</v>
      </c>
      <c r="E4452">
        <v>5</v>
      </c>
      <c r="F4452">
        <v>21</v>
      </c>
      <c r="G4452">
        <v>86</v>
      </c>
      <c r="H4452">
        <v>34.14</v>
      </c>
    </row>
    <row r="4453" spans="1:8" x14ac:dyDescent="0.25">
      <c r="A4453">
        <v>19516008</v>
      </c>
      <c r="B4453">
        <v>60</v>
      </c>
      <c r="C4453">
        <v>0</v>
      </c>
      <c r="D4453">
        <v>2</v>
      </c>
      <c r="E4453">
        <v>12</v>
      </c>
      <c r="F4453">
        <v>47</v>
      </c>
      <c r="G4453">
        <v>233</v>
      </c>
      <c r="H4453">
        <v>34.99</v>
      </c>
    </row>
    <row r="4454" spans="1:8" x14ac:dyDescent="0.25">
      <c r="A4454">
        <v>19516009</v>
      </c>
      <c r="B4454">
        <v>1</v>
      </c>
      <c r="C4454">
        <v>0</v>
      </c>
      <c r="D4454">
        <v>0</v>
      </c>
      <c r="E4454">
        <v>0</v>
      </c>
      <c r="F4454">
        <v>6</v>
      </c>
      <c r="G4454">
        <v>57</v>
      </c>
      <c r="H4454">
        <v>0</v>
      </c>
    </row>
    <row r="4455" spans="1:8" x14ac:dyDescent="0.25">
      <c r="A4455">
        <v>19519782</v>
      </c>
      <c r="B4455">
        <v>50</v>
      </c>
      <c r="C4455">
        <v>24</v>
      </c>
      <c r="D4455">
        <v>4</v>
      </c>
      <c r="E4455">
        <v>14</v>
      </c>
      <c r="F4455">
        <v>64</v>
      </c>
      <c r="G4455">
        <v>155</v>
      </c>
      <c r="H4455">
        <v>146.8125</v>
      </c>
    </row>
    <row r="4456" spans="1:8" x14ac:dyDescent="0.25">
      <c r="A4456">
        <v>19519783</v>
      </c>
      <c r="B4456">
        <v>54</v>
      </c>
      <c r="C4456">
        <v>25</v>
      </c>
      <c r="D4456">
        <v>4</v>
      </c>
      <c r="E4456">
        <v>16</v>
      </c>
      <c r="F4456">
        <v>60</v>
      </c>
      <c r="G4456">
        <v>132</v>
      </c>
      <c r="H4456">
        <v>352.935</v>
      </c>
    </row>
    <row r="4457" spans="1:8" x14ac:dyDescent="0.25">
      <c r="A4457">
        <v>19519784</v>
      </c>
      <c r="B4457">
        <v>48</v>
      </c>
      <c r="C4457">
        <v>15</v>
      </c>
      <c r="D4457">
        <v>1</v>
      </c>
      <c r="E4457">
        <v>6</v>
      </c>
      <c r="F4457">
        <v>39</v>
      </c>
      <c r="G4457">
        <v>92</v>
      </c>
      <c r="H4457">
        <v>379.99</v>
      </c>
    </row>
    <row r="4458" spans="1:8" x14ac:dyDescent="0.25">
      <c r="A4458">
        <v>19519785</v>
      </c>
      <c r="B4458">
        <v>392</v>
      </c>
      <c r="C4458">
        <v>24</v>
      </c>
      <c r="D4458">
        <v>7</v>
      </c>
      <c r="E4458">
        <v>26</v>
      </c>
      <c r="F4458">
        <v>179</v>
      </c>
      <c r="G4458">
        <v>750</v>
      </c>
      <c r="H4458">
        <v>16.928599999999999</v>
      </c>
    </row>
    <row r="4459" spans="1:8" x14ac:dyDescent="0.25">
      <c r="A4459">
        <v>19519786</v>
      </c>
      <c r="B4459">
        <v>508</v>
      </c>
      <c r="C4459">
        <v>80</v>
      </c>
      <c r="D4459">
        <v>12</v>
      </c>
      <c r="E4459">
        <v>55</v>
      </c>
      <c r="F4459">
        <v>216</v>
      </c>
      <c r="G4459">
        <v>683</v>
      </c>
      <c r="H4459">
        <v>16.405799999999999</v>
      </c>
    </row>
    <row r="4460" spans="1:8" x14ac:dyDescent="0.25">
      <c r="A4460">
        <v>19519787</v>
      </c>
      <c r="B4460">
        <v>308</v>
      </c>
      <c r="C4460">
        <v>132</v>
      </c>
      <c r="D4460">
        <v>12</v>
      </c>
      <c r="E4460">
        <v>42</v>
      </c>
      <c r="F4460">
        <v>182</v>
      </c>
      <c r="G4460">
        <v>672</v>
      </c>
      <c r="H4460">
        <v>12.496700000000001</v>
      </c>
    </row>
    <row r="4461" spans="1:8" x14ac:dyDescent="0.25">
      <c r="A4461">
        <v>19519788</v>
      </c>
      <c r="B4461">
        <v>182</v>
      </c>
      <c r="C4461">
        <v>24</v>
      </c>
      <c r="D4461">
        <v>2</v>
      </c>
      <c r="E4461">
        <v>17</v>
      </c>
      <c r="F4461">
        <v>60</v>
      </c>
      <c r="G4461">
        <v>307</v>
      </c>
      <c r="H4461">
        <v>33.204999999999998</v>
      </c>
    </row>
    <row r="4462" spans="1:8" x14ac:dyDescent="0.25">
      <c r="A4462">
        <v>19519789</v>
      </c>
      <c r="B4462">
        <v>305</v>
      </c>
      <c r="C4462">
        <v>16</v>
      </c>
      <c r="D4462">
        <v>4</v>
      </c>
      <c r="E4462">
        <v>13</v>
      </c>
      <c r="F4462">
        <v>60</v>
      </c>
      <c r="G4462">
        <v>209</v>
      </c>
      <c r="H4462">
        <v>34.99</v>
      </c>
    </row>
    <row r="4463" spans="1:8" x14ac:dyDescent="0.25">
      <c r="A4463">
        <v>19519790</v>
      </c>
      <c r="B4463">
        <v>215</v>
      </c>
      <c r="C4463">
        <v>56</v>
      </c>
      <c r="D4463">
        <v>0</v>
      </c>
      <c r="E4463">
        <v>10</v>
      </c>
      <c r="F4463">
        <v>78</v>
      </c>
      <c r="G4463">
        <v>262</v>
      </c>
      <c r="H4463">
        <v>0</v>
      </c>
    </row>
    <row r="4464" spans="1:8" x14ac:dyDescent="0.25">
      <c r="A4464">
        <v>19519791</v>
      </c>
      <c r="B4464">
        <v>207</v>
      </c>
      <c r="C4464">
        <v>48</v>
      </c>
      <c r="D4464">
        <v>1</v>
      </c>
      <c r="E4464">
        <v>13</v>
      </c>
      <c r="F4464">
        <v>63</v>
      </c>
      <c r="G4464">
        <v>268</v>
      </c>
      <c r="H4464">
        <v>12.99</v>
      </c>
    </row>
    <row r="4465" spans="1:8" x14ac:dyDescent="0.25">
      <c r="A4465">
        <v>19520924</v>
      </c>
      <c r="B4465">
        <v>18</v>
      </c>
      <c r="C4465">
        <v>2</v>
      </c>
      <c r="D4465">
        <v>-1</v>
      </c>
      <c r="E4465">
        <v>2</v>
      </c>
      <c r="F4465">
        <v>9</v>
      </c>
      <c r="G4465">
        <v>23</v>
      </c>
      <c r="H4465">
        <v>274.99</v>
      </c>
    </row>
    <row r="4466" spans="1:8" x14ac:dyDescent="0.25">
      <c r="A4466">
        <v>19520925</v>
      </c>
      <c r="B4466">
        <v>49</v>
      </c>
      <c r="C4466">
        <v>2</v>
      </c>
      <c r="D4466">
        <v>1</v>
      </c>
      <c r="E4466">
        <v>3</v>
      </c>
      <c r="F4466">
        <v>9</v>
      </c>
      <c r="G4466">
        <v>18</v>
      </c>
      <c r="H4466">
        <v>179.99</v>
      </c>
    </row>
    <row r="4467" spans="1:8" x14ac:dyDescent="0.25">
      <c r="A4467">
        <v>19520926</v>
      </c>
      <c r="B4467">
        <v>2</v>
      </c>
      <c r="C4467">
        <v>0</v>
      </c>
      <c r="D4467">
        <v>0</v>
      </c>
      <c r="E4467">
        <v>0</v>
      </c>
      <c r="F4467">
        <v>0</v>
      </c>
      <c r="G4467">
        <v>342</v>
      </c>
      <c r="H4467">
        <v>0</v>
      </c>
    </row>
    <row r="4468" spans="1:8" x14ac:dyDescent="0.25">
      <c r="A4468">
        <v>19521483</v>
      </c>
      <c r="B4468">
        <v>1</v>
      </c>
      <c r="C4468">
        <v>0</v>
      </c>
      <c r="D4468">
        <v>0</v>
      </c>
      <c r="E4468">
        <v>1</v>
      </c>
      <c r="F4468">
        <v>19</v>
      </c>
      <c r="G4468">
        <v>361</v>
      </c>
      <c r="H4468">
        <v>0</v>
      </c>
    </row>
    <row r="4469" spans="1:8" x14ac:dyDescent="0.25">
      <c r="A4469">
        <v>19521484</v>
      </c>
      <c r="B4469">
        <v>438</v>
      </c>
      <c r="C4469">
        <v>24</v>
      </c>
      <c r="D4469">
        <v>45</v>
      </c>
      <c r="E4469">
        <v>183</v>
      </c>
      <c r="F4469">
        <v>510</v>
      </c>
      <c r="G4469">
        <v>731</v>
      </c>
      <c r="H4469">
        <v>9.8088999999999995</v>
      </c>
    </row>
    <row r="4470" spans="1:8" x14ac:dyDescent="0.25">
      <c r="A4470">
        <v>19521485</v>
      </c>
      <c r="B4470">
        <v>555</v>
      </c>
      <c r="C4470">
        <v>0</v>
      </c>
      <c r="D4470">
        <v>29</v>
      </c>
      <c r="E4470">
        <v>137</v>
      </c>
      <c r="F4470">
        <v>413</v>
      </c>
      <c r="G4470">
        <v>570</v>
      </c>
      <c r="H4470">
        <v>23.46</v>
      </c>
    </row>
    <row r="4471" spans="1:8" x14ac:dyDescent="0.25">
      <c r="A4471">
        <v>19521488</v>
      </c>
      <c r="B4471">
        <v>20</v>
      </c>
      <c r="C4471">
        <v>96</v>
      </c>
      <c r="D4471">
        <v>0</v>
      </c>
      <c r="E4471">
        <v>5</v>
      </c>
      <c r="F4471">
        <v>102</v>
      </c>
      <c r="G4471">
        <v>187</v>
      </c>
      <c r="H4471">
        <v>0</v>
      </c>
    </row>
    <row r="4472" spans="1:8" x14ac:dyDescent="0.25">
      <c r="A4472">
        <v>19525149</v>
      </c>
      <c r="B4472">
        <v>16</v>
      </c>
      <c r="C4472">
        <v>0</v>
      </c>
      <c r="D4472">
        <v>0</v>
      </c>
      <c r="E4472">
        <v>4</v>
      </c>
      <c r="F4472">
        <v>32</v>
      </c>
      <c r="G4472">
        <v>568</v>
      </c>
      <c r="H4472">
        <v>0</v>
      </c>
    </row>
    <row r="4473" spans="1:8" x14ac:dyDescent="0.25">
      <c r="A4473">
        <v>19525651</v>
      </c>
      <c r="B4473">
        <v>0</v>
      </c>
      <c r="C4473">
        <v>0</v>
      </c>
      <c r="D4473">
        <v>0</v>
      </c>
      <c r="E4473">
        <v>2</v>
      </c>
      <c r="F4473">
        <v>2</v>
      </c>
      <c r="G4473">
        <v>46</v>
      </c>
      <c r="H4473">
        <v>0</v>
      </c>
    </row>
    <row r="4474" spans="1:8" x14ac:dyDescent="0.25">
      <c r="A4474">
        <v>19525652</v>
      </c>
      <c r="B4474">
        <v>15</v>
      </c>
      <c r="C4474">
        <v>0</v>
      </c>
      <c r="D4474">
        <v>1</v>
      </c>
      <c r="E4474">
        <v>5</v>
      </c>
      <c r="F4474">
        <v>14</v>
      </c>
      <c r="G4474">
        <v>224</v>
      </c>
      <c r="H4474">
        <v>69.989999999999995</v>
      </c>
    </row>
    <row r="4475" spans="1:8" x14ac:dyDescent="0.25">
      <c r="A4475">
        <v>19525653</v>
      </c>
      <c r="B4475">
        <v>5</v>
      </c>
      <c r="C4475">
        <v>0</v>
      </c>
      <c r="D4475">
        <v>0</v>
      </c>
      <c r="E4475">
        <v>0</v>
      </c>
      <c r="F4475">
        <v>1</v>
      </c>
      <c r="G4475">
        <v>27</v>
      </c>
      <c r="H4475">
        <v>0</v>
      </c>
    </row>
    <row r="4476" spans="1:8" x14ac:dyDescent="0.25">
      <c r="A4476">
        <v>19525654</v>
      </c>
      <c r="B4476">
        <v>27</v>
      </c>
      <c r="C4476">
        <v>0</v>
      </c>
      <c r="D4476">
        <v>0</v>
      </c>
      <c r="E4476">
        <v>5</v>
      </c>
      <c r="F4476">
        <v>15</v>
      </c>
      <c r="G4476">
        <v>102</v>
      </c>
      <c r="H4476">
        <v>0</v>
      </c>
    </row>
    <row r="4477" spans="1:8" x14ac:dyDescent="0.25">
      <c r="A4477">
        <v>19525655</v>
      </c>
      <c r="B4477">
        <v>96</v>
      </c>
      <c r="C4477">
        <v>0</v>
      </c>
      <c r="D4477">
        <v>0</v>
      </c>
      <c r="E4477">
        <v>2</v>
      </c>
      <c r="F4477">
        <v>7</v>
      </c>
      <c r="G4477">
        <v>11</v>
      </c>
      <c r="H4477">
        <v>0</v>
      </c>
    </row>
    <row r="4478" spans="1:8" x14ac:dyDescent="0.25">
      <c r="A4478">
        <v>19525656</v>
      </c>
      <c r="B4478">
        <v>73</v>
      </c>
      <c r="C4478">
        <v>0</v>
      </c>
      <c r="D4478">
        <v>4</v>
      </c>
      <c r="E4478">
        <v>12</v>
      </c>
      <c r="F4478">
        <v>52</v>
      </c>
      <c r="G4478">
        <v>245</v>
      </c>
      <c r="H4478">
        <v>29.99</v>
      </c>
    </row>
    <row r="4479" spans="1:8" x14ac:dyDescent="0.25">
      <c r="A4479">
        <v>19525657</v>
      </c>
      <c r="B4479">
        <v>185</v>
      </c>
      <c r="C4479">
        <v>0</v>
      </c>
      <c r="D4479">
        <v>3</v>
      </c>
      <c r="E4479">
        <v>14</v>
      </c>
      <c r="F4479">
        <v>49</v>
      </c>
      <c r="G4479">
        <v>237</v>
      </c>
      <c r="H4479">
        <v>24.8</v>
      </c>
    </row>
    <row r="4480" spans="1:8" x14ac:dyDescent="0.25">
      <c r="A4480">
        <v>19525658</v>
      </c>
      <c r="B4480">
        <v>124</v>
      </c>
      <c r="C4480">
        <v>0</v>
      </c>
      <c r="D4480">
        <v>5</v>
      </c>
      <c r="E4480">
        <v>9</v>
      </c>
      <c r="F4480">
        <v>46</v>
      </c>
      <c r="G4480">
        <v>213</v>
      </c>
      <c r="H4480">
        <v>29.99</v>
      </c>
    </row>
    <row r="4481" spans="1:8" x14ac:dyDescent="0.25">
      <c r="A4481">
        <v>19525659</v>
      </c>
      <c r="B4481">
        <v>77</v>
      </c>
      <c r="C4481">
        <v>0</v>
      </c>
      <c r="D4481">
        <v>-1</v>
      </c>
      <c r="E4481">
        <v>3</v>
      </c>
      <c r="F4481">
        <v>10</v>
      </c>
      <c r="G4481">
        <v>27</v>
      </c>
      <c r="H4481">
        <v>49.99</v>
      </c>
    </row>
    <row r="4482" spans="1:8" x14ac:dyDescent="0.25">
      <c r="A4482">
        <v>19525661</v>
      </c>
      <c r="B4482">
        <v>182</v>
      </c>
      <c r="C4482">
        <v>0</v>
      </c>
      <c r="D4482">
        <v>2</v>
      </c>
      <c r="E4482">
        <v>5</v>
      </c>
      <c r="F4482">
        <v>12</v>
      </c>
      <c r="G4482">
        <v>110</v>
      </c>
      <c r="H4482">
        <v>84.99</v>
      </c>
    </row>
    <row r="4483" spans="1:8" x14ac:dyDescent="0.25">
      <c r="A4483">
        <v>19525662</v>
      </c>
      <c r="B4483">
        <v>90</v>
      </c>
      <c r="C4483">
        <v>0</v>
      </c>
      <c r="D4483">
        <v>0</v>
      </c>
      <c r="E4483">
        <v>0</v>
      </c>
      <c r="F4483">
        <v>4</v>
      </c>
      <c r="G4483">
        <v>22</v>
      </c>
      <c r="H4483">
        <v>0</v>
      </c>
    </row>
    <row r="4484" spans="1:8" x14ac:dyDescent="0.25">
      <c r="A4484">
        <v>19525663</v>
      </c>
      <c r="B4484">
        <v>634</v>
      </c>
      <c r="C4484">
        <v>0</v>
      </c>
      <c r="D4484">
        <v>9</v>
      </c>
      <c r="E4484">
        <v>24</v>
      </c>
      <c r="F4484">
        <v>135</v>
      </c>
      <c r="G4484">
        <v>1103</v>
      </c>
      <c r="H4484">
        <v>66.371099999999998</v>
      </c>
    </row>
    <row r="4485" spans="1:8" x14ac:dyDescent="0.25">
      <c r="A4485">
        <v>19525664</v>
      </c>
      <c r="B4485">
        <v>250</v>
      </c>
      <c r="C4485">
        <v>0</v>
      </c>
      <c r="D4485">
        <v>0</v>
      </c>
      <c r="E4485">
        <v>4</v>
      </c>
      <c r="F4485">
        <v>18</v>
      </c>
      <c r="G4485">
        <v>190</v>
      </c>
      <c r="H4485">
        <v>0</v>
      </c>
    </row>
    <row r="4486" spans="1:8" x14ac:dyDescent="0.25">
      <c r="A4486">
        <v>19525665</v>
      </c>
      <c r="B4486">
        <v>30</v>
      </c>
      <c r="C4486">
        <v>0</v>
      </c>
      <c r="D4486">
        <v>0</v>
      </c>
      <c r="E4486">
        <v>3</v>
      </c>
      <c r="F4486">
        <v>23</v>
      </c>
      <c r="G4486">
        <v>343</v>
      </c>
      <c r="H4486">
        <v>0</v>
      </c>
    </row>
    <row r="4487" spans="1:8" x14ac:dyDescent="0.25">
      <c r="A4487">
        <v>19525666</v>
      </c>
      <c r="B4487">
        <v>16</v>
      </c>
      <c r="C4487">
        <v>0</v>
      </c>
      <c r="D4487">
        <v>2</v>
      </c>
      <c r="E4487">
        <v>17</v>
      </c>
      <c r="F4487">
        <v>50</v>
      </c>
      <c r="G4487">
        <v>98</v>
      </c>
      <c r="H4487">
        <v>42.49</v>
      </c>
    </row>
    <row r="4488" spans="1:8" x14ac:dyDescent="0.25">
      <c r="A4488">
        <v>19525667</v>
      </c>
      <c r="B4488">
        <v>60</v>
      </c>
      <c r="C4488">
        <v>0</v>
      </c>
      <c r="D4488">
        <v>0</v>
      </c>
      <c r="E4488">
        <v>1</v>
      </c>
      <c r="F4488">
        <v>6</v>
      </c>
      <c r="G4488">
        <v>20</v>
      </c>
      <c r="H4488">
        <v>0</v>
      </c>
    </row>
    <row r="4489" spans="1:8" x14ac:dyDescent="0.25">
      <c r="A4489">
        <v>19525668</v>
      </c>
      <c r="B4489">
        <v>118</v>
      </c>
      <c r="C4489">
        <v>0</v>
      </c>
      <c r="D4489">
        <v>5</v>
      </c>
      <c r="E4489">
        <v>8</v>
      </c>
      <c r="F4489">
        <v>56</v>
      </c>
      <c r="G4489">
        <v>154</v>
      </c>
      <c r="H4489">
        <v>59.99</v>
      </c>
    </row>
    <row r="4490" spans="1:8" x14ac:dyDescent="0.25">
      <c r="A4490">
        <v>19525669</v>
      </c>
      <c r="B4490">
        <v>110</v>
      </c>
      <c r="C4490">
        <v>0</v>
      </c>
      <c r="D4490">
        <v>1</v>
      </c>
      <c r="E4490">
        <v>5</v>
      </c>
      <c r="F4490">
        <v>42</v>
      </c>
      <c r="G4490">
        <v>159</v>
      </c>
      <c r="H4490">
        <v>59.99</v>
      </c>
    </row>
    <row r="4491" spans="1:8" x14ac:dyDescent="0.25">
      <c r="A4491">
        <v>19525671</v>
      </c>
      <c r="B4491">
        <v>38</v>
      </c>
      <c r="C4491">
        <v>0</v>
      </c>
      <c r="D4491">
        <v>0</v>
      </c>
      <c r="E4491">
        <v>12</v>
      </c>
      <c r="F4491">
        <v>37</v>
      </c>
      <c r="G4491">
        <v>81</v>
      </c>
      <c r="H4491">
        <v>0</v>
      </c>
    </row>
    <row r="4492" spans="1:8" x14ac:dyDescent="0.25">
      <c r="A4492">
        <v>19525672</v>
      </c>
      <c r="B4492">
        <v>97</v>
      </c>
      <c r="C4492">
        <v>0</v>
      </c>
      <c r="D4492">
        <v>0</v>
      </c>
      <c r="E4492">
        <v>0</v>
      </c>
      <c r="F4492">
        <v>7</v>
      </c>
      <c r="G4492">
        <v>23</v>
      </c>
      <c r="H4492">
        <v>0</v>
      </c>
    </row>
    <row r="4493" spans="1:8" x14ac:dyDescent="0.25">
      <c r="A4493">
        <v>19525673</v>
      </c>
      <c r="B4493">
        <v>53</v>
      </c>
      <c r="C4493">
        <v>0</v>
      </c>
      <c r="D4493">
        <v>0</v>
      </c>
      <c r="E4493">
        <v>2</v>
      </c>
      <c r="F4493">
        <v>13</v>
      </c>
      <c r="G4493">
        <v>36</v>
      </c>
      <c r="H4493">
        <v>0</v>
      </c>
    </row>
    <row r="4494" spans="1:8" x14ac:dyDescent="0.25">
      <c r="A4494">
        <v>19525674</v>
      </c>
      <c r="B4494">
        <v>58</v>
      </c>
      <c r="C4494">
        <v>0</v>
      </c>
      <c r="D4494">
        <v>1</v>
      </c>
      <c r="E4494">
        <v>3</v>
      </c>
      <c r="F4494">
        <v>32</v>
      </c>
      <c r="G4494">
        <v>165</v>
      </c>
      <c r="H4494">
        <v>49.99</v>
      </c>
    </row>
    <row r="4495" spans="1:8" x14ac:dyDescent="0.25">
      <c r="A4495">
        <v>19529962</v>
      </c>
      <c r="B4495">
        <v>94</v>
      </c>
      <c r="C4495">
        <v>0</v>
      </c>
      <c r="D4495">
        <v>1</v>
      </c>
      <c r="E4495">
        <v>9</v>
      </c>
      <c r="F4495">
        <v>24</v>
      </c>
      <c r="G4495">
        <v>56</v>
      </c>
      <c r="H4495">
        <v>42.65</v>
      </c>
    </row>
    <row r="4496" spans="1:8" x14ac:dyDescent="0.25">
      <c r="A4496">
        <v>19530386</v>
      </c>
      <c r="B4496">
        <v>3</v>
      </c>
      <c r="C4496">
        <v>0</v>
      </c>
      <c r="D4496">
        <v>0</v>
      </c>
      <c r="E4496">
        <v>1</v>
      </c>
      <c r="F4496">
        <v>20</v>
      </c>
      <c r="G4496">
        <v>41</v>
      </c>
      <c r="H4496">
        <v>0</v>
      </c>
    </row>
    <row r="4497" spans="1:8" x14ac:dyDescent="0.25">
      <c r="A4497">
        <v>19530387</v>
      </c>
      <c r="B4497">
        <v>67</v>
      </c>
      <c r="C4497">
        <v>0</v>
      </c>
      <c r="D4497">
        <v>1</v>
      </c>
      <c r="E4497">
        <v>3</v>
      </c>
      <c r="F4497">
        <v>15</v>
      </c>
      <c r="G4497">
        <v>28</v>
      </c>
      <c r="H4497">
        <v>5.99</v>
      </c>
    </row>
    <row r="4498" spans="1:8" x14ac:dyDescent="0.25">
      <c r="A4498">
        <v>19530388</v>
      </c>
      <c r="B4498">
        <v>79</v>
      </c>
      <c r="C4498">
        <v>0</v>
      </c>
      <c r="D4498">
        <v>1</v>
      </c>
      <c r="E4498">
        <v>2</v>
      </c>
      <c r="F4498">
        <v>5</v>
      </c>
      <c r="G4498">
        <v>14</v>
      </c>
      <c r="H4498">
        <v>5.99</v>
      </c>
    </row>
    <row r="4499" spans="1:8" x14ac:dyDescent="0.25">
      <c r="A4499">
        <v>19530389</v>
      </c>
      <c r="B4499">
        <v>73</v>
      </c>
      <c r="C4499">
        <v>0</v>
      </c>
      <c r="D4499">
        <v>1</v>
      </c>
      <c r="E4499">
        <v>10</v>
      </c>
      <c r="F4499">
        <v>29</v>
      </c>
      <c r="G4499">
        <v>66</v>
      </c>
      <c r="H4499">
        <v>6.99</v>
      </c>
    </row>
    <row r="4500" spans="1:8" x14ac:dyDescent="0.25">
      <c r="A4500">
        <v>19530628</v>
      </c>
      <c r="B4500">
        <v>114</v>
      </c>
      <c r="C4500">
        <v>230</v>
      </c>
      <c r="D4500">
        <v>32</v>
      </c>
      <c r="E4500">
        <v>125</v>
      </c>
      <c r="F4500">
        <v>293</v>
      </c>
      <c r="G4500">
        <v>388</v>
      </c>
      <c r="H4500">
        <v>264.03870000000001</v>
      </c>
    </row>
    <row r="4501" spans="1:8" x14ac:dyDescent="0.25">
      <c r="A4501">
        <v>19530793</v>
      </c>
      <c r="B4501">
        <v>325</v>
      </c>
      <c r="C4501">
        <v>60</v>
      </c>
      <c r="D4501">
        <v>17</v>
      </c>
      <c r="E4501">
        <v>65</v>
      </c>
      <c r="F4501">
        <v>301</v>
      </c>
      <c r="G4501">
        <v>640</v>
      </c>
      <c r="H4501">
        <v>239.1824</v>
      </c>
    </row>
    <row r="4502" spans="1:8" x14ac:dyDescent="0.25">
      <c r="A4502">
        <v>19530794</v>
      </c>
      <c r="B4502">
        <v>163</v>
      </c>
      <c r="C4502">
        <v>24</v>
      </c>
      <c r="D4502">
        <v>9</v>
      </c>
      <c r="E4502">
        <v>29</v>
      </c>
      <c r="F4502">
        <v>83</v>
      </c>
      <c r="G4502">
        <v>195</v>
      </c>
      <c r="H4502">
        <v>245.81440000000001</v>
      </c>
    </row>
    <row r="4503" spans="1:8" x14ac:dyDescent="0.25">
      <c r="A4503">
        <v>19530795</v>
      </c>
      <c r="B4503">
        <v>166</v>
      </c>
      <c r="C4503">
        <v>36</v>
      </c>
      <c r="D4503">
        <v>10</v>
      </c>
      <c r="E4503">
        <v>34</v>
      </c>
      <c r="F4503">
        <v>121</v>
      </c>
      <c r="G4503">
        <v>241</v>
      </c>
      <c r="H4503">
        <v>246.34</v>
      </c>
    </row>
    <row r="4504" spans="1:8" x14ac:dyDescent="0.25">
      <c r="A4504">
        <v>19530796</v>
      </c>
      <c r="B4504">
        <v>239</v>
      </c>
      <c r="C4504">
        <v>12</v>
      </c>
      <c r="D4504">
        <v>1</v>
      </c>
      <c r="E4504">
        <v>12</v>
      </c>
      <c r="F4504">
        <v>78</v>
      </c>
      <c r="G4504">
        <v>209</v>
      </c>
      <c r="H4504">
        <v>269</v>
      </c>
    </row>
    <row r="4505" spans="1:8" x14ac:dyDescent="0.25">
      <c r="A4505">
        <v>19530797</v>
      </c>
      <c r="B4505">
        <v>236</v>
      </c>
      <c r="C4505">
        <v>12</v>
      </c>
      <c r="D4505">
        <v>5</v>
      </c>
      <c r="E4505">
        <v>20</v>
      </c>
      <c r="F4505">
        <v>76</v>
      </c>
      <c r="G4505">
        <v>211</v>
      </c>
      <c r="H4505">
        <v>242.53200000000001</v>
      </c>
    </row>
    <row r="4506" spans="1:8" x14ac:dyDescent="0.25">
      <c r="A4506">
        <v>19530798</v>
      </c>
      <c r="B4506">
        <v>292</v>
      </c>
      <c r="C4506">
        <v>42</v>
      </c>
      <c r="D4506">
        <v>14</v>
      </c>
      <c r="E4506">
        <v>56</v>
      </c>
      <c r="F4506">
        <v>213</v>
      </c>
      <c r="G4506">
        <v>575</v>
      </c>
      <c r="H4506">
        <v>386.55709999999999</v>
      </c>
    </row>
    <row r="4507" spans="1:8" x14ac:dyDescent="0.25">
      <c r="A4507">
        <v>19530799</v>
      </c>
      <c r="B4507">
        <v>101</v>
      </c>
      <c r="C4507">
        <v>12</v>
      </c>
      <c r="D4507">
        <v>8</v>
      </c>
      <c r="E4507">
        <v>26</v>
      </c>
      <c r="F4507">
        <v>77</v>
      </c>
      <c r="G4507">
        <v>220</v>
      </c>
      <c r="H4507">
        <v>400.8175</v>
      </c>
    </row>
    <row r="4508" spans="1:8" x14ac:dyDescent="0.25">
      <c r="A4508">
        <v>19530800</v>
      </c>
      <c r="B4508">
        <v>98</v>
      </c>
      <c r="C4508">
        <v>24</v>
      </c>
      <c r="D4508">
        <v>11</v>
      </c>
      <c r="E4508">
        <v>34</v>
      </c>
      <c r="F4508">
        <v>68</v>
      </c>
      <c r="G4508">
        <v>153</v>
      </c>
      <c r="H4508">
        <v>398.15550000000002</v>
      </c>
    </row>
    <row r="4509" spans="1:8" x14ac:dyDescent="0.25">
      <c r="A4509">
        <v>19530801</v>
      </c>
      <c r="B4509">
        <v>109</v>
      </c>
      <c r="C4509">
        <v>12</v>
      </c>
      <c r="D4509">
        <v>6</v>
      </c>
      <c r="E4509">
        <v>18</v>
      </c>
      <c r="F4509">
        <v>59</v>
      </c>
      <c r="G4509">
        <v>153</v>
      </c>
      <c r="H4509">
        <v>396.32330000000002</v>
      </c>
    </row>
    <row r="4510" spans="1:8" x14ac:dyDescent="0.25">
      <c r="A4510">
        <v>19530802</v>
      </c>
      <c r="B4510">
        <v>183</v>
      </c>
      <c r="C4510">
        <v>12</v>
      </c>
      <c r="D4510">
        <v>1</v>
      </c>
      <c r="E4510">
        <v>15</v>
      </c>
      <c r="F4510">
        <v>65</v>
      </c>
      <c r="G4510">
        <v>231</v>
      </c>
      <c r="H4510">
        <v>409</v>
      </c>
    </row>
    <row r="4511" spans="1:8" x14ac:dyDescent="0.25">
      <c r="A4511">
        <v>19530803</v>
      </c>
      <c r="B4511">
        <v>155</v>
      </c>
      <c r="C4511">
        <v>18</v>
      </c>
      <c r="D4511">
        <v>12</v>
      </c>
      <c r="E4511">
        <v>36</v>
      </c>
      <c r="F4511">
        <v>134</v>
      </c>
      <c r="G4511">
        <v>353</v>
      </c>
      <c r="H4511">
        <v>107.24250000000001</v>
      </c>
    </row>
    <row r="4512" spans="1:8" x14ac:dyDescent="0.25">
      <c r="A4512">
        <v>19530804</v>
      </c>
      <c r="B4512">
        <v>115</v>
      </c>
      <c r="C4512">
        <v>12</v>
      </c>
      <c r="D4512">
        <v>1</v>
      </c>
      <c r="E4512">
        <v>10</v>
      </c>
      <c r="F4512">
        <v>57</v>
      </c>
      <c r="G4512">
        <v>163</v>
      </c>
      <c r="H4512">
        <v>110.6</v>
      </c>
    </row>
    <row r="4513" spans="1:8" x14ac:dyDescent="0.25">
      <c r="A4513">
        <v>19530805</v>
      </c>
      <c r="B4513">
        <v>6</v>
      </c>
      <c r="C4513">
        <v>0</v>
      </c>
      <c r="D4513">
        <v>0</v>
      </c>
      <c r="E4513">
        <v>1</v>
      </c>
      <c r="F4513">
        <v>10</v>
      </c>
      <c r="G4513">
        <v>17</v>
      </c>
      <c r="H4513">
        <v>0</v>
      </c>
    </row>
    <row r="4514" spans="1:8" x14ac:dyDescent="0.25">
      <c r="A4514">
        <v>19530806</v>
      </c>
      <c r="B4514">
        <v>91</v>
      </c>
      <c r="C4514">
        <v>6</v>
      </c>
      <c r="D4514">
        <v>1</v>
      </c>
      <c r="E4514">
        <v>12</v>
      </c>
      <c r="F4514">
        <v>34</v>
      </c>
      <c r="G4514">
        <v>106</v>
      </c>
      <c r="H4514">
        <v>115</v>
      </c>
    </row>
    <row r="4515" spans="1:8" x14ac:dyDescent="0.25">
      <c r="A4515">
        <v>19530807</v>
      </c>
      <c r="B4515">
        <v>3</v>
      </c>
      <c r="C4515">
        <v>0</v>
      </c>
      <c r="D4515">
        <v>0</v>
      </c>
      <c r="E4515">
        <v>1</v>
      </c>
      <c r="F4515">
        <v>3</v>
      </c>
      <c r="G4515">
        <v>9</v>
      </c>
      <c r="H4515">
        <v>0</v>
      </c>
    </row>
    <row r="4516" spans="1:8" x14ac:dyDescent="0.25">
      <c r="A4516">
        <v>19530810</v>
      </c>
      <c r="B4516">
        <v>46</v>
      </c>
      <c r="C4516">
        <v>0</v>
      </c>
      <c r="D4516">
        <v>1</v>
      </c>
      <c r="E4516">
        <v>7</v>
      </c>
      <c r="F4516">
        <v>39</v>
      </c>
      <c r="G4516">
        <v>196</v>
      </c>
      <c r="H4516">
        <v>117.99</v>
      </c>
    </row>
    <row r="4517" spans="1:8" x14ac:dyDescent="0.25">
      <c r="A4517">
        <v>19530811</v>
      </c>
      <c r="B4517">
        <v>-137</v>
      </c>
      <c r="C4517">
        <v>0</v>
      </c>
      <c r="D4517">
        <v>3</v>
      </c>
      <c r="E4517">
        <v>19</v>
      </c>
      <c r="F4517">
        <v>85</v>
      </c>
      <c r="G4517">
        <v>274</v>
      </c>
      <c r="H4517">
        <v>139.4967</v>
      </c>
    </row>
    <row r="4518" spans="1:8" x14ac:dyDescent="0.25">
      <c r="A4518">
        <v>19531211</v>
      </c>
      <c r="B4518">
        <v>312</v>
      </c>
      <c r="C4518">
        <v>0</v>
      </c>
      <c r="D4518">
        <v>7</v>
      </c>
      <c r="E4518">
        <v>63</v>
      </c>
      <c r="F4518">
        <v>115</v>
      </c>
      <c r="G4518">
        <v>1209</v>
      </c>
      <c r="H4518">
        <v>72.075699999999998</v>
      </c>
    </row>
    <row r="4519" spans="1:8" x14ac:dyDescent="0.25">
      <c r="A4519">
        <v>19531212</v>
      </c>
      <c r="B4519">
        <v>123</v>
      </c>
      <c r="C4519">
        <v>0</v>
      </c>
      <c r="D4519">
        <v>0</v>
      </c>
      <c r="E4519">
        <v>19</v>
      </c>
      <c r="F4519">
        <v>34</v>
      </c>
      <c r="G4519">
        <v>188</v>
      </c>
      <c r="H4519">
        <v>0</v>
      </c>
    </row>
    <row r="4520" spans="1:8" x14ac:dyDescent="0.25">
      <c r="A4520">
        <v>19531213</v>
      </c>
      <c r="B4520">
        <v>35</v>
      </c>
      <c r="C4520">
        <v>0</v>
      </c>
      <c r="D4520">
        <v>0</v>
      </c>
      <c r="E4520">
        <v>2</v>
      </c>
      <c r="F4520">
        <v>14</v>
      </c>
      <c r="G4520">
        <v>36</v>
      </c>
      <c r="H4520">
        <v>0</v>
      </c>
    </row>
    <row r="4521" spans="1:8" x14ac:dyDescent="0.25">
      <c r="A4521">
        <v>19531270</v>
      </c>
      <c r="B4521">
        <v>7</v>
      </c>
      <c r="C4521">
        <v>0</v>
      </c>
      <c r="D4521">
        <v>0</v>
      </c>
      <c r="E4521">
        <v>0</v>
      </c>
      <c r="F4521">
        <v>0</v>
      </c>
      <c r="G4521">
        <v>0</v>
      </c>
      <c r="H4521">
        <v>0</v>
      </c>
    </row>
    <row r="4522" spans="1:8" x14ac:dyDescent="0.25">
      <c r="A4522">
        <v>19535682</v>
      </c>
      <c r="B4522">
        <v>102</v>
      </c>
      <c r="C4522">
        <v>80</v>
      </c>
      <c r="D4522">
        <v>7</v>
      </c>
      <c r="E4522">
        <v>51</v>
      </c>
      <c r="F4522">
        <v>225</v>
      </c>
      <c r="G4522">
        <v>379</v>
      </c>
      <c r="H4522">
        <v>1250.5671</v>
      </c>
    </row>
    <row r="4523" spans="1:8" x14ac:dyDescent="0.25">
      <c r="A4523">
        <v>19535683</v>
      </c>
      <c r="B4523">
        <v>99</v>
      </c>
      <c r="C4523">
        <v>315</v>
      </c>
      <c r="D4523">
        <v>18</v>
      </c>
      <c r="E4523">
        <v>86</v>
      </c>
      <c r="F4523">
        <v>232</v>
      </c>
      <c r="G4523">
        <v>474</v>
      </c>
      <c r="H4523">
        <v>946.21559999999999</v>
      </c>
    </row>
    <row r="4524" spans="1:8" x14ac:dyDescent="0.25">
      <c r="A4524">
        <v>19535685</v>
      </c>
      <c r="B4524">
        <v>117</v>
      </c>
      <c r="C4524">
        <v>0</v>
      </c>
      <c r="D4524">
        <v>26</v>
      </c>
      <c r="E4524">
        <v>74</v>
      </c>
      <c r="F4524">
        <v>356</v>
      </c>
      <c r="G4524">
        <v>867</v>
      </c>
      <c r="H4524">
        <v>172.83349999999999</v>
      </c>
    </row>
    <row r="4525" spans="1:8" x14ac:dyDescent="0.25">
      <c r="A4525">
        <v>19535686</v>
      </c>
      <c r="B4525">
        <v>73</v>
      </c>
      <c r="C4525">
        <v>0</v>
      </c>
      <c r="D4525">
        <v>21</v>
      </c>
      <c r="E4525">
        <v>94</v>
      </c>
      <c r="F4525">
        <v>365</v>
      </c>
      <c r="G4525">
        <v>1016</v>
      </c>
      <c r="H4525">
        <v>147.41569999999999</v>
      </c>
    </row>
    <row r="4526" spans="1:8" x14ac:dyDescent="0.25">
      <c r="A4526">
        <v>19537395</v>
      </c>
      <c r="B4526">
        <v>170</v>
      </c>
      <c r="C4526">
        <v>170</v>
      </c>
      <c r="D4526">
        <v>15</v>
      </c>
      <c r="E4526">
        <v>103</v>
      </c>
      <c r="F4526">
        <v>380</v>
      </c>
      <c r="G4526">
        <v>706</v>
      </c>
      <c r="H4526">
        <v>17.921299999999999</v>
      </c>
    </row>
    <row r="4527" spans="1:8" x14ac:dyDescent="0.25">
      <c r="A4527">
        <v>19537396</v>
      </c>
      <c r="B4527">
        <v>76</v>
      </c>
      <c r="C4527">
        <v>5</v>
      </c>
      <c r="D4527">
        <v>2</v>
      </c>
      <c r="E4527">
        <v>17</v>
      </c>
      <c r="F4527">
        <v>41</v>
      </c>
      <c r="G4527">
        <v>63</v>
      </c>
      <c r="H4527">
        <v>22</v>
      </c>
    </row>
    <row r="4528" spans="1:8" x14ac:dyDescent="0.25">
      <c r="A4528">
        <v>19537397</v>
      </c>
      <c r="B4528">
        <v>106</v>
      </c>
      <c r="C4528">
        <v>20</v>
      </c>
      <c r="D4528">
        <v>6</v>
      </c>
      <c r="E4528">
        <v>35</v>
      </c>
      <c r="F4528">
        <v>117</v>
      </c>
      <c r="G4528">
        <v>265</v>
      </c>
      <c r="H4528">
        <v>20.045000000000002</v>
      </c>
    </row>
    <row r="4529" spans="1:8" x14ac:dyDescent="0.25">
      <c r="A4529">
        <v>19537398</v>
      </c>
      <c r="B4529">
        <v>85</v>
      </c>
      <c r="C4529">
        <v>0</v>
      </c>
      <c r="D4529">
        <v>4</v>
      </c>
      <c r="E4529">
        <v>17</v>
      </c>
      <c r="F4529">
        <v>54</v>
      </c>
      <c r="G4529">
        <v>99</v>
      </c>
      <c r="H4529">
        <v>18.3675</v>
      </c>
    </row>
    <row r="4530" spans="1:8" x14ac:dyDescent="0.25">
      <c r="A4530">
        <v>19537399</v>
      </c>
      <c r="B4530">
        <v>75</v>
      </c>
      <c r="C4530">
        <v>5</v>
      </c>
      <c r="D4530">
        <v>3</v>
      </c>
      <c r="E4530">
        <v>9</v>
      </c>
      <c r="F4530">
        <v>39</v>
      </c>
      <c r="G4530">
        <v>75</v>
      </c>
      <c r="H4530">
        <v>22</v>
      </c>
    </row>
    <row r="4531" spans="1:8" x14ac:dyDescent="0.25">
      <c r="A4531">
        <v>19537400</v>
      </c>
      <c r="B4531">
        <v>82</v>
      </c>
      <c r="C4531">
        <v>5</v>
      </c>
      <c r="D4531">
        <v>1</v>
      </c>
      <c r="E4531">
        <v>8</v>
      </c>
      <c r="F4531">
        <v>33</v>
      </c>
      <c r="G4531">
        <v>72</v>
      </c>
      <c r="H4531">
        <v>21.42</v>
      </c>
    </row>
    <row r="4532" spans="1:8" x14ac:dyDescent="0.25">
      <c r="A4532">
        <v>19537401</v>
      </c>
      <c r="B4532">
        <v>157</v>
      </c>
      <c r="C4532">
        <v>55</v>
      </c>
      <c r="D4532">
        <v>13</v>
      </c>
      <c r="E4532">
        <v>56</v>
      </c>
      <c r="F4532">
        <v>204</v>
      </c>
      <c r="G4532">
        <v>402</v>
      </c>
      <c r="H4532">
        <v>15.950799999999999</v>
      </c>
    </row>
    <row r="4533" spans="1:8" x14ac:dyDescent="0.25">
      <c r="A4533">
        <v>19537402</v>
      </c>
      <c r="B4533">
        <v>81</v>
      </c>
      <c r="C4533">
        <v>5</v>
      </c>
      <c r="D4533">
        <v>5</v>
      </c>
      <c r="E4533">
        <v>13</v>
      </c>
      <c r="F4533">
        <v>40</v>
      </c>
      <c r="G4533">
        <v>59</v>
      </c>
      <c r="H4533">
        <v>17.065999999999999</v>
      </c>
    </row>
    <row r="4534" spans="1:8" x14ac:dyDescent="0.25">
      <c r="A4534">
        <v>19537403</v>
      </c>
      <c r="B4534">
        <v>78</v>
      </c>
      <c r="C4534">
        <v>0</v>
      </c>
      <c r="D4534">
        <v>1</v>
      </c>
      <c r="E4534">
        <v>13</v>
      </c>
      <c r="F4534">
        <v>48</v>
      </c>
      <c r="G4534">
        <v>99</v>
      </c>
      <c r="H4534">
        <v>16.829999999999998</v>
      </c>
    </row>
    <row r="4535" spans="1:8" x14ac:dyDescent="0.25">
      <c r="A4535">
        <v>19537404</v>
      </c>
      <c r="B4535">
        <v>70</v>
      </c>
      <c r="C4535">
        <v>5</v>
      </c>
      <c r="D4535">
        <v>0</v>
      </c>
      <c r="E4535">
        <v>15</v>
      </c>
      <c r="F4535">
        <v>52</v>
      </c>
      <c r="G4535">
        <v>84</v>
      </c>
      <c r="H4535">
        <v>0</v>
      </c>
    </row>
    <row r="4536" spans="1:8" x14ac:dyDescent="0.25">
      <c r="A4536">
        <v>19537405</v>
      </c>
      <c r="B4536">
        <v>18</v>
      </c>
      <c r="C4536">
        <v>0</v>
      </c>
      <c r="D4536">
        <v>1</v>
      </c>
      <c r="E4536">
        <v>4</v>
      </c>
      <c r="F4536">
        <v>31</v>
      </c>
      <c r="G4536">
        <v>83</v>
      </c>
      <c r="H4536">
        <v>18</v>
      </c>
    </row>
    <row r="4537" spans="1:8" x14ac:dyDescent="0.25">
      <c r="A4537">
        <v>19537406</v>
      </c>
      <c r="B4537">
        <v>75</v>
      </c>
      <c r="C4537">
        <v>25</v>
      </c>
      <c r="D4537">
        <v>2</v>
      </c>
      <c r="E4537">
        <v>16</v>
      </c>
      <c r="F4537">
        <v>67</v>
      </c>
      <c r="G4537">
        <v>149</v>
      </c>
      <c r="H4537">
        <v>17.010000000000002</v>
      </c>
    </row>
    <row r="4538" spans="1:8" x14ac:dyDescent="0.25">
      <c r="A4538">
        <v>19537407</v>
      </c>
      <c r="B4538">
        <v>74</v>
      </c>
      <c r="C4538">
        <v>5</v>
      </c>
      <c r="D4538">
        <v>3</v>
      </c>
      <c r="E4538">
        <v>10</v>
      </c>
      <c r="F4538">
        <v>42</v>
      </c>
      <c r="G4538">
        <v>73</v>
      </c>
      <c r="H4538">
        <v>16.5</v>
      </c>
    </row>
    <row r="4539" spans="1:8" x14ac:dyDescent="0.25">
      <c r="A4539">
        <v>19537408</v>
      </c>
      <c r="B4539">
        <v>149</v>
      </c>
      <c r="C4539">
        <v>15</v>
      </c>
      <c r="D4539">
        <v>2</v>
      </c>
      <c r="E4539">
        <v>9</v>
      </c>
      <c r="F4539">
        <v>46</v>
      </c>
      <c r="G4539">
        <v>66</v>
      </c>
      <c r="H4539">
        <v>10.5</v>
      </c>
    </row>
    <row r="4540" spans="1:8" x14ac:dyDescent="0.25">
      <c r="A4540">
        <v>19537409</v>
      </c>
      <c r="B4540">
        <v>291</v>
      </c>
      <c r="C4540">
        <v>30</v>
      </c>
      <c r="D4540">
        <v>17</v>
      </c>
      <c r="E4540">
        <v>55</v>
      </c>
      <c r="F4540">
        <v>163</v>
      </c>
      <c r="G4540">
        <v>285</v>
      </c>
      <c r="H4540">
        <v>11.9176</v>
      </c>
    </row>
    <row r="4541" spans="1:8" x14ac:dyDescent="0.25">
      <c r="A4541">
        <v>19537410</v>
      </c>
      <c r="B4541">
        <v>166</v>
      </c>
      <c r="C4541">
        <v>5</v>
      </c>
      <c r="D4541">
        <v>3</v>
      </c>
      <c r="E4541">
        <v>10</v>
      </c>
      <c r="F4541">
        <v>32</v>
      </c>
      <c r="G4541">
        <v>44</v>
      </c>
      <c r="H4541">
        <v>10.406700000000001</v>
      </c>
    </row>
    <row r="4542" spans="1:8" x14ac:dyDescent="0.25">
      <c r="A4542">
        <v>19537411</v>
      </c>
      <c r="B4542">
        <v>137</v>
      </c>
      <c r="C4542">
        <v>5</v>
      </c>
      <c r="D4542">
        <v>7</v>
      </c>
      <c r="E4542">
        <v>19</v>
      </c>
      <c r="F4542">
        <v>61</v>
      </c>
      <c r="G4542">
        <v>87</v>
      </c>
      <c r="H4542">
        <v>11.8986</v>
      </c>
    </row>
    <row r="4543" spans="1:8" x14ac:dyDescent="0.25">
      <c r="A4543">
        <v>19537642</v>
      </c>
      <c r="B4543">
        <v>8</v>
      </c>
      <c r="C4543">
        <v>0</v>
      </c>
      <c r="D4543">
        <v>1</v>
      </c>
      <c r="E4543">
        <v>1</v>
      </c>
      <c r="F4543">
        <v>2</v>
      </c>
      <c r="G4543">
        <v>2</v>
      </c>
      <c r="H4543">
        <v>219.99</v>
      </c>
    </row>
    <row r="4544" spans="1:8" x14ac:dyDescent="0.25">
      <c r="A4544">
        <v>19538736</v>
      </c>
      <c r="B4544">
        <v>9</v>
      </c>
      <c r="C4544">
        <v>0</v>
      </c>
      <c r="D4544">
        <v>0</v>
      </c>
      <c r="E4544">
        <v>0</v>
      </c>
      <c r="F4544">
        <v>4</v>
      </c>
      <c r="G4544">
        <v>17</v>
      </c>
      <c r="H4544">
        <v>0</v>
      </c>
    </row>
    <row r="4545" spans="1:8" x14ac:dyDescent="0.25">
      <c r="A4545">
        <v>19539930</v>
      </c>
      <c r="B4545">
        <v>159</v>
      </c>
      <c r="C4545">
        <v>0</v>
      </c>
      <c r="D4545">
        <v>9</v>
      </c>
      <c r="E4545">
        <v>31</v>
      </c>
      <c r="F4545">
        <v>111</v>
      </c>
      <c r="G4545">
        <v>239</v>
      </c>
      <c r="H4545">
        <v>1900.99</v>
      </c>
    </row>
    <row r="4546" spans="1:8" x14ac:dyDescent="0.25">
      <c r="A4546">
        <v>19539974</v>
      </c>
      <c r="B4546">
        <v>774</v>
      </c>
      <c r="C4546">
        <v>0</v>
      </c>
      <c r="D4546">
        <v>21</v>
      </c>
      <c r="E4546">
        <v>112</v>
      </c>
      <c r="F4546">
        <v>325</v>
      </c>
      <c r="G4546">
        <v>325</v>
      </c>
      <c r="H4546">
        <v>12.308999999999999</v>
      </c>
    </row>
    <row r="4547" spans="1:8" x14ac:dyDescent="0.25">
      <c r="A4547">
        <v>19540570</v>
      </c>
      <c r="B4547">
        <v>61</v>
      </c>
      <c r="C4547">
        <v>10</v>
      </c>
      <c r="D4547">
        <v>4</v>
      </c>
      <c r="E4547">
        <v>11</v>
      </c>
      <c r="F4547">
        <v>38</v>
      </c>
      <c r="G4547">
        <v>100</v>
      </c>
      <c r="H4547">
        <v>163.85499999999999</v>
      </c>
    </row>
    <row r="4548" spans="1:8" x14ac:dyDescent="0.25">
      <c r="A4548">
        <v>19540571</v>
      </c>
      <c r="B4548">
        <v>164</v>
      </c>
      <c r="C4548">
        <v>40</v>
      </c>
      <c r="D4548">
        <v>11</v>
      </c>
      <c r="E4548">
        <v>36</v>
      </c>
      <c r="F4548">
        <v>115</v>
      </c>
      <c r="G4548">
        <v>247</v>
      </c>
      <c r="H4548">
        <v>138.3227</v>
      </c>
    </row>
    <row r="4549" spans="1:8" x14ac:dyDescent="0.25">
      <c r="A4549">
        <v>19540572</v>
      </c>
      <c r="B4549">
        <v>179</v>
      </c>
      <c r="C4549">
        <v>104</v>
      </c>
      <c r="D4549">
        <v>27</v>
      </c>
      <c r="E4549">
        <v>69</v>
      </c>
      <c r="F4549">
        <v>225</v>
      </c>
      <c r="G4549">
        <v>478</v>
      </c>
      <c r="H4549">
        <v>91.680400000000006</v>
      </c>
    </row>
    <row r="4550" spans="1:8" x14ac:dyDescent="0.25">
      <c r="A4550">
        <v>19540573</v>
      </c>
      <c r="B4550">
        <v>70</v>
      </c>
      <c r="C4550">
        <v>0</v>
      </c>
      <c r="D4550">
        <v>2</v>
      </c>
      <c r="E4550">
        <v>12</v>
      </c>
      <c r="F4550">
        <v>66</v>
      </c>
      <c r="G4550">
        <v>140</v>
      </c>
      <c r="H4550">
        <v>221.37</v>
      </c>
    </row>
    <row r="4551" spans="1:8" x14ac:dyDescent="0.25">
      <c r="A4551">
        <v>19541000</v>
      </c>
      <c r="B4551">
        <v>89</v>
      </c>
      <c r="C4551">
        <v>150</v>
      </c>
      <c r="D4551">
        <v>4</v>
      </c>
      <c r="E4551">
        <v>11</v>
      </c>
      <c r="F4551">
        <v>162</v>
      </c>
      <c r="G4551">
        <v>785</v>
      </c>
      <c r="H4551">
        <v>424.45499999999998</v>
      </c>
    </row>
    <row r="4552" spans="1:8" x14ac:dyDescent="0.25">
      <c r="A4552">
        <v>19541889</v>
      </c>
      <c r="B4552">
        <v>17</v>
      </c>
      <c r="C4552">
        <v>7</v>
      </c>
      <c r="D4552">
        <v>1</v>
      </c>
      <c r="E4552">
        <v>5</v>
      </c>
      <c r="F4552">
        <v>22</v>
      </c>
      <c r="G4552">
        <v>22</v>
      </c>
      <c r="H4552">
        <v>349.99</v>
      </c>
    </row>
    <row r="4553" spans="1:8" x14ac:dyDescent="0.25">
      <c r="A4553">
        <v>19554746</v>
      </c>
      <c r="B4553">
        <v>1</v>
      </c>
      <c r="C4553">
        <v>0</v>
      </c>
      <c r="D4553">
        <v>0</v>
      </c>
      <c r="E4553">
        <v>3</v>
      </c>
      <c r="F4553">
        <v>6</v>
      </c>
      <c r="G4553">
        <v>10</v>
      </c>
      <c r="H4553">
        <v>0</v>
      </c>
    </row>
    <row r="4554" spans="1:8" x14ac:dyDescent="0.25">
      <c r="A4554">
        <v>19554747</v>
      </c>
      <c r="B4554">
        <v>6</v>
      </c>
      <c r="C4554">
        <v>0</v>
      </c>
      <c r="D4554">
        <v>1</v>
      </c>
      <c r="E4554">
        <v>2</v>
      </c>
      <c r="F4554">
        <v>6</v>
      </c>
      <c r="G4554">
        <v>9</v>
      </c>
      <c r="H4554">
        <v>1479.99</v>
      </c>
    </row>
    <row r="4555" spans="1:8" x14ac:dyDescent="0.25">
      <c r="A4555">
        <v>19554748</v>
      </c>
      <c r="B4555">
        <v>16</v>
      </c>
      <c r="C4555">
        <v>0</v>
      </c>
      <c r="D4555">
        <v>0</v>
      </c>
      <c r="E4555">
        <v>1</v>
      </c>
      <c r="F4555">
        <v>4</v>
      </c>
      <c r="G4555">
        <v>11</v>
      </c>
      <c r="H4555">
        <v>0</v>
      </c>
    </row>
    <row r="4556" spans="1:8" x14ac:dyDescent="0.25">
      <c r="A4556">
        <v>19554749</v>
      </c>
      <c r="B4556">
        <v>12</v>
      </c>
      <c r="C4556">
        <v>0</v>
      </c>
      <c r="D4556">
        <v>0</v>
      </c>
      <c r="E4556">
        <v>0</v>
      </c>
      <c r="F4556">
        <v>1</v>
      </c>
      <c r="G4556">
        <v>7</v>
      </c>
      <c r="H4556">
        <v>0</v>
      </c>
    </row>
    <row r="4557" spans="1:8" x14ac:dyDescent="0.25">
      <c r="A4557">
        <v>19555232</v>
      </c>
      <c r="B4557">
        <v>1</v>
      </c>
      <c r="C4557">
        <v>30</v>
      </c>
      <c r="D4557">
        <v>7</v>
      </c>
      <c r="E4557">
        <v>22</v>
      </c>
      <c r="F4557">
        <v>89</v>
      </c>
      <c r="G4557">
        <v>199</v>
      </c>
      <c r="H4557">
        <v>4.9629000000000003</v>
      </c>
    </row>
    <row r="4558" spans="1:8" x14ac:dyDescent="0.25">
      <c r="A4558">
        <v>19575805</v>
      </c>
      <c r="B4558">
        <v>109</v>
      </c>
      <c r="C4558">
        <v>0</v>
      </c>
      <c r="D4558">
        <v>7</v>
      </c>
      <c r="E4558">
        <v>14</v>
      </c>
      <c r="F4558">
        <v>35</v>
      </c>
      <c r="G4558">
        <v>91</v>
      </c>
      <c r="H4558">
        <v>451.41860000000003</v>
      </c>
    </row>
    <row r="4559" spans="1:8" x14ac:dyDescent="0.25">
      <c r="A4559">
        <v>19575889</v>
      </c>
      <c r="B4559">
        <v>3689</v>
      </c>
      <c r="C4559">
        <v>0</v>
      </c>
      <c r="D4559">
        <v>41</v>
      </c>
      <c r="E4559">
        <v>227</v>
      </c>
      <c r="F4559">
        <v>806</v>
      </c>
      <c r="G4559">
        <v>2364</v>
      </c>
      <c r="H4559">
        <v>66.874399999999994</v>
      </c>
    </row>
    <row r="4560" spans="1:8" x14ac:dyDescent="0.25">
      <c r="A4560">
        <v>19575890</v>
      </c>
      <c r="B4560">
        <v>561</v>
      </c>
      <c r="C4560">
        <v>0</v>
      </c>
      <c r="D4560">
        <v>18</v>
      </c>
      <c r="E4560">
        <v>68</v>
      </c>
      <c r="F4560">
        <v>314</v>
      </c>
      <c r="G4560">
        <v>1505</v>
      </c>
      <c r="H4560">
        <v>56.866700000000002</v>
      </c>
    </row>
    <row r="4561" spans="1:8" x14ac:dyDescent="0.25">
      <c r="A4561">
        <v>19576402</v>
      </c>
      <c r="B4561">
        <v>11</v>
      </c>
      <c r="C4561">
        <v>0</v>
      </c>
      <c r="D4561">
        <v>0</v>
      </c>
      <c r="E4561">
        <v>7</v>
      </c>
      <c r="F4561">
        <v>29</v>
      </c>
      <c r="G4561">
        <v>145</v>
      </c>
      <c r="H4561">
        <v>0</v>
      </c>
    </row>
    <row r="4562" spans="1:8" x14ac:dyDescent="0.25">
      <c r="A4562">
        <v>19576403</v>
      </c>
      <c r="B4562">
        <v>75</v>
      </c>
      <c r="C4562">
        <v>0</v>
      </c>
      <c r="D4562">
        <v>2</v>
      </c>
      <c r="E4562">
        <v>8</v>
      </c>
      <c r="F4562">
        <v>35</v>
      </c>
      <c r="G4562">
        <v>158</v>
      </c>
      <c r="H4562">
        <v>59.104999999999997</v>
      </c>
    </row>
    <row r="4563" spans="1:8" x14ac:dyDescent="0.25">
      <c r="A4563">
        <v>19589819</v>
      </c>
      <c r="B4563">
        <v>31</v>
      </c>
      <c r="C4563">
        <v>10</v>
      </c>
      <c r="D4563">
        <v>1</v>
      </c>
      <c r="E4563">
        <v>19</v>
      </c>
      <c r="F4563">
        <v>34</v>
      </c>
      <c r="G4563">
        <v>78</v>
      </c>
      <c r="H4563">
        <v>858.08</v>
      </c>
    </row>
    <row r="4564" spans="1:8" x14ac:dyDescent="0.25">
      <c r="A4564">
        <v>19600537</v>
      </c>
      <c r="B4564">
        <v>67</v>
      </c>
      <c r="C4564">
        <v>0</v>
      </c>
      <c r="D4564">
        <v>6</v>
      </c>
      <c r="E4564">
        <v>18</v>
      </c>
      <c r="F4564">
        <v>40</v>
      </c>
      <c r="G4564">
        <v>51</v>
      </c>
      <c r="H4564">
        <v>2599.9899999999998</v>
      </c>
    </row>
    <row r="4565" spans="1:8" x14ac:dyDescent="0.25">
      <c r="A4565">
        <v>19600827</v>
      </c>
      <c r="B4565">
        <v>40</v>
      </c>
      <c r="C4565">
        <v>0</v>
      </c>
      <c r="D4565">
        <v>7</v>
      </c>
      <c r="E4565">
        <v>22</v>
      </c>
      <c r="F4565">
        <v>75</v>
      </c>
      <c r="G4565">
        <v>129</v>
      </c>
      <c r="H4565">
        <v>1629.7043000000001</v>
      </c>
    </row>
    <row r="4566" spans="1:8" x14ac:dyDescent="0.25">
      <c r="A4566">
        <v>19600828</v>
      </c>
      <c r="B4566">
        <v>28</v>
      </c>
      <c r="C4566">
        <v>0</v>
      </c>
      <c r="D4566">
        <v>14</v>
      </c>
      <c r="E4566">
        <v>18</v>
      </c>
      <c r="F4566">
        <v>42</v>
      </c>
      <c r="G4566">
        <v>118</v>
      </c>
      <c r="H4566">
        <v>1981.29</v>
      </c>
    </row>
    <row r="4567" spans="1:8" x14ac:dyDescent="0.25">
      <c r="A4567">
        <v>19609891</v>
      </c>
      <c r="B4567">
        <v>56</v>
      </c>
      <c r="C4567">
        <v>24</v>
      </c>
      <c r="D4567">
        <v>2</v>
      </c>
      <c r="E4567">
        <v>19</v>
      </c>
      <c r="F4567">
        <v>29</v>
      </c>
      <c r="G4567">
        <v>29</v>
      </c>
      <c r="H4567">
        <v>282.2</v>
      </c>
    </row>
    <row r="4568" spans="1:8" x14ac:dyDescent="0.25">
      <c r="A4568">
        <v>19616044</v>
      </c>
      <c r="B4568">
        <v>97</v>
      </c>
      <c r="C4568">
        <v>8</v>
      </c>
      <c r="D4568">
        <v>5</v>
      </c>
      <c r="E4568">
        <v>23</v>
      </c>
      <c r="F4568">
        <v>58</v>
      </c>
      <c r="G4568">
        <v>131</v>
      </c>
      <c r="H4568">
        <v>26.847999999999999</v>
      </c>
    </row>
    <row r="4569" spans="1:8" x14ac:dyDescent="0.25">
      <c r="A4569">
        <v>19616045</v>
      </c>
      <c r="B4569">
        <v>112</v>
      </c>
      <c r="C4569">
        <v>0</v>
      </c>
      <c r="D4569">
        <v>0</v>
      </c>
      <c r="E4569">
        <v>3</v>
      </c>
      <c r="F4569">
        <v>28</v>
      </c>
      <c r="G4569">
        <v>144</v>
      </c>
      <c r="H4569">
        <v>0</v>
      </c>
    </row>
    <row r="4570" spans="1:8" x14ac:dyDescent="0.25">
      <c r="A4570">
        <v>19616046</v>
      </c>
      <c r="B4570">
        <v>136</v>
      </c>
      <c r="C4570">
        <v>0</v>
      </c>
      <c r="D4570">
        <v>2</v>
      </c>
      <c r="E4570">
        <v>3</v>
      </c>
      <c r="F4570">
        <v>16</v>
      </c>
      <c r="G4570">
        <v>52</v>
      </c>
      <c r="H4570">
        <v>19.989999999999998</v>
      </c>
    </row>
    <row r="4571" spans="1:8" x14ac:dyDescent="0.25">
      <c r="A4571">
        <v>19620212</v>
      </c>
      <c r="B4571">
        <v>64</v>
      </c>
      <c r="C4571">
        <v>15</v>
      </c>
      <c r="D4571">
        <v>5</v>
      </c>
      <c r="E4571">
        <v>17</v>
      </c>
      <c r="F4571">
        <v>60</v>
      </c>
      <c r="G4571">
        <v>114</v>
      </c>
      <c r="H4571">
        <v>119.99</v>
      </c>
    </row>
    <row r="4572" spans="1:8" x14ac:dyDescent="0.25">
      <c r="A4572">
        <v>19620213</v>
      </c>
      <c r="B4572">
        <v>59</v>
      </c>
      <c r="C4572">
        <v>10</v>
      </c>
      <c r="D4572">
        <v>3</v>
      </c>
      <c r="E4572">
        <v>14</v>
      </c>
      <c r="F4572">
        <v>54</v>
      </c>
      <c r="G4572">
        <v>109</v>
      </c>
      <c r="H4572">
        <v>199.99</v>
      </c>
    </row>
    <row r="4573" spans="1:8" x14ac:dyDescent="0.25">
      <c r="A4573">
        <v>19620214</v>
      </c>
      <c r="B4573">
        <v>6</v>
      </c>
      <c r="C4573">
        <v>0</v>
      </c>
      <c r="D4573">
        <v>1</v>
      </c>
      <c r="E4573">
        <v>7</v>
      </c>
      <c r="F4573">
        <v>20</v>
      </c>
      <c r="G4573">
        <v>38</v>
      </c>
      <c r="H4573">
        <v>199.99</v>
      </c>
    </row>
    <row r="4574" spans="1:8" x14ac:dyDescent="0.25">
      <c r="A4574">
        <v>19620215</v>
      </c>
      <c r="B4574">
        <v>19</v>
      </c>
      <c r="C4574">
        <v>0</v>
      </c>
      <c r="D4574">
        <v>3</v>
      </c>
      <c r="E4574">
        <v>5</v>
      </c>
      <c r="F4574">
        <v>21</v>
      </c>
      <c r="G4574">
        <v>48</v>
      </c>
      <c r="H4574">
        <v>166.98330000000001</v>
      </c>
    </row>
    <row r="4575" spans="1:8" x14ac:dyDescent="0.25">
      <c r="A4575">
        <v>19620216</v>
      </c>
      <c r="B4575">
        <v>27</v>
      </c>
      <c r="C4575">
        <v>0</v>
      </c>
      <c r="D4575">
        <v>0</v>
      </c>
      <c r="E4575">
        <v>5</v>
      </c>
      <c r="F4575">
        <v>17</v>
      </c>
      <c r="G4575">
        <v>45</v>
      </c>
      <c r="H4575">
        <v>0</v>
      </c>
    </row>
    <row r="4576" spans="1:8" x14ac:dyDescent="0.25">
      <c r="A4576">
        <v>19626848</v>
      </c>
      <c r="B4576">
        <v>15</v>
      </c>
      <c r="C4576">
        <v>0</v>
      </c>
      <c r="D4576">
        <v>0</v>
      </c>
      <c r="E4576">
        <v>0</v>
      </c>
      <c r="F4576">
        <v>0</v>
      </c>
      <c r="G4576">
        <v>0</v>
      </c>
      <c r="H4576">
        <v>0</v>
      </c>
    </row>
    <row r="4577" spans="1:8" x14ac:dyDescent="0.25">
      <c r="A4577">
        <v>19630542</v>
      </c>
      <c r="B4577">
        <v>92</v>
      </c>
      <c r="C4577">
        <v>0</v>
      </c>
      <c r="D4577">
        <v>1</v>
      </c>
      <c r="E4577">
        <v>1</v>
      </c>
      <c r="F4577">
        <v>6</v>
      </c>
      <c r="G4577">
        <v>23</v>
      </c>
      <c r="H4577">
        <v>34.99</v>
      </c>
    </row>
    <row r="4578" spans="1:8" x14ac:dyDescent="0.25">
      <c r="A4578">
        <v>19630543</v>
      </c>
      <c r="B4578">
        <v>70</v>
      </c>
      <c r="C4578">
        <v>0</v>
      </c>
      <c r="D4578">
        <v>2</v>
      </c>
      <c r="E4578">
        <v>4</v>
      </c>
      <c r="F4578">
        <v>14</v>
      </c>
      <c r="G4578">
        <v>50</v>
      </c>
      <c r="H4578">
        <v>54.99</v>
      </c>
    </row>
    <row r="4579" spans="1:8" x14ac:dyDescent="0.25">
      <c r="A4579">
        <v>19630545</v>
      </c>
      <c r="B4579">
        <v>32</v>
      </c>
      <c r="C4579">
        <v>0</v>
      </c>
      <c r="D4579">
        <v>0</v>
      </c>
      <c r="E4579">
        <v>4</v>
      </c>
      <c r="F4579">
        <v>22</v>
      </c>
      <c r="G4579">
        <v>81</v>
      </c>
      <c r="H4579">
        <v>0</v>
      </c>
    </row>
    <row r="4580" spans="1:8" x14ac:dyDescent="0.25">
      <c r="A4580">
        <v>19630546</v>
      </c>
      <c r="B4580">
        <v>39</v>
      </c>
      <c r="C4580">
        <v>0</v>
      </c>
      <c r="D4580">
        <v>8</v>
      </c>
      <c r="E4580">
        <v>23</v>
      </c>
      <c r="F4580">
        <v>111</v>
      </c>
      <c r="G4580">
        <v>443</v>
      </c>
      <c r="H4580">
        <v>77.444999999999993</v>
      </c>
    </row>
    <row r="4581" spans="1:8" x14ac:dyDescent="0.25">
      <c r="A4581">
        <v>19630549</v>
      </c>
      <c r="B4581">
        <v>46</v>
      </c>
      <c r="C4581">
        <v>14</v>
      </c>
      <c r="D4581">
        <v>7</v>
      </c>
      <c r="E4581">
        <v>28</v>
      </c>
      <c r="F4581">
        <v>91</v>
      </c>
      <c r="G4581">
        <v>164</v>
      </c>
      <c r="H4581">
        <v>203.5829</v>
      </c>
    </row>
    <row r="4582" spans="1:8" x14ac:dyDescent="0.25">
      <c r="A4582">
        <v>19630550</v>
      </c>
      <c r="B4582">
        <v>5</v>
      </c>
      <c r="C4582">
        <v>0</v>
      </c>
      <c r="D4582">
        <v>2</v>
      </c>
      <c r="E4582">
        <v>13</v>
      </c>
      <c r="F4582">
        <v>94</v>
      </c>
      <c r="G4582">
        <v>421</v>
      </c>
      <c r="H4582">
        <v>76.55</v>
      </c>
    </row>
    <row r="4583" spans="1:8" x14ac:dyDescent="0.25">
      <c r="A4583">
        <v>19630551</v>
      </c>
      <c r="B4583">
        <v>14</v>
      </c>
      <c r="C4583">
        <v>0</v>
      </c>
      <c r="D4583">
        <v>1</v>
      </c>
      <c r="E4583">
        <v>7</v>
      </c>
      <c r="F4583">
        <v>80</v>
      </c>
      <c r="G4583">
        <v>453</v>
      </c>
      <c r="H4583">
        <v>79.989999999999995</v>
      </c>
    </row>
    <row r="4584" spans="1:8" x14ac:dyDescent="0.25">
      <c r="A4584">
        <v>19631066</v>
      </c>
      <c r="B4584">
        <v>-15</v>
      </c>
      <c r="C4584">
        <v>0</v>
      </c>
      <c r="D4584">
        <v>0</v>
      </c>
      <c r="E4584">
        <v>3</v>
      </c>
      <c r="F4584">
        <v>8</v>
      </c>
      <c r="G4584">
        <v>172</v>
      </c>
      <c r="H4584">
        <v>0</v>
      </c>
    </row>
    <row r="4585" spans="1:8" x14ac:dyDescent="0.25">
      <c r="A4585">
        <v>19631067</v>
      </c>
      <c r="B4585">
        <v>-19</v>
      </c>
      <c r="C4585">
        <v>0</v>
      </c>
      <c r="D4585">
        <v>0</v>
      </c>
      <c r="E4585">
        <v>0</v>
      </c>
      <c r="F4585">
        <v>0</v>
      </c>
      <c r="G4585">
        <v>83</v>
      </c>
      <c r="H4585">
        <v>0</v>
      </c>
    </row>
    <row r="4586" spans="1:8" x14ac:dyDescent="0.25">
      <c r="A4586">
        <v>19631215</v>
      </c>
      <c r="B4586">
        <v>2388</v>
      </c>
      <c r="C4586">
        <v>593</v>
      </c>
      <c r="D4586">
        <v>346</v>
      </c>
      <c r="E4586">
        <v>1424</v>
      </c>
      <c r="F4586">
        <v>5172</v>
      </c>
      <c r="G4586">
        <v>8942</v>
      </c>
      <c r="H4586">
        <v>230.65020000000001</v>
      </c>
    </row>
    <row r="4587" spans="1:8" x14ac:dyDescent="0.25">
      <c r="A4587">
        <v>19631216</v>
      </c>
      <c r="B4587">
        <v>133</v>
      </c>
      <c r="C4587">
        <v>34</v>
      </c>
      <c r="D4587">
        <v>25</v>
      </c>
      <c r="E4587">
        <v>97</v>
      </c>
      <c r="F4587">
        <v>275</v>
      </c>
      <c r="G4587">
        <v>602</v>
      </c>
      <c r="H4587">
        <v>242.27799999999999</v>
      </c>
    </row>
    <row r="4588" spans="1:8" x14ac:dyDescent="0.25">
      <c r="A4588">
        <v>19631217</v>
      </c>
      <c r="B4588">
        <v>149</v>
      </c>
      <c r="C4588">
        <v>43</v>
      </c>
      <c r="D4588">
        <v>18</v>
      </c>
      <c r="E4588">
        <v>72</v>
      </c>
      <c r="F4588">
        <v>239</v>
      </c>
      <c r="G4588">
        <v>626</v>
      </c>
      <c r="H4588">
        <v>240.19669999999999</v>
      </c>
    </row>
    <row r="4589" spans="1:8" x14ac:dyDescent="0.25">
      <c r="A4589">
        <v>19631218</v>
      </c>
      <c r="B4589">
        <v>-1</v>
      </c>
      <c r="C4589">
        <v>0</v>
      </c>
      <c r="D4589">
        <v>0</v>
      </c>
      <c r="E4589">
        <v>0</v>
      </c>
      <c r="F4589">
        <v>0</v>
      </c>
      <c r="G4589">
        <v>29</v>
      </c>
      <c r="H4589">
        <v>0</v>
      </c>
    </row>
    <row r="4590" spans="1:8" x14ac:dyDescent="0.25">
      <c r="A4590">
        <v>19631219</v>
      </c>
      <c r="B4590">
        <v>213</v>
      </c>
      <c r="C4590">
        <v>34</v>
      </c>
      <c r="D4590">
        <v>33</v>
      </c>
      <c r="E4590">
        <v>103</v>
      </c>
      <c r="F4590">
        <v>363</v>
      </c>
      <c r="G4590">
        <v>763</v>
      </c>
      <c r="H4590">
        <v>275.01729999999998</v>
      </c>
    </row>
    <row r="4591" spans="1:8" x14ac:dyDescent="0.25">
      <c r="A4591">
        <v>19631220</v>
      </c>
      <c r="B4591">
        <v>200</v>
      </c>
      <c r="C4591">
        <v>21</v>
      </c>
      <c r="D4591">
        <v>35</v>
      </c>
      <c r="E4591">
        <v>81</v>
      </c>
      <c r="F4591">
        <v>247</v>
      </c>
      <c r="G4591">
        <v>643</v>
      </c>
      <c r="H4591">
        <v>303.70310000000001</v>
      </c>
    </row>
    <row r="4592" spans="1:8" x14ac:dyDescent="0.25">
      <c r="A4592">
        <v>19631221</v>
      </c>
      <c r="B4592">
        <v>81</v>
      </c>
      <c r="C4592">
        <v>26</v>
      </c>
      <c r="D4592">
        <v>60</v>
      </c>
      <c r="E4592">
        <v>104</v>
      </c>
      <c r="F4592">
        <v>236</v>
      </c>
      <c r="G4592">
        <v>555</v>
      </c>
      <c r="H4592">
        <v>310.18400000000003</v>
      </c>
    </row>
    <row r="4593" spans="1:8" x14ac:dyDescent="0.25">
      <c r="A4593">
        <v>19631222</v>
      </c>
      <c r="B4593">
        <v>45</v>
      </c>
      <c r="C4593">
        <v>2</v>
      </c>
      <c r="D4593">
        <v>23</v>
      </c>
      <c r="E4593">
        <v>41</v>
      </c>
      <c r="F4593">
        <v>101</v>
      </c>
      <c r="G4593">
        <v>268</v>
      </c>
      <c r="H4593">
        <v>308.28960000000001</v>
      </c>
    </row>
    <row r="4594" spans="1:8" x14ac:dyDescent="0.25">
      <c r="A4594">
        <v>19631223</v>
      </c>
      <c r="B4594">
        <v>113</v>
      </c>
      <c r="C4594">
        <v>10</v>
      </c>
      <c r="D4594">
        <v>31</v>
      </c>
      <c r="E4594">
        <v>49</v>
      </c>
      <c r="F4594">
        <v>153</v>
      </c>
      <c r="G4594">
        <v>514</v>
      </c>
      <c r="H4594">
        <v>315.38389999999998</v>
      </c>
    </row>
    <row r="4595" spans="1:8" x14ac:dyDescent="0.25">
      <c r="A4595">
        <v>19631224</v>
      </c>
      <c r="B4595">
        <v>258</v>
      </c>
      <c r="C4595">
        <v>17</v>
      </c>
      <c r="D4595">
        <v>54</v>
      </c>
      <c r="E4595">
        <v>116</v>
      </c>
      <c r="F4595">
        <v>370</v>
      </c>
      <c r="G4595">
        <v>1036</v>
      </c>
      <c r="H4595">
        <v>343.56670000000003</v>
      </c>
    </row>
    <row r="4596" spans="1:8" x14ac:dyDescent="0.25">
      <c r="A4596">
        <v>19631225</v>
      </c>
      <c r="B4596">
        <v>66</v>
      </c>
      <c r="C4596">
        <v>14</v>
      </c>
      <c r="D4596">
        <v>22</v>
      </c>
      <c r="E4596">
        <v>47</v>
      </c>
      <c r="F4596">
        <v>101</v>
      </c>
      <c r="G4596">
        <v>243</v>
      </c>
      <c r="H4596">
        <v>328.63679999999999</v>
      </c>
    </row>
    <row r="4597" spans="1:8" x14ac:dyDescent="0.25">
      <c r="A4597">
        <v>19631226</v>
      </c>
      <c r="B4597">
        <v>67</v>
      </c>
      <c r="C4597">
        <v>0</v>
      </c>
      <c r="D4597">
        <v>6</v>
      </c>
      <c r="E4597">
        <v>14</v>
      </c>
      <c r="F4597">
        <v>48</v>
      </c>
      <c r="G4597">
        <v>246</v>
      </c>
      <c r="H4597">
        <v>364.20170000000002</v>
      </c>
    </row>
    <row r="4598" spans="1:8" x14ac:dyDescent="0.25">
      <c r="A4598">
        <v>19631227</v>
      </c>
      <c r="B4598">
        <v>114</v>
      </c>
      <c r="C4598">
        <v>9</v>
      </c>
      <c r="D4598">
        <v>22</v>
      </c>
      <c r="E4598">
        <v>47</v>
      </c>
      <c r="F4598">
        <v>145</v>
      </c>
      <c r="G4598">
        <v>488</v>
      </c>
      <c r="H4598">
        <v>351.62090000000001</v>
      </c>
    </row>
    <row r="4599" spans="1:8" x14ac:dyDescent="0.25">
      <c r="A4599">
        <v>19631228</v>
      </c>
      <c r="B4599">
        <v>80</v>
      </c>
      <c r="C4599">
        <v>18</v>
      </c>
      <c r="D4599">
        <v>10</v>
      </c>
      <c r="E4599">
        <v>30</v>
      </c>
      <c r="F4599">
        <v>101</v>
      </c>
      <c r="G4599">
        <v>206</v>
      </c>
      <c r="H4599">
        <v>705.02700000000004</v>
      </c>
    </row>
    <row r="4600" spans="1:8" x14ac:dyDescent="0.25">
      <c r="A4600">
        <v>19631230</v>
      </c>
      <c r="B4600">
        <v>55</v>
      </c>
      <c r="C4600">
        <v>4</v>
      </c>
      <c r="D4600">
        <v>11</v>
      </c>
      <c r="E4600">
        <v>26</v>
      </c>
      <c r="F4600">
        <v>95</v>
      </c>
      <c r="G4600">
        <v>216</v>
      </c>
      <c r="H4600">
        <v>695.37549999999999</v>
      </c>
    </row>
    <row r="4601" spans="1:8" x14ac:dyDescent="0.25">
      <c r="A4601">
        <v>19631231</v>
      </c>
      <c r="B4601">
        <v>-1</v>
      </c>
      <c r="C4601">
        <v>0</v>
      </c>
      <c r="D4601">
        <v>0</v>
      </c>
      <c r="E4601">
        <v>1</v>
      </c>
      <c r="F4601">
        <v>10</v>
      </c>
      <c r="G4601">
        <v>20</v>
      </c>
      <c r="H4601">
        <v>0</v>
      </c>
    </row>
    <row r="4602" spans="1:8" x14ac:dyDescent="0.25">
      <c r="A4602">
        <v>19631232</v>
      </c>
      <c r="B4602">
        <v>1</v>
      </c>
      <c r="C4602">
        <v>0</v>
      </c>
      <c r="D4602">
        <v>0</v>
      </c>
      <c r="E4602">
        <v>0</v>
      </c>
      <c r="F4602">
        <v>5</v>
      </c>
      <c r="G4602">
        <v>21</v>
      </c>
      <c r="H4602">
        <v>0</v>
      </c>
    </row>
    <row r="4603" spans="1:8" x14ac:dyDescent="0.25">
      <c r="A4603">
        <v>19631234</v>
      </c>
      <c r="B4603">
        <v>51</v>
      </c>
      <c r="C4603">
        <v>10</v>
      </c>
      <c r="D4603">
        <v>9</v>
      </c>
      <c r="E4603">
        <v>23</v>
      </c>
      <c r="F4603">
        <v>88</v>
      </c>
      <c r="G4603">
        <v>200</v>
      </c>
      <c r="H4603">
        <v>720.66669999999999</v>
      </c>
    </row>
    <row r="4604" spans="1:8" x14ac:dyDescent="0.25">
      <c r="A4604">
        <v>19631235</v>
      </c>
      <c r="B4604">
        <v>42</v>
      </c>
      <c r="C4604">
        <v>0</v>
      </c>
      <c r="D4604">
        <v>16</v>
      </c>
      <c r="E4604">
        <v>23</v>
      </c>
      <c r="F4604">
        <v>80</v>
      </c>
      <c r="G4604">
        <v>202</v>
      </c>
      <c r="H4604">
        <v>704.1712</v>
      </c>
    </row>
    <row r="4605" spans="1:8" x14ac:dyDescent="0.25">
      <c r="A4605">
        <v>19631236</v>
      </c>
      <c r="B4605">
        <v>90</v>
      </c>
      <c r="C4605">
        <v>10</v>
      </c>
      <c r="D4605">
        <v>17</v>
      </c>
      <c r="E4605">
        <v>28</v>
      </c>
      <c r="F4605">
        <v>119</v>
      </c>
      <c r="G4605">
        <v>292</v>
      </c>
      <c r="H4605">
        <v>714.58820000000003</v>
      </c>
    </row>
    <row r="4606" spans="1:8" x14ac:dyDescent="0.25">
      <c r="A4606">
        <v>19631237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1</v>
      </c>
      <c r="H4606">
        <v>0</v>
      </c>
    </row>
    <row r="4607" spans="1:8" x14ac:dyDescent="0.25">
      <c r="A4607">
        <v>19631238</v>
      </c>
      <c r="B4607">
        <v>-1</v>
      </c>
      <c r="C4607">
        <v>0</v>
      </c>
      <c r="D4607">
        <v>0</v>
      </c>
      <c r="E4607">
        <v>0</v>
      </c>
      <c r="F4607">
        <v>2</v>
      </c>
      <c r="G4607">
        <v>4</v>
      </c>
      <c r="H4607">
        <v>0</v>
      </c>
    </row>
    <row r="4608" spans="1:8" x14ac:dyDescent="0.25">
      <c r="A4608">
        <v>19631239</v>
      </c>
      <c r="B4608">
        <v>-2</v>
      </c>
      <c r="C4608">
        <v>0</v>
      </c>
      <c r="D4608">
        <v>0</v>
      </c>
      <c r="E4608">
        <v>0</v>
      </c>
      <c r="F4608">
        <v>14</v>
      </c>
      <c r="G4608">
        <v>29</v>
      </c>
      <c r="H4608">
        <v>0</v>
      </c>
    </row>
    <row r="4609" spans="1:8" x14ac:dyDescent="0.25">
      <c r="A4609">
        <v>19631645</v>
      </c>
      <c r="B4609">
        <v>77</v>
      </c>
      <c r="C4609">
        <v>15</v>
      </c>
      <c r="D4609">
        <v>4</v>
      </c>
      <c r="E4609">
        <v>9</v>
      </c>
      <c r="F4609">
        <v>17</v>
      </c>
      <c r="G4609">
        <v>55</v>
      </c>
      <c r="H4609">
        <v>6.49</v>
      </c>
    </row>
    <row r="4610" spans="1:8" x14ac:dyDescent="0.25">
      <c r="A4610">
        <v>19631646</v>
      </c>
      <c r="B4610">
        <v>67</v>
      </c>
      <c r="C4610">
        <v>5</v>
      </c>
      <c r="D4610">
        <v>4</v>
      </c>
      <c r="E4610">
        <v>14</v>
      </c>
      <c r="F4610">
        <v>62</v>
      </c>
      <c r="G4610">
        <v>138</v>
      </c>
      <c r="H4610">
        <v>5.8425000000000002</v>
      </c>
    </row>
    <row r="4611" spans="1:8" x14ac:dyDescent="0.25">
      <c r="A4611">
        <v>19631787</v>
      </c>
      <c r="B4611">
        <v>67</v>
      </c>
      <c r="C4611">
        <v>0</v>
      </c>
      <c r="D4611">
        <v>9</v>
      </c>
      <c r="E4611">
        <v>55</v>
      </c>
      <c r="F4611">
        <v>233</v>
      </c>
      <c r="G4611">
        <v>420</v>
      </c>
      <c r="H4611">
        <v>1331.1211000000001</v>
      </c>
    </row>
    <row r="4612" spans="1:8" x14ac:dyDescent="0.25">
      <c r="A4612">
        <v>19631788</v>
      </c>
      <c r="B4612">
        <v>129</v>
      </c>
      <c r="C4612">
        <v>0</v>
      </c>
      <c r="D4612">
        <v>7</v>
      </c>
      <c r="E4612">
        <v>10</v>
      </c>
      <c r="F4612">
        <v>21</v>
      </c>
      <c r="G4612">
        <v>170</v>
      </c>
      <c r="H4612">
        <v>1120.9943000000001</v>
      </c>
    </row>
    <row r="4613" spans="1:8" x14ac:dyDescent="0.25">
      <c r="A4613">
        <v>19632303</v>
      </c>
      <c r="B4613">
        <v>1</v>
      </c>
      <c r="C4613">
        <v>1</v>
      </c>
      <c r="D4613">
        <v>0</v>
      </c>
      <c r="E4613">
        <v>0</v>
      </c>
      <c r="F4613">
        <v>0</v>
      </c>
      <c r="G4613">
        <v>0</v>
      </c>
      <c r="H4613">
        <v>0</v>
      </c>
    </row>
    <row r="4614" spans="1:8" x14ac:dyDescent="0.25">
      <c r="A4614">
        <v>19632305</v>
      </c>
      <c r="B4614">
        <v>-1</v>
      </c>
      <c r="C4614">
        <v>0</v>
      </c>
      <c r="D4614">
        <v>0</v>
      </c>
      <c r="E4614">
        <v>0</v>
      </c>
      <c r="F4614">
        <v>0</v>
      </c>
      <c r="G4614">
        <v>0</v>
      </c>
      <c r="H4614">
        <v>0</v>
      </c>
    </row>
    <row r="4615" spans="1:8" x14ac:dyDescent="0.25">
      <c r="A4615">
        <v>19632309</v>
      </c>
      <c r="B4615">
        <v>1</v>
      </c>
      <c r="C4615">
        <v>0</v>
      </c>
      <c r="D4615">
        <v>0</v>
      </c>
      <c r="E4615">
        <v>0</v>
      </c>
      <c r="F4615">
        <v>0</v>
      </c>
      <c r="G4615">
        <v>0</v>
      </c>
      <c r="H4615">
        <v>0</v>
      </c>
    </row>
    <row r="4616" spans="1:8" x14ac:dyDescent="0.25">
      <c r="A4616">
        <v>19632312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  <c r="H4616">
        <v>0</v>
      </c>
    </row>
    <row r="4617" spans="1:8" x14ac:dyDescent="0.25">
      <c r="A4617">
        <v>19632313</v>
      </c>
      <c r="B4617">
        <v>2</v>
      </c>
      <c r="C4617">
        <v>1</v>
      </c>
      <c r="D4617">
        <v>0</v>
      </c>
      <c r="E4617">
        <v>0</v>
      </c>
      <c r="F4617">
        <v>0</v>
      </c>
      <c r="G4617">
        <v>0</v>
      </c>
      <c r="H4617">
        <v>0</v>
      </c>
    </row>
    <row r="4618" spans="1:8" x14ac:dyDescent="0.25">
      <c r="A4618">
        <v>19634991</v>
      </c>
      <c r="B4618">
        <v>467</v>
      </c>
      <c r="C4618">
        <v>50</v>
      </c>
      <c r="D4618">
        <v>27</v>
      </c>
      <c r="E4618">
        <v>94</v>
      </c>
      <c r="F4618">
        <v>305</v>
      </c>
      <c r="G4618">
        <v>556</v>
      </c>
      <c r="H4618">
        <v>185.88040000000001</v>
      </c>
    </row>
    <row r="4619" spans="1:8" x14ac:dyDescent="0.25">
      <c r="A4619">
        <v>19634992</v>
      </c>
      <c r="B4619">
        <v>430</v>
      </c>
      <c r="C4619">
        <v>10</v>
      </c>
      <c r="D4619">
        <v>3</v>
      </c>
      <c r="E4619">
        <v>50</v>
      </c>
      <c r="F4619">
        <v>185</v>
      </c>
      <c r="G4619">
        <v>346</v>
      </c>
      <c r="H4619">
        <v>186.96</v>
      </c>
    </row>
    <row r="4620" spans="1:8" x14ac:dyDescent="0.25">
      <c r="A4620">
        <v>19634993</v>
      </c>
      <c r="B4620">
        <v>108</v>
      </c>
      <c r="C4620">
        <v>10</v>
      </c>
      <c r="D4620">
        <v>4</v>
      </c>
      <c r="E4620">
        <v>19</v>
      </c>
      <c r="F4620">
        <v>69</v>
      </c>
      <c r="G4620">
        <v>145</v>
      </c>
      <c r="H4620">
        <v>183.73</v>
      </c>
    </row>
    <row r="4621" spans="1:8" x14ac:dyDescent="0.25">
      <c r="A4621">
        <v>19634994</v>
      </c>
      <c r="B4621">
        <v>357</v>
      </c>
      <c r="C4621">
        <v>30</v>
      </c>
      <c r="D4621">
        <v>7</v>
      </c>
      <c r="E4621">
        <v>33</v>
      </c>
      <c r="F4621">
        <v>145</v>
      </c>
      <c r="G4621">
        <v>281</v>
      </c>
      <c r="H4621">
        <v>187.26</v>
      </c>
    </row>
    <row r="4622" spans="1:8" x14ac:dyDescent="0.25">
      <c r="A4622">
        <v>19635015</v>
      </c>
      <c r="B4622">
        <v>85</v>
      </c>
      <c r="C4622">
        <v>20</v>
      </c>
      <c r="D4622">
        <v>8</v>
      </c>
      <c r="E4622">
        <v>22</v>
      </c>
      <c r="F4622">
        <v>38</v>
      </c>
      <c r="G4622">
        <v>69</v>
      </c>
      <c r="H4622">
        <v>93.747500000000002</v>
      </c>
    </row>
    <row r="4623" spans="1:8" x14ac:dyDescent="0.25">
      <c r="A4623">
        <v>19635016</v>
      </c>
      <c r="B4623">
        <v>69</v>
      </c>
      <c r="C4623">
        <v>9</v>
      </c>
      <c r="D4623">
        <v>0</v>
      </c>
      <c r="E4623">
        <v>12</v>
      </c>
      <c r="F4623">
        <v>31</v>
      </c>
      <c r="G4623">
        <v>67</v>
      </c>
      <c r="H4623">
        <v>0</v>
      </c>
    </row>
    <row r="4624" spans="1:8" x14ac:dyDescent="0.25">
      <c r="A4624">
        <v>19635017</v>
      </c>
      <c r="B4624">
        <v>66</v>
      </c>
      <c r="C4624">
        <v>10</v>
      </c>
      <c r="D4624">
        <v>2</v>
      </c>
      <c r="E4624">
        <v>5</v>
      </c>
      <c r="F4624">
        <v>18</v>
      </c>
      <c r="G4624">
        <v>49</v>
      </c>
      <c r="H4624">
        <v>324.11500000000001</v>
      </c>
    </row>
    <row r="4625" spans="1:8" x14ac:dyDescent="0.25">
      <c r="A4625">
        <v>19635018</v>
      </c>
      <c r="B4625">
        <v>62</v>
      </c>
      <c r="C4625">
        <v>6</v>
      </c>
      <c r="D4625">
        <v>0</v>
      </c>
      <c r="E4625">
        <v>2</v>
      </c>
      <c r="F4625">
        <v>10</v>
      </c>
      <c r="G4625">
        <v>18</v>
      </c>
      <c r="H4625">
        <v>0</v>
      </c>
    </row>
    <row r="4626" spans="1:8" x14ac:dyDescent="0.25">
      <c r="A4626">
        <v>19635019</v>
      </c>
      <c r="B4626">
        <v>68</v>
      </c>
      <c r="C4626">
        <v>0</v>
      </c>
      <c r="D4626">
        <v>0</v>
      </c>
      <c r="E4626">
        <v>1</v>
      </c>
      <c r="F4626">
        <v>28</v>
      </c>
      <c r="G4626">
        <v>54</v>
      </c>
      <c r="H4626">
        <v>0</v>
      </c>
    </row>
    <row r="4627" spans="1:8" x14ac:dyDescent="0.25">
      <c r="A4627">
        <v>19635689</v>
      </c>
      <c r="B4627">
        <v>60</v>
      </c>
      <c r="C4627">
        <v>24</v>
      </c>
      <c r="D4627">
        <v>2</v>
      </c>
      <c r="E4627">
        <v>18</v>
      </c>
      <c r="F4627">
        <v>72</v>
      </c>
      <c r="G4627">
        <v>162</v>
      </c>
      <c r="H4627">
        <v>194.99</v>
      </c>
    </row>
    <row r="4628" spans="1:8" x14ac:dyDescent="0.25">
      <c r="A4628">
        <v>19635690</v>
      </c>
      <c r="B4628">
        <v>42</v>
      </c>
      <c r="C4628">
        <v>6</v>
      </c>
      <c r="D4628">
        <v>1</v>
      </c>
      <c r="E4628">
        <v>15</v>
      </c>
      <c r="F4628">
        <v>42</v>
      </c>
      <c r="G4628">
        <v>89</v>
      </c>
      <c r="H4628">
        <v>199.99</v>
      </c>
    </row>
    <row r="4629" spans="1:8" x14ac:dyDescent="0.25">
      <c r="A4629">
        <v>19635691</v>
      </c>
      <c r="B4629">
        <v>18</v>
      </c>
      <c r="C4629">
        <v>18</v>
      </c>
      <c r="D4629">
        <v>0</v>
      </c>
      <c r="E4629">
        <v>6</v>
      </c>
      <c r="F4629">
        <v>24</v>
      </c>
      <c r="G4629">
        <v>42</v>
      </c>
      <c r="H4629">
        <v>0</v>
      </c>
    </row>
    <row r="4630" spans="1:8" x14ac:dyDescent="0.25">
      <c r="A4630">
        <v>19637662</v>
      </c>
      <c r="B4630">
        <v>3</v>
      </c>
      <c r="C4630">
        <v>0</v>
      </c>
      <c r="D4630">
        <v>0</v>
      </c>
      <c r="E4630">
        <v>1</v>
      </c>
      <c r="F4630">
        <v>3</v>
      </c>
      <c r="G4630">
        <v>9</v>
      </c>
      <c r="H4630">
        <v>0</v>
      </c>
    </row>
    <row r="4631" spans="1:8" x14ac:dyDescent="0.25">
      <c r="A4631">
        <v>19637663</v>
      </c>
      <c r="B4631">
        <v>3</v>
      </c>
      <c r="C4631">
        <v>0</v>
      </c>
      <c r="D4631">
        <v>1</v>
      </c>
      <c r="E4631">
        <v>3</v>
      </c>
      <c r="F4631">
        <v>6</v>
      </c>
      <c r="G4631">
        <v>14</v>
      </c>
      <c r="H4631">
        <v>1374.99</v>
      </c>
    </row>
    <row r="4632" spans="1:8" x14ac:dyDescent="0.25">
      <c r="A4632">
        <v>19637664</v>
      </c>
      <c r="B4632">
        <v>6</v>
      </c>
      <c r="C4632">
        <v>0</v>
      </c>
      <c r="D4632">
        <v>1</v>
      </c>
      <c r="E4632">
        <v>2</v>
      </c>
      <c r="F4632">
        <v>2</v>
      </c>
      <c r="G4632">
        <v>9</v>
      </c>
      <c r="H4632">
        <v>1079.99</v>
      </c>
    </row>
    <row r="4633" spans="1:8" x14ac:dyDescent="0.25">
      <c r="A4633">
        <v>19638286</v>
      </c>
      <c r="B4633">
        <v>157</v>
      </c>
      <c r="C4633">
        <v>0</v>
      </c>
      <c r="D4633">
        <v>2</v>
      </c>
      <c r="E4633">
        <v>4</v>
      </c>
      <c r="F4633">
        <v>19</v>
      </c>
      <c r="G4633">
        <v>61</v>
      </c>
      <c r="H4633">
        <v>59.99</v>
      </c>
    </row>
    <row r="4634" spans="1:8" x14ac:dyDescent="0.25">
      <c r="A4634">
        <v>19638576</v>
      </c>
      <c r="B4634">
        <v>138</v>
      </c>
      <c r="C4634">
        <v>21</v>
      </c>
      <c r="D4634">
        <v>5</v>
      </c>
      <c r="E4634">
        <v>32</v>
      </c>
      <c r="F4634">
        <v>79</v>
      </c>
      <c r="G4634">
        <v>147</v>
      </c>
      <c r="H4634">
        <v>37.765999999999998</v>
      </c>
    </row>
    <row r="4635" spans="1:8" x14ac:dyDescent="0.25">
      <c r="A4635">
        <v>19638895</v>
      </c>
      <c r="B4635">
        <v>665</v>
      </c>
      <c r="C4635">
        <v>48</v>
      </c>
      <c r="D4635">
        <v>42</v>
      </c>
      <c r="E4635">
        <v>160</v>
      </c>
      <c r="F4635">
        <v>314</v>
      </c>
      <c r="G4635">
        <v>314</v>
      </c>
      <c r="H4635">
        <v>9.8897999999999993</v>
      </c>
    </row>
    <row r="4636" spans="1:8" x14ac:dyDescent="0.25">
      <c r="A4636">
        <v>19638896</v>
      </c>
      <c r="B4636">
        <v>529</v>
      </c>
      <c r="C4636">
        <v>0</v>
      </c>
      <c r="D4636">
        <v>29</v>
      </c>
      <c r="E4636">
        <v>118</v>
      </c>
      <c r="F4636">
        <v>230</v>
      </c>
      <c r="G4636">
        <v>230</v>
      </c>
      <c r="H4636">
        <v>9.8731000000000009</v>
      </c>
    </row>
    <row r="4637" spans="1:8" x14ac:dyDescent="0.25">
      <c r="A4637">
        <v>19638897</v>
      </c>
      <c r="B4637">
        <v>561</v>
      </c>
      <c r="C4637">
        <v>24</v>
      </c>
      <c r="D4637">
        <v>20</v>
      </c>
      <c r="E4637">
        <v>100</v>
      </c>
      <c r="F4637">
        <v>229</v>
      </c>
      <c r="G4637">
        <v>229</v>
      </c>
      <c r="H4637">
        <v>4.9615</v>
      </c>
    </row>
    <row r="4638" spans="1:8" x14ac:dyDescent="0.25">
      <c r="A4638">
        <v>19638898</v>
      </c>
      <c r="B4638">
        <v>428</v>
      </c>
      <c r="C4638">
        <v>112</v>
      </c>
      <c r="D4638">
        <v>58</v>
      </c>
      <c r="E4638">
        <v>222</v>
      </c>
      <c r="F4638">
        <v>476</v>
      </c>
      <c r="G4638">
        <v>476</v>
      </c>
      <c r="H4638">
        <v>7.7403000000000004</v>
      </c>
    </row>
    <row r="4639" spans="1:8" x14ac:dyDescent="0.25">
      <c r="A4639">
        <v>19638899</v>
      </c>
      <c r="B4639">
        <v>783</v>
      </c>
      <c r="C4639">
        <v>56</v>
      </c>
      <c r="D4639">
        <v>57</v>
      </c>
      <c r="E4639">
        <v>226</v>
      </c>
      <c r="F4639">
        <v>522</v>
      </c>
      <c r="G4639">
        <v>522</v>
      </c>
      <c r="H4639">
        <v>14.1304</v>
      </c>
    </row>
    <row r="4640" spans="1:8" x14ac:dyDescent="0.25">
      <c r="A4640">
        <v>19638900</v>
      </c>
      <c r="B4640">
        <v>398</v>
      </c>
      <c r="C4640">
        <v>32</v>
      </c>
      <c r="D4640">
        <v>23</v>
      </c>
      <c r="E4640">
        <v>87</v>
      </c>
      <c r="F4640">
        <v>197</v>
      </c>
      <c r="G4640">
        <v>197</v>
      </c>
      <c r="H4640">
        <v>14.1061</v>
      </c>
    </row>
    <row r="4641" spans="1:8" x14ac:dyDescent="0.25">
      <c r="A4641">
        <v>19638901</v>
      </c>
      <c r="B4641">
        <v>504</v>
      </c>
      <c r="C4641">
        <v>16</v>
      </c>
      <c r="D4641">
        <v>23</v>
      </c>
      <c r="E4641">
        <v>86</v>
      </c>
      <c r="F4641">
        <v>159</v>
      </c>
      <c r="G4641">
        <v>159</v>
      </c>
      <c r="H4641">
        <v>14.798299999999999</v>
      </c>
    </row>
    <row r="4642" spans="1:8" x14ac:dyDescent="0.25">
      <c r="A4642">
        <v>19640970</v>
      </c>
      <c r="B4642">
        <v>10</v>
      </c>
      <c r="C4642">
        <v>0</v>
      </c>
      <c r="D4642">
        <v>1</v>
      </c>
      <c r="E4642">
        <v>15</v>
      </c>
      <c r="F4642">
        <v>38</v>
      </c>
      <c r="G4642">
        <v>117</v>
      </c>
      <c r="H4642">
        <v>9.49</v>
      </c>
    </row>
    <row r="4643" spans="1:8" x14ac:dyDescent="0.25">
      <c r="A4643">
        <v>19641922</v>
      </c>
      <c r="B4643">
        <v>291</v>
      </c>
      <c r="C4643">
        <v>44</v>
      </c>
      <c r="D4643">
        <v>26</v>
      </c>
      <c r="E4643">
        <v>118</v>
      </c>
      <c r="F4643">
        <v>359</v>
      </c>
      <c r="G4643">
        <v>605</v>
      </c>
      <c r="H4643">
        <v>137.08690000000001</v>
      </c>
    </row>
    <row r="4644" spans="1:8" x14ac:dyDescent="0.25">
      <c r="A4644">
        <v>19641923</v>
      </c>
      <c r="B4644">
        <v>260</v>
      </c>
      <c r="C4644">
        <v>20</v>
      </c>
      <c r="D4644">
        <v>18</v>
      </c>
      <c r="E4644">
        <v>62</v>
      </c>
      <c r="F4644">
        <v>151</v>
      </c>
      <c r="G4644">
        <v>269</v>
      </c>
      <c r="H4644">
        <v>145.97499999999999</v>
      </c>
    </row>
    <row r="4645" spans="1:8" x14ac:dyDescent="0.25">
      <c r="A4645">
        <v>19644046</v>
      </c>
      <c r="B4645">
        <v>54</v>
      </c>
      <c r="C4645">
        <v>1</v>
      </c>
      <c r="D4645">
        <v>3</v>
      </c>
      <c r="E4645">
        <v>7</v>
      </c>
      <c r="F4645">
        <v>28</v>
      </c>
      <c r="G4645">
        <v>40</v>
      </c>
      <c r="H4645">
        <v>1069.33</v>
      </c>
    </row>
    <row r="4646" spans="1:8" x14ac:dyDescent="0.25">
      <c r="A4646">
        <v>19644048</v>
      </c>
      <c r="B4646">
        <v>52</v>
      </c>
      <c r="C4646">
        <v>2</v>
      </c>
      <c r="D4646">
        <v>5</v>
      </c>
      <c r="E4646">
        <v>11</v>
      </c>
      <c r="F4646">
        <v>31</v>
      </c>
      <c r="G4646">
        <v>68</v>
      </c>
      <c r="H4646">
        <v>1199.3979999999999</v>
      </c>
    </row>
    <row r="4647" spans="1:8" x14ac:dyDescent="0.25">
      <c r="A4647">
        <v>19644049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1</v>
      </c>
      <c r="H4647">
        <v>0</v>
      </c>
    </row>
    <row r="4648" spans="1:8" x14ac:dyDescent="0.25">
      <c r="A4648">
        <v>19644110</v>
      </c>
      <c r="B4648">
        <v>9</v>
      </c>
      <c r="C4648">
        <v>0</v>
      </c>
      <c r="D4648">
        <v>0</v>
      </c>
      <c r="E4648">
        <v>0</v>
      </c>
      <c r="F4648">
        <v>0</v>
      </c>
      <c r="G4648">
        <v>0</v>
      </c>
      <c r="H4648">
        <v>0</v>
      </c>
    </row>
    <row r="4649" spans="1:8" x14ac:dyDescent="0.25">
      <c r="A4649">
        <v>19644397</v>
      </c>
      <c r="B4649">
        <v>0</v>
      </c>
      <c r="C4649">
        <v>0</v>
      </c>
      <c r="D4649">
        <v>0</v>
      </c>
      <c r="E4649">
        <v>0</v>
      </c>
      <c r="F4649">
        <v>1</v>
      </c>
      <c r="G4649">
        <v>2</v>
      </c>
      <c r="H4649">
        <v>0</v>
      </c>
    </row>
    <row r="4650" spans="1:8" x14ac:dyDescent="0.25">
      <c r="A4650">
        <v>19645152</v>
      </c>
      <c r="B4650">
        <v>212</v>
      </c>
      <c r="C4650">
        <v>0</v>
      </c>
      <c r="D4650">
        <v>43</v>
      </c>
      <c r="E4650">
        <v>136</v>
      </c>
      <c r="F4650">
        <v>167</v>
      </c>
      <c r="G4650">
        <v>834</v>
      </c>
      <c r="H4650">
        <v>68.640900000000002</v>
      </c>
    </row>
    <row r="4651" spans="1:8" x14ac:dyDescent="0.25">
      <c r="A4651">
        <v>19645153</v>
      </c>
      <c r="B4651">
        <v>303</v>
      </c>
      <c r="C4651">
        <v>0</v>
      </c>
      <c r="D4651">
        <v>4</v>
      </c>
      <c r="E4651">
        <v>31</v>
      </c>
      <c r="F4651">
        <v>105</v>
      </c>
      <c r="G4651">
        <v>655</v>
      </c>
      <c r="H4651">
        <v>69.767499999999998</v>
      </c>
    </row>
    <row r="4652" spans="1:8" x14ac:dyDescent="0.25">
      <c r="A4652">
        <v>19645154</v>
      </c>
      <c r="B4652">
        <v>83</v>
      </c>
      <c r="C4652">
        <v>0</v>
      </c>
      <c r="D4652">
        <v>6</v>
      </c>
      <c r="E4652">
        <v>14</v>
      </c>
      <c r="F4652">
        <v>69</v>
      </c>
      <c r="G4652">
        <v>241</v>
      </c>
      <c r="H4652">
        <v>47.1967</v>
      </c>
    </row>
    <row r="4653" spans="1:8" x14ac:dyDescent="0.25">
      <c r="A4653">
        <v>19645155</v>
      </c>
      <c r="B4653">
        <v>40</v>
      </c>
      <c r="C4653">
        <v>0</v>
      </c>
      <c r="D4653">
        <v>1</v>
      </c>
      <c r="E4653">
        <v>11</v>
      </c>
      <c r="F4653">
        <v>31</v>
      </c>
      <c r="G4653">
        <v>282</v>
      </c>
      <c r="H4653">
        <v>69.989999999999995</v>
      </c>
    </row>
    <row r="4654" spans="1:8" x14ac:dyDescent="0.25">
      <c r="A4654">
        <v>19645156</v>
      </c>
      <c r="B4654">
        <v>318</v>
      </c>
      <c r="C4654">
        <v>0</v>
      </c>
      <c r="D4654">
        <v>11</v>
      </c>
      <c r="E4654">
        <v>31</v>
      </c>
      <c r="F4654">
        <v>106</v>
      </c>
      <c r="G4654">
        <v>680</v>
      </c>
      <c r="H4654">
        <v>66.3536</v>
      </c>
    </row>
    <row r="4655" spans="1:8" x14ac:dyDescent="0.25">
      <c r="A4655">
        <v>19645157</v>
      </c>
      <c r="B4655">
        <v>413</v>
      </c>
      <c r="C4655">
        <v>0</v>
      </c>
      <c r="D4655">
        <v>14</v>
      </c>
      <c r="E4655">
        <v>37</v>
      </c>
      <c r="F4655">
        <v>102</v>
      </c>
      <c r="G4655">
        <v>386</v>
      </c>
      <c r="H4655">
        <v>57.5807</v>
      </c>
    </row>
    <row r="4656" spans="1:8" x14ac:dyDescent="0.25">
      <c r="A4656">
        <v>19645158</v>
      </c>
      <c r="B4656">
        <v>614</v>
      </c>
      <c r="C4656">
        <v>0</v>
      </c>
      <c r="D4656">
        <v>17</v>
      </c>
      <c r="E4656">
        <v>67</v>
      </c>
      <c r="F4656">
        <v>284</v>
      </c>
      <c r="G4656">
        <v>284</v>
      </c>
      <c r="H4656">
        <v>68.035300000000007</v>
      </c>
    </row>
    <row r="4657" spans="1:8" x14ac:dyDescent="0.25">
      <c r="A4657">
        <v>19645208</v>
      </c>
      <c r="B4657">
        <v>96</v>
      </c>
      <c r="C4657">
        <v>60</v>
      </c>
      <c r="D4657">
        <v>3</v>
      </c>
      <c r="E4657">
        <v>31</v>
      </c>
      <c r="F4657">
        <v>93</v>
      </c>
      <c r="G4657">
        <v>189</v>
      </c>
      <c r="H4657">
        <v>1478.3233</v>
      </c>
    </row>
    <row r="4658" spans="1:8" x14ac:dyDescent="0.25">
      <c r="A4658">
        <v>19645210</v>
      </c>
      <c r="B4658">
        <v>113</v>
      </c>
      <c r="C4658">
        <v>0</v>
      </c>
      <c r="D4658">
        <v>3</v>
      </c>
      <c r="E4658">
        <v>9</v>
      </c>
      <c r="F4658">
        <v>33</v>
      </c>
      <c r="G4658">
        <v>142</v>
      </c>
      <c r="H4658">
        <v>144.99</v>
      </c>
    </row>
    <row r="4659" spans="1:8" x14ac:dyDescent="0.25">
      <c r="A4659">
        <v>19646557</v>
      </c>
      <c r="B4659">
        <v>175</v>
      </c>
      <c r="C4659">
        <v>0</v>
      </c>
      <c r="D4659">
        <v>24</v>
      </c>
      <c r="E4659">
        <v>71</v>
      </c>
      <c r="F4659">
        <v>187</v>
      </c>
      <c r="G4659">
        <v>407</v>
      </c>
      <c r="H4659">
        <v>156.4538</v>
      </c>
    </row>
    <row r="4660" spans="1:8" x14ac:dyDescent="0.25">
      <c r="A4660">
        <v>19650397</v>
      </c>
      <c r="B4660">
        <v>104</v>
      </c>
      <c r="C4660">
        <v>0</v>
      </c>
      <c r="D4660">
        <v>8</v>
      </c>
      <c r="E4660">
        <v>38</v>
      </c>
      <c r="F4660">
        <v>159</v>
      </c>
      <c r="G4660">
        <v>308</v>
      </c>
      <c r="H4660">
        <v>187.75</v>
      </c>
    </row>
    <row r="4661" spans="1:8" x14ac:dyDescent="0.25">
      <c r="A4661">
        <v>19650398</v>
      </c>
      <c r="B4661">
        <v>130</v>
      </c>
      <c r="C4661">
        <v>100</v>
      </c>
      <c r="D4661">
        <v>8</v>
      </c>
      <c r="E4661">
        <v>39</v>
      </c>
      <c r="F4661">
        <v>128</v>
      </c>
      <c r="G4661">
        <v>261</v>
      </c>
      <c r="H4661">
        <v>232.7088</v>
      </c>
    </row>
    <row r="4662" spans="1:8" x14ac:dyDescent="0.25">
      <c r="A4662">
        <v>19650399</v>
      </c>
      <c r="B4662">
        <v>83</v>
      </c>
      <c r="C4662">
        <v>0</v>
      </c>
      <c r="D4662">
        <v>4</v>
      </c>
      <c r="E4662">
        <v>41</v>
      </c>
      <c r="F4662">
        <v>205</v>
      </c>
      <c r="G4662">
        <v>501</v>
      </c>
      <c r="H4662">
        <v>108.58750000000001</v>
      </c>
    </row>
    <row r="4663" spans="1:8" x14ac:dyDescent="0.25">
      <c r="A4663">
        <v>19650400</v>
      </c>
      <c r="B4663">
        <v>210</v>
      </c>
      <c r="C4663">
        <v>0</v>
      </c>
      <c r="D4663">
        <v>8</v>
      </c>
      <c r="E4663">
        <v>27</v>
      </c>
      <c r="F4663">
        <v>114</v>
      </c>
      <c r="G4663">
        <v>297</v>
      </c>
      <c r="H4663">
        <v>233.93</v>
      </c>
    </row>
    <row r="4664" spans="1:8" x14ac:dyDescent="0.25">
      <c r="A4664">
        <v>19650401</v>
      </c>
      <c r="B4664">
        <v>82</v>
      </c>
      <c r="C4664">
        <v>0</v>
      </c>
      <c r="D4664">
        <v>7</v>
      </c>
      <c r="E4664">
        <v>12</v>
      </c>
      <c r="F4664">
        <v>15</v>
      </c>
      <c r="G4664">
        <v>15</v>
      </c>
      <c r="H4664">
        <v>318.02569999999997</v>
      </c>
    </row>
    <row r="4665" spans="1:8" x14ac:dyDescent="0.25">
      <c r="A4665">
        <v>19651439</v>
      </c>
      <c r="B4665">
        <v>201</v>
      </c>
      <c r="C4665">
        <v>0</v>
      </c>
      <c r="D4665">
        <v>28</v>
      </c>
      <c r="E4665">
        <v>124</v>
      </c>
      <c r="F4665">
        <v>289</v>
      </c>
      <c r="G4665">
        <v>771</v>
      </c>
      <c r="H4665">
        <v>595.69320000000005</v>
      </c>
    </row>
    <row r="4666" spans="1:8" x14ac:dyDescent="0.25">
      <c r="A4666">
        <v>19651440</v>
      </c>
      <c r="B4666">
        <v>89</v>
      </c>
      <c r="C4666">
        <v>0</v>
      </c>
      <c r="D4666">
        <v>17</v>
      </c>
      <c r="E4666">
        <v>46</v>
      </c>
      <c r="F4666">
        <v>154</v>
      </c>
      <c r="G4666">
        <v>154</v>
      </c>
      <c r="H4666">
        <v>968.21820000000002</v>
      </c>
    </row>
    <row r="4667" spans="1:8" x14ac:dyDescent="0.25">
      <c r="A4667">
        <v>19653462</v>
      </c>
      <c r="B4667">
        <v>78</v>
      </c>
      <c r="C4667">
        <v>0</v>
      </c>
      <c r="D4667">
        <v>23</v>
      </c>
      <c r="E4667">
        <v>91</v>
      </c>
      <c r="F4667">
        <v>175</v>
      </c>
      <c r="G4667">
        <v>175</v>
      </c>
      <c r="H4667">
        <v>629.79480000000001</v>
      </c>
    </row>
    <row r="4668" spans="1:8" x14ac:dyDescent="0.25">
      <c r="A4668">
        <v>19654335</v>
      </c>
      <c r="B4668">
        <v>106</v>
      </c>
      <c r="C4668">
        <v>0</v>
      </c>
      <c r="D4668">
        <v>7</v>
      </c>
      <c r="E4668">
        <v>21</v>
      </c>
      <c r="F4668">
        <v>69</v>
      </c>
      <c r="G4668">
        <v>133</v>
      </c>
      <c r="H4668">
        <v>47.678600000000003</v>
      </c>
    </row>
    <row r="4669" spans="1:8" x14ac:dyDescent="0.25">
      <c r="A4669">
        <v>19654336</v>
      </c>
      <c r="B4669">
        <v>90</v>
      </c>
      <c r="C4669">
        <v>0</v>
      </c>
      <c r="D4669">
        <v>3</v>
      </c>
      <c r="E4669">
        <v>19</v>
      </c>
      <c r="F4669">
        <v>49</v>
      </c>
      <c r="G4669">
        <v>86</v>
      </c>
      <c r="H4669">
        <v>40.833300000000001</v>
      </c>
    </row>
    <row r="4670" spans="1:8" x14ac:dyDescent="0.25">
      <c r="A4670">
        <v>19654337</v>
      </c>
      <c r="B4670">
        <v>135</v>
      </c>
      <c r="C4670">
        <v>0</v>
      </c>
      <c r="D4670">
        <v>4</v>
      </c>
      <c r="E4670">
        <v>11</v>
      </c>
      <c r="F4670">
        <v>37</v>
      </c>
      <c r="G4670">
        <v>65</v>
      </c>
      <c r="H4670">
        <v>49.375</v>
      </c>
    </row>
    <row r="4671" spans="1:8" x14ac:dyDescent="0.25">
      <c r="A4671">
        <v>19654338</v>
      </c>
      <c r="B4671">
        <v>134</v>
      </c>
      <c r="C4671">
        <v>0</v>
      </c>
      <c r="D4671">
        <v>4</v>
      </c>
      <c r="E4671">
        <v>8</v>
      </c>
      <c r="F4671">
        <v>26</v>
      </c>
      <c r="G4671">
        <v>51</v>
      </c>
      <c r="H4671">
        <v>53.837499999999999</v>
      </c>
    </row>
    <row r="4672" spans="1:8" x14ac:dyDescent="0.25">
      <c r="A4672">
        <v>19654339</v>
      </c>
      <c r="B4672">
        <v>39</v>
      </c>
      <c r="C4672">
        <v>0</v>
      </c>
      <c r="D4672">
        <v>4</v>
      </c>
      <c r="E4672">
        <v>24</v>
      </c>
      <c r="F4672">
        <v>93</v>
      </c>
      <c r="G4672">
        <v>234</v>
      </c>
      <c r="H4672">
        <v>49.29</v>
      </c>
    </row>
    <row r="4673" spans="1:8" x14ac:dyDescent="0.25">
      <c r="A4673">
        <v>19654340</v>
      </c>
      <c r="B4673">
        <v>14</v>
      </c>
      <c r="C4673">
        <v>0</v>
      </c>
      <c r="D4673">
        <v>5</v>
      </c>
      <c r="E4673">
        <v>12</v>
      </c>
      <c r="F4673">
        <v>63</v>
      </c>
      <c r="G4673">
        <v>92</v>
      </c>
      <c r="H4673">
        <v>106.95</v>
      </c>
    </row>
    <row r="4674" spans="1:8" x14ac:dyDescent="0.25">
      <c r="A4674">
        <v>19654341</v>
      </c>
      <c r="B4674">
        <v>73</v>
      </c>
      <c r="C4674">
        <v>0</v>
      </c>
      <c r="D4674">
        <v>5</v>
      </c>
      <c r="E4674">
        <v>20</v>
      </c>
      <c r="F4674">
        <v>87</v>
      </c>
      <c r="G4674">
        <v>165</v>
      </c>
      <c r="H4674">
        <v>69.406000000000006</v>
      </c>
    </row>
    <row r="4675" spans="1:8" x14ac:dyDescent="0.25">
      <c r="A4675">
        <v>19654342</v>
      </c>
      <c r="B4675">
        <v>32</v>
      </c>
      <c r="C4675">
        <v>0</v>
      </c>
      <c r="D4675">
        <v>6</v>
      </c>
      <c r="E4675">
        <v>20</v>
      </c>
      <c r="F4675">
        <v>81</v>
      </c>
      <c r="G4675">
        <v>224</v>
      </c>
      <c r="H4675">
        <v>62.291699999999999</v>
      </c>
    </row>
    <row r="4676" spans="1:8" x14ac:dyDescent="0.25">
      <c r="A4676">
        <v>19654343</v>
      </c>
      <c r="B4676">
        <v>73</v>
      </c>
      <c r="C4676">
        <v>0</v>
      </c>
      <c r="D4676">
        <v>2</v>
      </c>
      <c r="E4676">
        <v>7</v>
      </c>
      <c r="F4676">
        <v>27</v>
      </c>
      <c r="G4676">
        <v>42</v>
      </c>
      <c r="H4676">
        <v>73.234999999999999</v>
      </c>
    </row>
    <row r="4677" spans="1:8" x14ac:dyDescent="0.25">
      <c r="A4677">
        <v>19654344</v>
      </c>
      <c r="B4677">
        <v>69</v>
      </c>
      <c r="C4677">
        <v>0</v>
      </c>
      <c r="D4677">
        <v>3</v>
      </c>
      <c r="E4677">
        <v>11</v>
      </c>
      <c r="F4677">
        <v>55</v>
      </c>
      <c r="G4677">
        <v>168</v>
      </c>
      <c r="H4677">
        <v>51.82</v>
      </c>
    </row>
    <row r="4678" spans="1:8" x14ac:dyDescent="0.25">
      <c r="A4678">
        <v>19654345</v>
      </c>
      <c r="B4678">
        <v>72</v>
      </c>
      <c r="C4678">
        <v>0</v>
      </c>
      <c r="D4678">
        <v>2</v>
      </c>
      <c r="E4678">
        <v>9</v>
      </c>
      <c r="F4678">
        <v>24</v>
      </c>
      <c r="G4678">
        <v>44</v>
      </c>
      <c r="H4678">
        <v>63.9</v>
      </c>
    </row>
    <row r="4679" spans="1:8" x14ac:dyDescent="0.25">
      <c r="A4679">
        <v>19654346</v>
      </c>
      <c r="B4679">
        <v>71</v>
      </c>
      <c r="C4679">
        <v>0</v>
      </c>
      <c r="D4679">
        <v>3</v>
      </c>
      <c r="E4679">
        <v>9</v>
      </c>
      <c r="F4679">
        <v>29</v>
      </c>
      <c r="G4679">
        <v>53</v>
      </c>
      <c r="H4679">
        <v>73.333299999999994</v>
      </c>
    </row>
    <row r="4680" spans="1:8" x14ac:dyDescent="0.25">
      <c r="A4680">
        <v>19663345</v>
      </c>
      <c r="B4680">
        <v>967</v>
      </c>
      <c r="C4680">
        <v>144</v>
      </c>
      <c r="D4680">
        <v>93</v>
      </c>
      <c r="E4680">
        <v>389</v>
      </c>
      <c r="F4680">
        <v>750</v>
      </c>
      <c r="G4680">
        <v>750</v>
      </c>
      <c r="H4680">
        <v>5.8147000000000002</v>
      </c>
    </row>
    <row r="4681" spans="1:8" x14ac:dyDescent="0.25">
      <c r="A4681">
        <v>19663346</v>
      </c>
      <c r="B4681">
        <v>79</v>
      </c>
      <c r="C4681">
        <v>208</v>
      </c>
      <c r="D4681">
        <v>12</v>
      </c>
      <c r="E4681">
        <v>64</v>
      </c>
      <c r="F4681">
        <v>239</v>
      </c>
      <c r="G4681">
        <v>239</v>
      </c>
      <c r="H4681">
        <v>7.7832999999999997</v>
      </c>
    </row>
    <row r="4682" spans="1:8" x14ac:dyDescent="0.25">
      <c r="A4682">
        <v>19663546</v>
      </c>
      <c r="B4682">
        <v>121</v>
      </c>
      <c r="C4682">
        <v>15</v>
      </c>
      <c r="D4682">
        <v>6</v>
      </c>
      <c r="E4682">
        <v>14</v>
      </c>
      <c r="F4682">
        <v>41</v>
      </c>
      <c r="G4682">
        <v>49</v>
      </c>
      <c r="H4682">
        <v>435.49329999999998</v>
      </c>
    </row>
    <row r="4683" spans="1:8" x14ac:dyDescent="0.25">
      <c r="A4683">
        <v>19663547</v>
      </c>
      <c r="B4683">
        <v>28</v>
      </c>
      <c r="C4683">
        <v>15</v>
      </c>
      <c r="D4683">
        <v>7</v>
      </c>
      <c r="E4683">
        <v>14</v>
      </c>
      <c r="F4683">
        <v>40</v>
      </c>
      <c r="G4683">
        <v>64</v>
      </c>
      <c r="H4683">
        <v>466.90289999999999</v>
      </c>
    </row>
    <row r="4684" spans="1:8" x14ac:dyDescent="0.25">
      <c r="A4684">
        <v>19663548</v>
      </c>
      <c r="B4684">
        <v>23</v>
      </c>
      <c r="C4684">
        <v>5</v>
      </c>
      <c r="D4684">
        <v>0</v>
      </c>
      <c r="E4684">
        <v>2</v>
      </c>
      <c r="F4684">
        <v>25</v>
      </c>
      <c r="G4684">
        <v>35</v>
      </c>
      <c r="H4684">
        <v>0</v>
      </c>
    </row>
    <row r="4685" spans="1:8" x14ac:dyDescent="0.25">
      <c r="A4685">
        <v>19663549</v>
      </c>
      <c r="B4685">
        <v>37</v>
      </c>
      <c r="C4685">
        <v>8</v>
      </c>
      <c r="D4685">
        <v>-1</v>
      </c>
      <c r="E4685">
        <v>5</v>
      </c>
      <c r="F4685">
        <v>18</v>
      </c>
      <c r="G4685">
        <v>35</v>
      </c>
      <c r="H4685">
        <v>68.06</v>
      </c>
    </row>
    <row r="4686" spans="1:8" x14ac:dyDescent="0.25">
      <c r="A4686">
        <v>19663550</v>
      </c>
      <c r="B4686">
        <v>11</v>
      </c>
      <c r="C4686">
        <v>64</v>
      </c>
      <c r="D4686">
        <v>5</v>
      </c>
      <c r="E4686">
        <v>12</v>
      </c>
      <c r="F4686">
        <v>27</v>
      </c>
      <c r="G4686">
        <v>61</v>
      </c>
      <c r="H4686">
        <v>7.49</v>
      </c>
    </row>
    <row r="4687" spans="1:8" x14ac:dyDescent="0.25">
      <c r="A4687">
        <v>19671760</v>
      </c>
      <c r="B4687">
        <v>93</v>
      </c>
      <c r="C4687">
        <v>0</v>
      </c>
      <c r="D4687">
        <v>2</v>
      </c>
      <c r="E4687">
        <v>13</v>
      </c>
      <c r="F4687">
        <v>54</v>
      </c>
      <c r="G4687">
        <v>130</v>
      </c>
      <c r="H4687">
        <v>24.375</v>
      </c>
    </row>
    <row r="4688" spans="1:8" x14ac:dyDescent="0.25">
      <c r="A4688">
        <v>19671761</v>
      </c>
      <c r="B4688">
        <v>157</v>
      </c>
      <c r="C4688">
        <v>0</v>
      </c>
      <c r="D4688">
        <v>2</v>
      </c>
      <c r="E4688">
        <v>5</v>
      </c>
      <c r="F4688">
        <v>27</v>
      </c>
      <c r="G4688">
        <v>68</v>
      </c>
      <c r="H4688">
        <v>14.53</v>
      </c>
    </row>
    <row r="4689" spans="1:8" x14ac:dyDescent="0.25">
      <c r="A4689">
        <v>19672286</v>
      </c>
      <c r="B4689">
        <v>127</v>
      </c>
      <c r="C4689">
        <v>0</v>
      </c>
      <c r="D4689">
        <v>16</v>
      </c>
      <c r="E4689">
        <v>57</v>
      </c>
      <c r="F4689">
        <v>109</v>
      </c>
      <c r="G4689">
        <v>109</v>
      </c>
      <c r="H4689">
        <v>844.0575</v>
      </c>
    </row>
    <row r="4690" spans="1:8" x14ac:dyDescent="0.25">
      <c r="A4690">
        <v>19673819</v>
      </c>
      <c r="B4690">
        <v>43</v>
      </c>
      <c r="C4690">
        <v>15</v>
      </c>
      <c r="D4690">
        <v>5</v>
      </c>
      <c r="E4690">
        <v>44</v>
      </c>
      <c r="F4690">
        <v>167</v>
      </c>
      <c r="G4690">
        <v>244</v>
      </c>
      <c r="H4690">
        <v>488.678</v>
      </c>
    </row>
    <row r="4691" spans="1:8" x14ac:dyDescent="0.25">
      <c r="A4691">
        <v>19676698</v>
      </c>
      <c r="B4691">
        <v>21</v>
      </c>
      <c r="C4691">
        <v>5</v>
      </c>
      <c r="D4691">
        <v>1</v>
      </c>
      <c r="E4691">
        <v>16</v>
      </c>
      <c r="F4691">
        <v>60</v>
      </c>
      <c r="G4691">
        <v>105</v>
      </c>
      <c r="H4691">
        <v>79</v>
      </c>
    </row>
    <row r="4692" spans="1:8" x14ac:dyDescent="0.25">
      <c r="A4692">
        <v>19676699</v>
      </c>
      <c r="B4692">
        <v>25</v>
      </c>
      <c r="C4692">
        <v>10</v>
      </c>
      <c r="D4692">
        <v>10</v>
      </c>
      <c r="E4692">
        <v>23</v>
      </c>
      <c r="F4692">
        <v>70</v>
      </c>
      <c r="G4692">
        <v>129</v>
      </c>
      <c r="H4692">
        <v>501.96899999999999</v>
      </c>
    </row>
    <row r="4693" spans="1:8" x14ac:dyDescent="0.25">
      <c r="A4693">
        <v>19681317</v>
      </c>
      <c r="B4693">
        <v>42</v>
      </c>
      <c r="C4693">
        <v>0</v>
      </c>
      <c r="D4693">
        <v>1</v>
      </c>
      <c r="E4693">
        <v>7</v>
      </c>
      <c r="F4693">
        <v>23</v>
      </c>
      <c r="G4693">
        <v>147</v>
      </c>
      <c r="H4693">
        <v>44.99</v>
      </c>
    </row>
    <row r="4694" spans="1:8" x14ac:dyDescent="0.25">
      <c r="A4694">
        <v>19681318</v>
      </c>
      <c r="B4694">
        <v>16</v>
      </c>
      <c r="C4694">
        <v>0</v>
      </c>
      <c r="D4694">
        <v>0</v>
      </c>
      <c r="E4694">
        <v>4</v>
      </c>
      <c r="F4694">
        <v>42</v>
      </c>
      <c r="G4694">
        <v>168</v>
      </c>
      <c r="H4694">
        <v>0</v>
      </c>
    </row>
    <row r="4695" spans="1:8" x14ac:dyDescent="0.25">
      <c r="A4695">
        <v>19681319</v>
      </c>
      <c r="B4695">
        <v>7</v>
      </c>
      <c r="C4695">
        <v>0</v>
      </c>
      <c r="D4695">
        <v>0</v>
      </c>
      <c r="E4695">
        <v>1</v>
      </c>
      <c r="F4695">
        <v>17</v>
      </c>
      <c r="G4695">
        <v>167</v>
      </c>
      <c r="H4695">
        <v>0</v>
      </c>
    </row>
    <row r="4696" spans="1:8" x14ac:dyDescent="0.25">
      <c r="A4696">
        <v>19681320</v>
      </c>
      <c r="B4696">
        <v>20</v>
      </c>
      <c r="C4696">
        <v>0</v>
      </c>
      <c r="D4696">
        <v>0</v>
      </c>
      <c r="E4696">
        <v>3</v>
      </c>
      <c r="F4696">
        <v>21</v>
      </c>
      <c r="G4696">
        <v>152</v>
      </c>
      <c r="H4696">
        <v>0</v>
      </c>
    </row>
    <row r="4697" spans="1:8" x14ac:dyDescent="0.25">
      <c r="A4697">
        <v>19691516</v>
      </c>
      <c r="B4697">
        <v>74</v>
      </c>
      <c r="C4697">
        <v>0</v>
      </c>
      <c r="D4697">
        <v>3</v>
      </c>
      <c r="E4697">
        <v>7</v>
      </c>
      <c r="F4697">
        <v>20</v>
      </c>
      <c r="G4697">
        <v>23</v>
      </c>
      <c r="H4697">
        <v>35.24</v>
      </c>
    </row>
    <row r="4698" spans="1:8" x14ac:dyDescent="0.25">
      <c r="A4698">
        <v>19691517</v>
      </c>
      <c r="B4698">
        <v>32</v>
      </c>
      <c r="C4698">
        <v>0</v>
      </c>
      <c r="D4698">
        <v>2</v>
      </c>
      <c r="E4698">
        <v>7</v>
      </c>
      <c r="F4698">
        <v>37</v>
      </c>
      <c r="G4698">
        <v>42</v>
      </c>
      <c r="H4698">
        <v>214.99</v>
      </c>
    </row>
    <row r="4699" spans="1:8" x14ac:dyDescent="0.25">
      <c r="A4699">
        <v>19691518</v>
      </c>
      <c r="B4699">
        <v>88</v>
      </c>
      <c r="C4699">
        <v>0</v>
      </c>
      <c r="D4699">
        <v>2</v>
      </c>
      <c r="E4699">
        <v>11</v>
      </c>
      <c r="F4699">
        <v>39</v>
      </c>
      <c r="G4699">
        <v>53</v>
      </c>
      <c r="H4699">
        <v>190.435</v>
      </c>
    </row>
    <row r="4700" spans="1:8" x14ac:dyDescent="0.25">
      <c r="A4700">
        <v>19691519</v>
      </c>
      <c r="B4700">
        <v>22</v>
      </c>
      <c r="C4700">
        <v>0</v>
      </c>
      <c r="D4700">
        <v>0</v>
      </c>
      <c r="E4700">
        <v>2</v>
      </c>
      <c r="F4700">
        <v>21</v>
      </c>
      <c r="G4700">
        <v>30</v>
      </c>
      <c r="H4700">
        <v>0</v>
      </c>
    </row>
    <row r="4701" spans="1:8" x14ac:dyDescent="0.25">
      <c r="A4701">
        <v>19691520</v>
      </c>
      <c r="B4701">
        <v>122</v>
      </c>
      <c r="C4701">
        <v>0</v>
      </c>
      <c r="D4701">
        <v>2</v>
      </c>
      <c r="E4701">
        <v>3</v>
      </c>
      <c r="F4701">
        <v>27</v>
      </c>
      <c r="G4701">
        <v>27</v>
      </c>
      <c r="H4701">
        <v>159.99</v>
      </c>
    </row>
    <row r="4702" spans="1:8" x14ac:dyDescent="0.25">
      <c r="A4702">
        <v>19691531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1</v>
      </c>
      <c r="H4702">
        <v>0</v>
      </c>
    </row>
    <row r="4703" spans="1:8" x14ac:dyDescent="0.25">
      <c r="A4703">
        <v>19691532</v>
      </c>
      <c r="B4703">
        <v>0</v>
      </c>
      <c r="C4703">
        <v>0</v>
      </c>
      <c r="D4703">
        <v>1</v>
      </c>
      <c r="E4703">
        <v>1</v>
      </c>
      <c r="F4703">
        <v>3</v>
      </c>
      <c r="G4703">
        <v>5</v>
      </c>
      <c r="H4703">
        <v>2099</v>
      </c>
    </row>
    <row r="4704" spans="1:8" x14ac:dyDescent="0.25">
      <c r="A4704">
        <v>19691533</v>
      </c>
      <c r="B4704">
        <v>-1</v>
      </c>
      <c r="C4704">
        <v>0</v>
      </c>
      <c r="D4704">
        <v>1</v>
      </c>
      <c r="E4704">
        <v>1</v>
      </c>
      <c r="F4704">
        <v>2</v>
      </c>
      <c r="G4704">
        <v>2</v>
      </c>
      <c r="H4704">
        <v>1499</v>
      </c>
    </row>
    <row r="4705" spans="1:8" x14ac:dyDescent="0.25">
      <c r="A4705">
        <v>19691534</v>
      </c>
      <c r="B4705">
        <v>0</v>
      </c>
      <c r="C4705">
        <v>0</v>
      </c>
      <c r="D4705">
        <v>1</v>
      </c>
      <c r="E4705">
        <v>0</v>
      </c>
      <c r="F4705">
        <v>5</v>
      </c>
      <c r="G4705">
        <v>9</v>
      </c>
      <c r="H4705">
        <v>1124.98</v>
      </c>
    </row>
    <row r="4706" spans="1:8" x14ac:dyDescent="0.25">
      <c r="A4706">
        <v>19691537</v>
      </c>
      <c r="B4706">
        <v>0</v>
      </c>
      <c r="C4706">
        <v>0</v>
      </c>
      <c r="D4706">
        <v>0</v>
      </c>
      <c r="E4706">
        <v>0</v>
      </c>
      <c r="F4706">
        <v>2</v>
      </c>
      <c r="G4706">
        <v>5</v>
      </c>
      <c r="H4706">
        <v>0</v>
      </c>
    </row>
    <row r="4707" spans="1:8" x14ac:dyDescent="0.25">
      <c r="A4707">
        <v>19691538</v>
      </c>
      <c r="B4707">
        <v>0</v>
      </c>
      <c r="C4707">
        <v>0</v>
      </c>
      <c r="D4707">
        <v>2</v>
      </c>
      <c r="E4707">
        <v>5</v>
      </c>
      <c r="F4707">
        <v>5</v>
      </c>
      <c r="G4707">
        <v>10</v>
      </c>
      <c r="H4707">
        <v>1699</v>
      </c>
    </row>
    <row r="4708" spans="1:8" x14ac:dyDescent="0.25">
      <c r="A4708">
        <v>19691539</v>
      </c>
      <c r="B4708">
        <v>1</v>
      </c>
      <c r="C4708">
        <v>0</v>
      </c>
      <c r="D4708">
        <v>0</v>
      </c>
      <c r="E4708">
        <v>0</v>
      </c>
      <c r="F4708">
        <v>1</v>
      </c>
      <c r="G4708">
        <v>7</v>
      </c>
      <c r="H4708">
        <v>0</v>
      </c>
    </row>
    <row r="4709" spans="1:8" x14ac:dyDescent="0.25">
      <c r="A4709">
        <v>19691540</v>
      </c>
      <c r="B4709">
        <v>0</v>
      </c>
      <c r="C4709">
        <v>0</v>
      </c>
      <c r="D4709">
        <v>0</v>
      </c>
      <c r="E4709">
        <v>0</v>
      </c>
      <c r="F4709">
        <v>2</v>
      </c>
      <c r="G4709">
        <v>6</v>
      </c>
      <c r="H4709">
        <v>0</v>
      </c>
    </row>
    <row r="4710" spans="1:8" x14ac:dyDescent="0.25">
      <c r="A4710">
        <v>19691541</v>
      </c>
      <c r="B4710">
        <v>48</v>
      </c>
      <c r="C4710">
        <v>3</v>
      </c>
      <c r="D4710">
        <v>5</v>
      </c>
      <c r="E4710">
        <v>10</v>
      </c>
      <c r="F4710">
        <v>49</v>
      </c>
      <c r="G4710">
        <v>120</v>
      </c>
      <c r="H4710">
        <v>1235.7619999999999</v>
      </c>
    </row>
    <row r="4711" spans="1:8" x14ac:dyDescent="0.25">
      <c r="A4711">
        <v>19691542</v>
      </c>
      <c r="B4711">
        <v>79</v>
      </c>
      <c r="C4711">
        <v>7</v>
      </c>
      <c r="D4711">
        <v>6</v>
      </c>
      <c r="E4711">
        <v>24</v>
      </c>
      <c r="F4711">
        <v>102</v>
      </c>
      <c r="G4711">
        <v>267</v>
      </c>
      <c r="H4711">
        <v>1172.375</v>
      </c>
    </row>
    <row r="4712" spans="1:8" x14ac:dyDescent="0.25">
      <c r="A4712">
        <v>19691543</v>
      </c>
      <c r="B4712">
        <v>1</v>
      </c>
      <c r="C4712">
        <v>0</v>
      </c>
      <c r="D4712">
        <v>0</v>
      </c>
      <c r="E4712">
        <v>0</v>
      </c>
      <c r="F4712">
        <v>0</v>
      </c>
      <c r="G4712">
        <v>0</v>
      </c>
      <c r="H4712">
        <v>0</v>
      </c>
    </row>
    <row r="4713" spans="1:8" x14ac:dyDescent="0.25">
      <c r="A4713">
        <v>19691544</v>
      </c>
      <c r="B4713">
        <v>0</v>
      </c>
      <c r="C4713">
        <v>0</v>
      </c>
      <c r="D4713">
        <v>0</v>
      </c>
      <c r="E4713">
        <v>1</v>
      </c>
      <c r="F4713">
        <v>1</v>
      </c>
      <c r="G4713">
        <v>3</v>
      </c>
      <c r="H4713">
        <v>0</v>
      </c>
    </row>
    <row r="4714" spans="1:8" x14ac:dyDescent="0.25">
      <c r="A4714">
        <v>19691545</v>
      </c>
      <c r="B4714">
        <v>42</v>
      </c>
      <c r="C4714">
        <v>0</v>
      </c>
      <c r="D4714">
        <v>3</v>
      </c>
      <c r="E4714">
        <v>9</v>
      </c>
      <c r="F4714">
        <v>40</v>
      </c>
      <c r="G4714">
        <v>113</v>
      </c>
      <c r="H4714">
        <v>1399</v>
      </c>
    </row>
    <row r="4715" spans="1:8" x14ac:dyDescent="0.25">
      <c r="A4715">
        <v>19691546</v>
      </c>
      <c r="B4715">
        <v>51</v>
      </c>
      <c r="C4715">
        <v>4</v>
      </c>
      <c r="D4715">
        <v>6</v>
      </c>
      <c r="E4715">
        <v>17</v>
      </c>
      <c r="F4715">
        <v>77</v>
      </c>
      <c r="G4715">
        <v>195</v>
      </c>
      <c r="H4715">
        <v>1407.5550000000001</v>
      </c>
    </row>
    <row r="4716" spans="1:8" x14ac:dyDescent="0.25">
      <c r="A4716">
        <v>19691547</v>
      </c>
      <c r="B4716">
        <v>1</v>
      </c>
      <c r="C4716">
        <v>0</v>
      </c>
      <c r="D4716">
        <v>0</v>
      </c>
      <c r="E4716">
        <v>1</v>
      </c>
      <c r="F4716">
        <v>5</v>
      </c>
      <c r="G4716">
        <v>10</v>
      </c>
      <c r="H4716">
        <v>0</v>
      </c>
    </row>
    <row r="4717" spans="1:8" x14ac:dyDescent="0.25">
      <c r="A4717">
        <v>19691552</v>
      </c>
      <c r="B4717">
        <v>1</v>
      </c>
      <c r="C4717">
        <v>0</v>
      </c>
      <c r="D4717">
        <v>0</v>
      </c>
      <c r="E4717">
        <v>0</v>
      </c>
      <c r="F4717">
        <v>0</v>
      </c>
      <c r="G4717">
        <v>0</v>
      </c>
      <c r="H4717">
        <v>0</v>
      </c>
    </row>
    <row r="4718" spans="1:8" x14ac:dyDescent="0.25">
      <c r="A4718">
        <v>19691553</v>
      </c>
      <c r="B4718">
        <v>54</v>
      </c>
      <c r="C4718">
        <v>0</v>
      </c>
      <c r="D4718">
        <v>4</v>
      </c>
      <c r="E4718">
        <v>10</v>
      </c>
      <c r="F4718">
        <v>46</v>
      </c>
      <c r="G4718">
        <v>112</v>
      </c>
      <c r="H4718">
        <v>899</v>
      </c>
    </row>
    <row r="4719" spans="1:8" x14ac:dyDescent="0.25">
      <c r="A4719">
        <v>19691554</v>
      </c>
      <c r="B4719">
        <v>94</v>
      </c>
      <c r="C4719">
        <v>10</v>
      </c>
      <c r="D4719">
        <v>9</v>
      </c>
      <c r="E4719">
        <v>30</v>
      </c>
      <c r="F4719">
        <v>129</v>
      </c>
      <c r="G4719">
        <v>273</v>
      </c>
      <c r="H4719">
        <v>924.55560000000003</v>
      </c>
    </row>
    <row r="4720" spans="1:8" x14ac:dyDescent="0.25">
      <c r="A4720">
        <v>19691557</v>
      </c>
      <c r="B4720">
        <v>35</v>
      </c>
      <c r="C4720">
        <v>1</v>
      </c>
      <c r="D4720">
        <v>4</v>
      </c>
      <c r="E4720">
        <v>13</v>
      </c>
      <c r="F4720">
        <v>27</v>
      </c>
      <c r="G4720">
        <v>74</v>
      </c>
      <c r="H4720">
        <v>1142.9349999999999</v>
      </c>
    </row>
    <row r="4721" spans="1:8" x14ac:dyDescent="0.25">
      <c r="A4721">
        <v>19691558</v>
      </c>
      <c r="B4721">
        <v>51</v>
      </c>
      <c r="C4721">
        <v>5</v>
      </c>
      <c r="D4721">
        <v>7</v>
      </c>
      <c r="E4721">
        <v>13</v>
      </c>
      <c r="F4721">
        <v>66</v>
      </c>
      <c r="G4721">
        <v>126</v>
      </c>
      <c r="H4721">
        <v>1095.7828999999999</v>
      </c>
    </row>
    <row r="4722" spans="1:8" x14ac:dyDescent="0.25">
      <c r="A4722">
        <v>19691567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1</v>
      </c>
      <c r="H4722">
        <v>0</v>
      </c>
    </row>
    <row r="4723" spans="1:8" x14ac:dyDescent="0.25">
      <c r="A4723">
        <v>19691574</v>
      </c>
      <c r="B4723">
        <v>1</v>
      </c>
      <c r="C4723">
        <v>0</v>
      </c>
      <c r="D4723">
        <v>0</v>
      </c>
      <c r="E4723">
        <v>1</v>
      </c>
      <c r="F4723">
        <v>1</v>
      </c>
      <c r="G4723">
        <v>1</v>
      </c>
      <c r="H4723">
        <v>0</v>
      </c>
    </row>
    <row r="4724" spans="1:8" x14ac:dyDescent="0.25">
      <c r="A4724">
        <v>19691576</v>
      </c>
      <c r="B4724">
        <v>-1</v>
      </c>
      <c r="C4724">
        <v>0</v>
      </c>
      <c r="D4724">
        <v>0</v>
      </c>
      <c r="E4724">
        <v>0</v>
      </c>
      <c r="F4724">
        <v>1</v>
      </c>
      <c r="G4724">
        <v>1</v>
      </c>
      <c r="H4724">
        <v>0</v>
      </c>
    </row>
    <row r="4725" spans="1:8" x14ac:dyDescent="0.25">
      <c r="A4725">
        <v>19691579</v>
      </c>
      <c r="B4725">
        <v>6</v>
      </c>
      <c r="C4725">
        <v>0</v>
      </c>
      <c r="D4725">
        <v>0</v>
      </c>
      <c r="E4725">
        <v>1</v>
      </c>
      <c r="F4725">
        <v>100</v>
      </c>
      <c r="G4725">
        <v>268</v>
      </c>
      <c r="H4725">
        <v>0</v>
      </c>
    </row>
    <row r="4726" spans="1:8" x14ac:dyDescent="0.25">
      <c r="A4726">
        <v>19691580</v>
      </c>
      <c r="B4726">
        <v>16</v>
      </c>
      <c r="C4726">
        <v>0</v>
      </c>
      <c r="D4726">
        <v>1</v>
      </c>
      <c r="E4726">
        <v>4</v>
      </c>
      <c r="F4726">
        <v>90</v>
      </c>
      <c r="G4726">
        <v>210</v>
      </c>
      <c r="H4726">
        <v>1259.0999999999999</v>
      </c>
    </row>
    <row r="4727" spans="1:8" x14ac:dyDescent="0.25">
      <c r="A4727">
        <v>19691581</v>
      </c>
      <c r="B4727">
        <v>86</v>
      </c>
      <c r="C4727">
        <v>20</v>
      </c>
      <c r="D4727">
        <v>25</v>
      </c>
      <c r="E4727">
        <v>42</v>
      </c>
      <c r="F4727">
        <v>136</v>
      </c>
      <c r="G4727">
        <v>335</v>
      </c>
      <c r="H4727">
        <v>1529.6324</v>
      </c>
    </row>
    <row r="4728" spans="1:8" x14ac:dyDescent="0.25">
      <c r="A4728">
        <v>19691582</v>
      </c>
      <c r="B4728">
        <v>1</v>
      </c>
      <c r="C4728">
        <v>1</v>
      </c>
      <c r="D4728">
        <v>3</v>
      </c>
      <c r="E4728">
        <v>3</v>
      </c>
      <c r="F4728">
        <v>5</v>
      </c>
      <c r="G4728">
        <v>17</v>
      </c>
      <c r="H4728">
        <v>1565.6667</v>
      </c>
    </row>
    <row r="4729" spans="1:8" x14ac:dyDescent="0.25">
      <c r="A4729">
        <v>19691583</v>
      </c>
      <c r="B4729">
        <v>16</v>
      </c>
      <c r="C4729">
        <v>19</v>
      </c>
      <c r="D4729">
        <v>7</v>
      </c>
      <c r="E4729">
        <v>18</v>
      </c>
      <c r="F4729">
        <v>83</v>
      </c>
      <c r="G4729">
        <v>123</v>
      </c>
      <c r="H4729">
        <v>1726.1729</v>
      </c>
    </row>
    <row r="4730" spans="1:8" x14ac:dyDescent="0.25">
      <c r="A4730">
        <v>19691584</v>
      </c>
      <c r="B4730">
        <v>1</v>
      </c>
      <c r="C4730">
        <v>0</v>
      </c>
      <c r="D4730">
        <v>0</v>
      </c>
      <c r="E4730">
        <v>0</v>
      </c>
      <c r="F4730">
        <v>9</v>
      </c>
      <c r="G4730">
        <v>17</v>
      </c>
      <c r="H4730">
        <v>0</v>
      </c>
    </row>
    <row r="4731" spans="1:8" x14ac:dyDescent="0.25">
      <c r="A4731">
        <v>19696294</v>
      </c>
      <c r="B4731">
        <v>12</v>
      </c>
      <c r="C4731">
        <v>0</v>
      </c>
      <c r="D4731">
        <v>1</v>
      </c>
      <c r="E4731">
        <v>2</v>
      </c>
      <c r="F4731">
        <v>8</v>
      </c>
      <c r="G4731">
        <v>13</v>
      </c>
      <c r="H4731">
        <v>165.34</v>
      </c>
    </row>
    <row r="4732" spans="1:8" x14ac:dyDescent="0.25">
      <c r="A4732">
        <v>19696295</v>
      </c>
      <c r="B4732">
        <v>6</v>
      </c>
      <c r="C4732">
        <v>0</v>
      </c>
      <c r="D4732">
        <v>0</v>
      </c>
      <c r="E4732">
        <v>0</v>
      </c>
      <c r="F4732">
        <v>0</v>
      </c>
      <c r="G4732">
        <v>0</v>
      </c>
      <c r="H4732">
        <v>0</v>
      </c>
    </row>
    <row r="4733" spans="1:8" x14ac:dyDescent="0.25">
      <c r="A4733">
        <v>19697391</v>
      </c>
      <c r="B4733">
        <v>44</v>
      </c>
      <c r="C4733">
        <v>0</v>
      </c>
      <c r="D4733">
        <v>1</v>
      </c>
      <c r="E4733">
        <v>7</v>
      </c>
      <c r="F4733">
        <v>7</v>
      </c>
      <c r="G4733">
        <v>7</v>
      </c>
      <c r="H4733">
        <v>346.49</v>
      </c>
    </row>
    <row r="4734" spans="1:8" x14ac:dyDescent="0.25">
      <c r="A4734">
        <v>19697443</v>
      </c>
      <c r="B4734">
        <v>13</v>
      </c>
      <c r="C4734">
        <v>5</v>
      </c>
      <c r="D4734">
        <v>4</v>
      </c>
      <c r="E4734">
        <v>10</v>
      </c>
      <c r="F4734">
        <v>45</v>
      </c>
      <c r="G4734">
        <v>95</v>
      </c>
      <c r="H4734">
        <v>659.99</v>
      </c>
    </row>
    <row r="4735" spans="1:8" x14ac:dyDescent="0.25">
      <c r="A4735">
        <v>19697444</v>
      </c>
      <c r="B4735">
        <v>13</v>
      </c>
      <c r="C4735">
        <v>4</v>
      </c>
      <c r="D4735">
        <v>2</v>
      </c>
      <c r="E4735">
        <v>12</v>
      </c>
      <c r="F4735">
        <v>22</v>
      </c>
      <c r="G4735">
        <v>35</v>
      </c>
      <c r="H4735">
        <v>569.99</v>
      </c>
    </row>
    <row r="4736" spans="1:8" x14ac:dyDescent="0.25">
      <c r="A4736">
        <v>19697445</v>
      </c>
      <c r="B4736">
        <v>27</v>
      </c>
      <c r="C4736">
        <v>10</v>
      </c>
      <c r="D4736">
        <v>3</v>
      </c>
      <c r="E4736">
        <v>18</v>
      </c>
      <c r="F4736">
        <v>46</v>
      </c>
      <c r="G4736">
        <v>81</v>
      </c>
      <c r="H4736">
        <v>179.99</v>
      </c>
    </row>
    <row r="4737" spans="1:8" x14ac:dyDescent="0.25">
      <c r="A4737">
        <v>19701553</v>
      </c>
      <c r="B4737">
        <v>237</v>
      </c>
      <c r="C4737">
        <v>0</v>
      </c>
      <c r="D4737">
        <v>0</v>
      </c>
      <c r="E4737">
        <v>3</v>
      </c>
      <c r="F4737">
        <v>18</v>
      </c>
      <c r="G4737">
        <v>63</v>
      </c>
      <c r="H4737">
        <v>0</v>
      </c>
    </row>
    <row r="4738" spans="1:8" x14ac:dyDescent="0.25">
      <c r="A4738">
        <v>19701554</v>
      </c>
      <c r="B4738">
        <v>18</v>
      </c>
      <c r="C4738">
        <v>0</v>
      </c>
      <c r="D4738">
        <v>2</v>
      </c>
      <c r="E4738">
        <v>4</v>
      </c>
      <c r="F4738">
        <v>15</v>
      </c>
      <c r="G4738">
        <v>103</v>
      </c>
      <c r="H4738">
        <v>39.99</v>
      </c>
    </row>
    <row r="4739" spans="1:8" x14ac:dyDescent="0.25">
      <c r="A4739">
        <v>19701555</v>
      </c>
      <c r="B4739">
        <v>139</v>
      </c>
      <c r="C4739">
        <v>0</v>
      </c>
      <c r="D4739">
        <v>4</v>
      </c>
      <c r="E4739">
        <v>12</v>
      </c>
      <c r="F4739">
        <v>76</v>
      </c>
      <c r="G4739">
        <v>261</v>
      </c>
      <c r="H4739">
        <v>38.465000000000003</v>
      </c>
    </row>
    <row r="4740" spans="1:8" x14ac:dyDescent="0.25">
      <c r="A4740">
        <v>19701556</v>
      </c>
      <c r="B4740">
        <v>72</v>
      </c>
      <c r="C4740">
        <v>0</v>
      </c>
      <c r="D4740">
        <v>0</v>
      </c>
      <c r="E4740">
        <v>3</v>
      </c>
      <c r="F4740">
        <v>13</v>
      </c>
      <c r="G4740">
        <v>48</v>
      </c>
      <c r="H4740">
        <v>0</v>
      </c>
    </row>
    <row r="4741" spans="1:8" x14ac:dyDescent="0.25">
      <c r="A4741">
        <v>19701557</v>
      </c>
      <c r="B4741">
        <v>-7</v>
      </c>
      <c r="C4741">
        <v>0</v>
      </c>
      <c r="D4741">
        <v>0</v>
      </c>
      <c r="E4741">
        <v>0</v>
      </c>
      <c r="F4741">
        <v>0</v>
      </c>
      <c r="G4741">
        <v>194</v>
      </c>
      <c r="H4741">
        <v>0</v>
      </c>
    </row>
    <row r="4742" spans="1:8" x14ac:dyDescent="0.25">
      <c r="A4742">
        <v>19703812</v>
      </c>
      <c r="B4742">
        <v>11</v>
      </c>
      <c r="C4742">
        <v>0</v>
      </c>
      <c r="D4742">
        <v>0</v>
      </c>
      <c r="E4742">
        <v>0</v>
      </c>
      <c r="F4742">
        <v>0</v>
      </c>
      <c r="G4742">
        <v>0</v>
      </c>
      <c r="H4742">
        <v>0</v>
      </c>
    </row>
    <row r="4743" spans="1:8" x14ac:dyDescent="0.25">
      <c r="A4743">
        <v>19706280</v>
      </c>
      <c r="B4743">
        <v>31</v>
      </c>
      <c r="C4743">
        <v>0</v>
      </c>
      <c r="D4743">
        <v>3</v>
      </c>
      <c r="E4743">
        <v>15</v>
      </c>
      <c r="F4743">
        <v>102</v>
      </c>
      <c r="G4743">
        <v>211</v>
      </c>
      <c r="H4743">
        <v>206.6567</v>
      </c>
    </row>
    <row r="4744" spans="1:8" x14ac:dyDescent="0.25">
      <c r="A4744">
        <v>19706661</v>
      </c>
      <c r="B4744">
        <v>7</v>
      </c>
      <c r="C4744">
        <v>0</v>
      </c>
      <c r="D4744">
        <v>2</v>
      </c>
      <c r="E4744">
        <v>2</v>
      </c>
      <c r="F4744">
        <v>9</v>
      </c>
      <c r="G4744">
        <v>14</v>
      </c>
      <c r="H4744">
        <v>479.99</v>
      </c>
    </row>
    <row r="4745" spans="1:8" x14ac:dyDescent="0.25">
      <c r="A4745">
        <v>19707311</v>
      </c>
      <c r="B4745">
        <v>1</v>
      </c>
      <c r="C4745">
        <v>0</v>
      </c>
      <c r="D4745">
        <v>0</v>
      </c>
      <c r="E4745">
        <v>0</v>
      </c>
      <c r="F4745">
        <v>0</v>
      </c>
      <c r="G4745">
        <v>0</v>
      </c>
      <c r="H4745">
        <v>0</v>
      </c>
    </row>
    <row r="4746" spans="1:8" x14ac:dyDescent="0.25">
      <c r="A4746">
        <v>19707314</v>
      </c>
      <c r="B4746">
        <v>236</v>
      </c>
      <c r="C4746">
        <v>0</v>
      </c>
      <c r="D4746">
        <v>34</v>
      </c>
      <c r="E4746">
        <v>126</v>
      </c>
      <c r="F4746">
        <v>830</v>
      </c>
      <c r="G4746">
        <v>1846</v>
      </c>
      <c r="H4746">
        <v>429.17970000000003</v>
      </c>
    </row>
    <row r="4747" spans="1:8" x14ac:dyDescent="0.25">
      <c r="A4747">
        <v>19707315</v>
      </c>
      <c r="B4747">
        <v>23</v>
      </c>
      <c r="C4747">
        <v>0</v>
      </c>
      <c r="D4747">
        <v>15</v>
      </c>
      <c r="E4747">
        <v>65</v>
      </c>
      <c r="F4747">
        <v>563</v>
      </c>
      <c r="G4747">
        <v>1357</v>
      </c>
      <c r="H4747">
        <v>379.15929999999997</v>
      </c>
    </row>
    <row r="4748" spans="1:8" x14ac:dyDescent="0.25">
      <c r="A4748">
        <v>19707962</v>
      </c>
      <c r="B4748">
        <v>17</v>
      </c>
      <c r="C4748">
        <v>15</v>
      </c>
      <c r="D4748">
        <v>4</v>
      </c>
      <c r="E4748">
        <v>22</v>
      </c>
      <c r="F4748">
        <v>69</v>
      </c>
      <c r="G4748">
        <v>118</v>
      </c>
      <c r="H4748">
        <v>39.99</v>
      </c>
    </row>
    <row r="4749" spans="1:8" x14ac:dyDescent="0.25">
      <c r="A4749">
        <v>19708455</v>
      </c>
      <c r="B4749">
        <v>77</v>
      </c>
      <c r="C4749">
        <v>16</v>
      </c>
      <c r="D4749">
        <v>10</v>
      </c>
      <c r="E4749">
        <v>26</v>
      </c>
      <c r="F4749">
        <v>73</v>
      </c>
      <c r="G4749">
        <v>111</v>
      </c>
      <c r="H4749">
        <v>115.81399999999999</v>
      </c>
    </row>
    <row r="4750" spans="1:8" x14ac:dyDescent="0.25">
      <c r="A4750">
        <v>19708456</v>
      </c>
      <c r="B4750">
        <v>35</v>
      </c>
      <c r="C4750">
        <v>4</v>
      </c>
      <c r="D4750">
        <v>2</v>
      </c>
      <c r="E4750">
        <v>7</v>
      </c>
      <c r="F4750">
        <v>47</v>
      </c>
      <c r="G4750">
        <v>51</v>
      </c>
      <c r="H4750">
        <v>118.31</v>
      </c>
    </row>
    <row r="4751" spans="1:8" x14ac:dyDescent="0.25">
      <c r="A4751">
        <v>19708457</v>
      </c>
      <c r="B4751">
        <v>61</v>
      </c>
      <c r="C4751">
        <v>8</v>
      </c>
      <c r="D4751">
        <v>2</v>
      </c>
      <c r="E4751">
        <v>13</v>
      </c>
      <c r="F4751">
        <v>44</v>
      </c>
      <c r="G4751">
        <v>57</v>
      </c>
      <c r="H4751">
        <v>127.84</v>
      </c>
    </row>
    <row r="4752" spans="1:8" x14ac:dyDescent="0.25">
      <c r="A4752">
        <v>19708458</v>
      </c>
      <c r="B4752">
        <v>24</v>
      </c>
      <c r="C4752">
        <v>4</v>
      </c>
      <c r="D4752">
        <v>1</v>
      </c>
      <c r="E4752">
        <v>3</v>
      </c>
      <c r="F4752">
        <v>4</v>
      </c>
      <c r="G4752">
        <v>4</v>
      </c>
      <c r="H4752">
        <v>111.98</v>
      </c>
    </row>
    <row r="4753" spans="1:8" x14ac:dyDescent="0.25">
      <c r="A4753">
        <v>19708655</v>
      </c>
      <c r="B4753">
        <v>478</v>
      </c>
      <c r="C4753">
        <v>0</v>
      </c>
      <c r="D4753">
        <v>7</v>
      </c>
      <c r="E4753">
        <v>7</v>
      </c>
      <c r="F4753">
        <v>7</v>
      </c>
      <c r="G4753">
        <v>7</v>
      </c>
      <c r="H4753">
        <v>7.99</v>
      </c>
    </row>
    <row r="4754" spans="1:8" x14ac:dyDescent="0.25">
      <c r="A4754">
        <v>19708656</v>
      </c>
      <c r="B4754">
        <v>412</v>
      </c>
      <c r="C4754">
        <v>0</v>
      </c>
      <c r="D4754">
        <v>11</v>
      </c>
      <c r="E4754">
        <v>13</v>
      </c>
      <c r="F4754">
        <v>13</v>
      </c>
      <c r="G4754">
        <v>13</v>
      </c>
      <c r="H4754">
        <v>9.99</v>
      </c>
    </row>
    <row r="4755" spans="1:8" x14ac:dyDescent="0.25">
      <c r="A4755">
        <v>19708657</v>
      </c>
      <c r="B4755">
        <v>319</v>
      </c>
      <c r="C4755">
        <v>0</v>
      </c>
      <c r="D4755">
        <v>4</v>
      </c>
      <c r="E4755">
        <v>6</v>
      </c>
      <c r="F4755">
        <v>6</v>
      </c>
      <c r="G4755">
        <v>6</v>
      </c>
      <c r="H4755">
        <v>17.8</v>
      </c>
    </row>
    <row r="4756" spans="1:8" x14ac:dyDescent="0.25">
      <c r="A4756">
        <v>19716740</v>
      </c>
      <c r="B4756">
        <v>9</v>
      </c>
      <c r="C4756">
        <v>0</v>
      </c>
      <c r="D4756">
        <v>0</v>
      </c>
      <c r="E4756">
        <v>0</v>
      </c>
      <c r="F4756">
        <v>2</v>
      </c>
      <c r="G4756">
        <v>51</v>
      </c>
      <c r="H4756">
        <v>0</v>
      </c>
    </row>
    <row r="4757" spans="1:8" x14ac:dyDescent="0.25">
      <c r="A4757">
        <v>19716741</v>
      </c>
      <c r="B4757">
        <v>19</v>
      </c>
      <c r="C4757">
        <v>0</v>
      </c>
      <c r="D4757">
        <v>0</v>
      </c>
      <c r="E4757">
        <v>0</v>
      </c>
      <c r="F4757">
        <v>9</v>
      </c>
      <c r="G4757">
        <v>41</v>
      </c>
      <c r="H4757">
        <v>0</v>
      </c>
    </row>
    <row r="4758" spans="1:8" x14ac:dyDescent="0.25">
      <c r="A4758">
        <v>19716742</v>
      </c>
      <c r="B4758">
        <v>11</v>
      </c>
      <c r="C4758">
        <v>0</v>
      </c>
      <c r="D4758">
        <v>3</v>
      </c>
      <c r="E4758">
        <v>3</v>
      </c>
      <c r="F4758">
        <v>9</v>
      </c>
      <c r="G4758">
        <v>49</v>
      </c>
      <c r="H4758">
        <v>197.99</v>
      </c>
    </row>
    <row r="4759" spans="1:8" x14ac:dyDescent="0.25">
      <c r="A4759">
        <v>19716743</v>
      </c>
      <c r="B4759">
        <v>10</v>
      </c>
      <c r="C4759">
        <v>0</v>
      </c>
      <c r="D4759">
        <v>0</v>
      </c>
      <c r="E4759">
        <v>0</v>
      </c>
      <c r="F4759">
        <v>6</v>
      </c>
      <c r="G4759">
        <v>50</v>
      </c>
      <c r="H4759">
        <v>0</v>
      </c>
    </row>
    <row r="4760" spans="1:8" x14ac:dyDescent="0.25">
      <c r="A4760">
        <v>19716744</v>
      </c>
      <c r="B4760">
        <v>19</v>
      </c>
      <c r="C4760">
        <v>0</v>
      </c>
      <c r="D4760">
        <v>0</v>
      </c>
      <c r="E4760">
        <v>0</v>
      </c>
      <c r="F4760">
        <v>8</v>
      </c>
      <c r="G4760">
        <v>40</v>
      </c>
      <c r="H4760">
        <v>0</v>
      </c>
    </row>
    <row r="4761" spans="1:8" x14ac:dyDescent="0.25">
      <c r="A4761">
        <v>19716745</v>
      </c>
      <c r="B4761">
        <v>17</v>
      </c>
      <c r="C4761">
        <v>0</v>
      </c>
      <c r="D4761">
        <v>0</v>
      </c>
      <c r="E4761">
        <v>0</v>
      </c>
      <c r="F4761">
        <v>11</v>
      </c>
      <c r="G4761">
        <v>42</v>
      </c>
      <c r="H4761">
        <v>0</v>
      </c>
    </row>
    <row r="4762" spans="1:8" x14ac:dyDescent="0.25">
      <c r="A4762">
        <v>19716746</v>
      </c>
      <c r="B4762">
        <v>3</v>
      </c>
      <c r="C4762">
        <v>0</v>
      </c>
      <c r="D4762">
        <v>0</v>
      </c>
      <c r="E4762">
        <v>0</v>
      </c>
      <c r="F4762">
        <v>8</v>
      </c>
      <c r="G4762">
        <v>72</v>
      </c>
      <c r="H4762">
        <v>0</v>
      </c>
    </row>
    <row r="4763" spans="1:8" x14ac:dyDescent="0.25">
      <c r="A4763">
        <v>19716747</v>
      </c>
      <c r="B4763">
        <v>25</v>
      </c>
      <c r="C4763">
        <v>0</v>
      </c>
      <c r="D4763">
        <v>3</v>
      </c>
      <c r="E4763">
        <v>6</v>
      </c>
      <c r="F4763">
        <v>14</v>
      </c>
      <c r="G4763">
        <v>50</v>
      </c>
      <c r="H4763">
        <v>42.973300000000002</v>
      </c>
    </row>
    <row r="4764" spans="1:8" x14ac:dyDescent="0.25">
      <c r="A4764">
        <v>19716748</v>
      </c>
      <c r="B4764">
        <v>48</v>
      </c>
      <c r="C4764">
        <v>0</v>
      </c>
      <c r="D4764">
        <v>0</v>
      </c>
      <c r="E4764">
        <v>1</v>
      </c>
      <c r="F4764">
        <v>7</v>
      </c>
      <c r="G4764">
        <v>26</v>
      </c>
      <c r="H4764">
        <v>0</v>
      </c>
    </row>
    <row r="4765" spans="1:8" x14ac:dyDescent="0.25">
      <c r="A4765">
        <v>19716749</v>
      </c>
      <c r="B4765">
        <v>40</v>
      </c>
      <c r="C4765">
        <v>0</v>
      </c>
      <c r="D4765">
        <v>1</v>
      </c>
      <c r="E4765">
        <v>3</v>
      </c>
      <c r="F4765">
        <v>6</v>
      </c>
      <c r="G4765">
        <v>34</v>
      </c>
      <c r="H4765">
        <v>38.99</v>
      </c>
    </row>
    <row r="4766" spans="1:8" x14ac:dyDescent="0.25">
      <c r="A4766">
        <v>19716750</v>
      </c>
      <c r="B4766">
        <v>17</v>
      </c>
      <c r="C4766">
        <v>0</v>
      </c>
      <c r="D4766">
        <v>0</v>
      </c>
      <c r="E4766">
        <v>2</v>
      </c>
      <c r="F4766">
        <v>16</v>
      </c>
      <c r="G4766">
        <v>58</v>
      </c>
      <c r="H4766">
        <v>0</v>
      </c>
    </row>
    <row r="4767" spans="1:8" x14ac:dyDescent="0.25">
      <c r="A4767">
        <v>19716751</v>
      </c>
      <c r="B4767">
        <v>48</v>
      </c>
      <c r="C4767">
        <v>0</v>
      </c>
      <c r="D4767">
        <v>1</v>
      </c>
      <c r="E4767">
        <v>3</v>
      </c>
      <c r="F4767">
        <v>8</v>
      </c>
      <c r="G4767">
        <v>27</v>
      </c>
      <c r="H4767">
        <v>28.99</v>
      </c>
    </row>
    <row r="4768" spans="1:8" x14ac:dyDescent="0.25">
      <c r="A4768">
        <v>19716752</v>
      </c>
      <c r="B4768">
        <v>22</v>
      </c>
      <c r="C4768">
        <v>0</v>
      </c>
      <c r="D4768">
        <v>0</v>
      </c>
      <c r="E4768">
        <v>1</v>
      </c>
      <c r="F4768">
        <v>7</v>
      </c>
      <c r="G4768">
        <v>53</v>
      </c>
      <c r="H4768">
        <v>0</v>
      </c>
    </row>
    <row r="4769" spans="1:8" x14ac:dyDescent="0.25">
      <c r="A4769">
        <v>19716753</v>
      </c>
      <c r="B4769">
        <v>39</v>
      </c>
      <c r="C4769">
        <v>0</v>
      </c>
      <c r="D4769">
        <v>1</v>
      </c>
      <c r="E4769">
        <v>2</v>
      </c>
      <c r="F4769">
        <v>15</v>
      </c>
      <c r="G4769">
        <v>36</v>
      </c>
      <c r="H4769">
        <v>36.29</v>
      </c>
    </row>
    <row r="4770" spans="1:8" x14ac:dyDescent="0.25">
      <c r="A4770">
        <v>19716762</v>
      </c>
      <c r="B4770">
        <v>10</v>
      </c>
      <c r="C4770">
        <v>0</v>
      </c>
      <c r="D4770">
        <v>0</v>
      </c>
      <c r="E4770">
        <v>0</v>
      </c>
      <c r="F4770">
        <v>0</v>
      </c>
      <c r="G4770">
        <v>0</v>
      </c>
      <c r="H4770">
        <v>0</v>
      </c>
    </row>
    <row r="4771" spans="1:8" x14ac:dyDescent="0.25">
      <c r="A4771">
        <v>19717433</v>
      </c>
      <c r="B4771">
        <v>147</v>
      </c>
      <c r="C4771">
        <v>12</v>
      </c>
      <c r="D4771">
        <v>8</v>
      </c>
      <c r="E4771">
        <v>46</v>
      </c>
      <c r="F4771">
        <v>118</v>
      </c>
      <c r="G4771">
        <v>118</v>
      </c>
      <c r="H4771">
        <v>29.99</v>
      </c>
    </row>
    <row r="4772" spans="1:8" x14ac:dyDescent="0.25">
      <c r="A4772">
        <v>19717437</v>
      </c>
      <c r="B4772">
        <v>24</v>
      </c>
      <c r="C4772">
        <v>204</v>
      </c>
      <c r="D4772">
        <v>0</v>
      </c>
      <c r="E4772">
        <v>0</v>
      </c>
      <c r="F4772">
        <v>0</v>
      </c>
      <c r="G4772">
        <v>0</v>
      </c>
      <c r="H4772">
        <v>0</v>
      </c>
    </row>
    <row r="4773" spans="1:8" x14ac:dyDescent="0.25">
      <c r="A4773">
        <v>19717442</v>
      </c>
      <c r="B4773">
        <v>142</v>
      </c>
      <c r="C4773">
        <v>18</v>
      </c>
      <c r="D4773">
        <v>12</v>
      </c>
      <c r="E4773">
        <v>40</v>
      </c>
      <c r="F4773">
        <v>126</v>
      </c>
      <c r="G4773">
        <v>126</v>
      </c>
      <c r="H4773">
        <v>64.989999999999995</v>
      </c>
    </row>
    <row r="4774" spans="1:8" x14ac:dyDescent="0.25">
      <c r="A4774">
        <v>19717595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1</v>
      </c>
      <c r="H4774">
        <v>0</v>
      </c>
    </row>
    <row r="4775" spans="1:8" x14ac:dyDescent="0.25">
      <c r="A4775">
        <v>19717596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1</v>
      </c>
      <c r="H4775">
        <v>0</v>
      </c>
    </row>
    <row r="4776" spans="1:8" x14ac:dyDescent="0.25">
      <c r="A4776">
        <v>19718270</v>
      </c>
      <c r="B4776">
        <v>0</v>
      </c>
      <c r="C4776">
        <v>0</v>
      </c>
      <c r="D4776">
        <v>0</v>
      </c>
      <c r="E4776">
        <v>1</v>
      </c>
      <c r="F4776">
        <v>1</v>
      </c>
      <c r="G4776">
        <v>1</v>
      </c>
      <c r="H4776">
        <v>0</v>
      </c>
    </row>
    <row r="4777" spans="1:8" x14ac:dyDescent="0.25">
      <c r="A4777">
        <v>19728660</v>
      </c>
      <c r="B4777">
        <v>152</v>
      </c>
      <c r="C4777">
        <v>0</v>
      </c>
      <c r="D4777">
        <v>1</v>
      </c>
      <c r="E4777">
        <v>6</v>
      </c>
      <c r="F4777">
        <v>25</v>
      </c>
      <c r="G4777">
        <v>26</v>
      </c>
      <c r="H4777">
        <v>54.99</v>
      </c>
    </row>
    <row r="4778" spans="1:8" x14ac:dyDescent="0.25">
      <c r="A4778">
        <v>19732838</v>
      </c>
      <c r="B4778">
        <v>52</v>
      </c>
      <c r="C4778">
        <v>0</v>
      </c>
      <c r="D4778">
        <v>19</v>
      </c>
      <c r="E4778">
        <v>70</v>
      </c>
      <c r="F4778">
        <v>137</v>
      </c>
      <c r="G4778">
        <v>264</v>
      </c>
      <c r="H4778">
        <v>66.272599999999997</v>
      </c>
    </row>
    <row r="4779" spans="1:8" x14ac:dyDescent="0.25">
      <c r="A4779">
        <v>19738290</v>
      </c>
      <c r="B4779">
        <v>896</v>
      </c>
      <c r="C4779">
        <v>24</v>
      </c>
      <c r="D4779">
        <v>44</v>
      </c>
      <c r="E4779">
        <v>145</v>
      </c>
      <c r="F4779">
        <v>343</v>
      </c>
      <c r="G4779">
        <v>343</v>
      </c>
      <c r="H4779">
        <v>34.307000000000002</v>
      </c>
    </row>
    <row r="4780" spans="1:8" x14ac:dyDescent="0.25">
      <c r="A4780">
        <v>19742248</v>
      </c>
      <c r="B4780">
        <v>17</v>
      </c>
      <c r="C4780">
        <v>0</v>
      </c>
      <c r="D4780">
        <v>-1</v>
      </c>
      <c r="E4780">
        <v>7</v>
      </c>
      <c r="F4780">
        <v>104</v>
      </c>
      <c r="G4780">
        <v>231</v>
      </c>
      <c r="H4780">
        <v>1160.53</v>
      </c>
    </row>
    <row r="4781" spans="1:8" x14ac:dyDescent="0.25">
      <c r="A4781">
        <v>19752891</v>
      </c>
      <c r="B4781">
        <v>230</v>
      </c>
      <c r="C4781">
        <v>72</v>
      </c>
      <c r="D4781">
        <v>32</v>
      </c>
      <c r="E4781">
        <v>118</v>
      </c>
      <c r="F4781">
        <v>354</v>
      </c>
      <c r="G4781">
        <v>529</v>
      </c>
      <c r="H4781">
        <v>48.558100000000003</v>
      </c>
    </row>
    <row r="4782" spans="1:8" x14ac:dyDescent="0.25">
      <c r="A4782">
        <v>19763932</v>
      </c>
      <c r="B4782">
        <v>31</v>
      </c>
      <c r="C4782">
        <v>6</v>
      </c>
      <c r="D4782">
        <v>1</v>
      </c>
      <c r="E4782">
        <v>12</v>
      </c>
      <c r="F4782">
        <v>28</v>
      </c>
      <c r="G4782">
        <v>32</v>
      </c>
      <c r="H4782">
        <v>349.99</v>
      </c>
    </row>
    <row r="4783" spans="1:8" x14ac:dyDescent="0.25">
      <c r="A4783">
        <v>19763973</v>
      </c>
      <c r="B4783">
        <v>178</v>
      </c>
      <c r="C4783">
        <v>24</v>
      </c>
      <c r="D4783">
        <v>17</v>
      </c>
      <c r="E4783">
        <v>50</v>
      </c>
      <c r="F4783">
        <v>176</v>
      </c>
      <c r="G4783">
        <v>241</v>
      </c>
      <c r="H4783">
        <v>19.3841</v>
      </c>
    </row>
    <row r="4784" spans="1:8" x14ac:dyDescent="0.25">
      <c r="A4784">
        <v>19764203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1</v>
      </c>
      <c r="H4784">
        <v>0</v>
      </c>
    </row>
    <row r="4785" spans="1:8" x14ac:dyDescent="0.25">
      <c r="A4785">
        <v>19764204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1</v>
      </c>
      <c r="H4785">
        <v>0</v>
      </c>
    </row>
    <row r="4786" spans="1:8" x14ac:dyDescent="0.25">
      <c r="A4786">
        <v>19764205</v>
      </c>
      <c r="B4786">
        <v>15</v>
      </c>
      <c r="C4786">
        <v>0</v>
      </c>
      <c r="D4786">
        <v>0</v>
      </c>
      <c r="E4786">
        <v>0</v>
      </c>
      <c r="F4786">
        <v>0</v>
      </c>
      <c r="G4786">
        <v>0</v>
      </c>
      <c r="H4786">
        <v>0</v>
      </c>
    </row>
    <row r="4787" spans="1:8" x14ac:dyDescent="0.25">
      <c r="A4787">
        <v>19768569</v>
      </c>
      <c r="B4787">
        <v>202</v>
      </c>
      <c r="C4787">
        <v>0</v>
      </c>
      <c r="D4787">
        <v>10</v>
      </c>
      <c r="E4787">
        <v>60</v>
      </c>
      <c r="F4787">
        <v>217</v>
      </c>
      <c r="G4787">
        <v>309</v>
      </c>
      <c r="H4787">
        <v>67.989999999999995</v>
      </c>
    </row>
    <row r="4788" spans="1:8" x14ac:dyDescent="0.25">
      <c r="A4788">
        <v>19768570</v>
      </c>
      <c r="B4788">
        <v>448</v>
      </c>
      <c r="C4788">
        <v>16</v>
      </c>
      <c r="D4788">
        <v>78</v>
      </c>
      <c r="E4788">
        <v>266</v>
      </c>
      <c r="F4788">
        <v>2124</v>
      </c>
      <c r="G4788">
        <v>2124</v>
      </c>
      <c r="H4788">
        <v>58.159700000000001</v>
      </c>
    </row>
    <row r="4789" spans="1:8" x14ac:dyDescent="0.25">
      <c r="A4789">
        <v>19769843</v>
      </c>
      <c r="B4789">
        <v>111</v>
      </c>
      <c r="C4789">
        <v>252</v>
      </c>
      <c r="D4789">
        <v>14</v>
      </c>
      <c r="E4789">
        <v>86</v>
      </c>
      <c r="F4789">
        <v>86</v>
      </c>
      <c r="G4789">
        <v>86</v>
      </c>
      <c r="H4789">
        <v>570.9479</v>
      </c>
    </row>
    <row r="4790" spans="1:8" x14ac:dyDescent="0.25">
      <c r="A4790">
        <v>19769844</v>
      </c>
      <c r="B4790">
        <v>177</v>
      </c>
      <c r="C4790">
        <v>300</v>
      </c>
      <c r="D4790">
        <v>23</v>
      </c>
      <c r="E4790">
        <v>95</v>
      </c>
      <c r="F4790">
        <v>112</v>
      </c>
      <c r="G4790">
        <v>112</v>
      </c>
      <c r="H4790">
        <v>520.64520000000005</v>
      </c>
    </row>
    <row r="4791" spans="1:8" x14ac:dyDescent="0.25">
      <c r="A4791">
        <v>19776234</v>
      </c>
      <c r="B4791">
        <v>112</v>
      </c>
      <c r="C4791">
        <v>160</v>
      </c>
      <c r="D4791">
        <v>13</v>
      </c>
      <c r="E4791">
        <v>40</v>
      </c>
      <c r="F4791">
        <v>40</v>
      </c>
      <c r="G4791">
        <v>40</v>
      </c>
      <c r="H4791">
        <v>72.627700000000004</v>
      </c>
    </row>
    <row r="4792" spans="1:8" x14ac:dyDescent="0.25">
      <c r="A4792">
        <v>19776235</v>
      </c>
      <c r="B4792">
        <v>274</v>
      </c>
      <c r="C4792">
        <v>200</v>
      </c>
      <c r="D4792">
        <v>37</v>
      </c>
      <c r="E4792">
        <v>185</v>
      </c>
      <c r="F4792">
        <v>315</v>
      </c>
      <c r="G4792">
        <v>315</v>
      </c>
      <c r="H4792">
        <v>74.232399999999998</v>
      </c>
    </row>
    <row r="4793" spans="1:8" x14ac:dyDescent="0.25">
      <c r="A4793">
        <v>19776236</v>
      </c>
      <c r="B4793">
        <v>172</v>
      </c>
      <c r="C4793">
        <v>12</v>
      </c>
      <c r="D4793">
        <v>20</v>
      </c>
      <c r="E4793">
        <v>74</v>
      </c>
      <c r="F4793">
        <v>160</v>
      </c>
      <c r="G4793">
        <v>160</v>
      </c>
      <c r="H4793">
        <v>71.201999999999998</v>
      </c>
    </row>
    <row r="4794" spans="1:8" x14ac:dyDescent="0.25">
      <c r="A4794">
        <v>19776237</v>
      </c>
      <c r="B4794">
        <v>60</v>
      </c>
      <c r="C4794">
        <v>140</v>
      </c>
      <c r="D4794">
        <v>11</v>
      </c>
      <c r="E4794">
        <v>36</v>
      </c>
      <c r="F4794">
        <v>55</v>
      </c>
      <c r="G4794">
        <v>55</v>
      </c>
      <c r="H4794">
        <v>73.627300000000005</v>
      </c>
    </row>
    <row r="4795" spans="1:8" x14ac:dyDescent="0.25">
      <c r="A4795">
        <v>19776239</v>
      </c>
      <c r="B4795">
        <v>259</v>
      </c>
      <c r="C4795">
        <v>200</v>
      </c>
      <c r="D4795">
        <v>29</v>
      </c>
      <c r="E4795">
        <v>95</v>
      </c>
      <c r="F4795">
        <v>141</v>
      </c>
      <c r="G4795">
        <v>141</v>
      </c>
      <c r="H4795">
        <v>74.094499999999996</v>
      </c>
    </row>
    <row r="4796" spans="1:8" x14ac:dyDescent="0.25">
      <c r="A4796">
        <v>19776240</v>
      </c>
      <c r="B4796">
        <v>73</v>
      </c>
      <c r="C4796">
        <v>60</v>
      </c>
      <c r="D4796">
        <v>16</v>
      </c>
      <c r="E4796">
        <v>91</v>
      </c>
      <c r="F4796">
        <v>182</v>
      </c>
      <c r="G4796">
        <v>182</v>
      </c>
      <c r="H4796">
        <v>79.09</v>
      </c>
    </row>
    <row r="4797" spans="1:8" x14ac:dyDescent="0.25">
      <c r="A4797">
        <v>19776241</v>
      </c>
      <c r="B4797">
        <v>99</v>
      </c>
      <c r="C4797">
        <v>124</v>
      </c>
      <c r="D4797">
        <v>6</v>
      </c>
      <c r="E4797">
        <v>31</v>
      </c>
      <c r="F4797">
        <v>52</v>
      </c>
      <c r="G4797">
        <v>52</v>
      </c>
      <c r="H4797">
        <v>79.989999999999995</v>
      </c>
    </row>
    <row r="4798" spans="1:8" x14ac:dyDescent="0.25">
      <c r="A4798">
        <v>19776254</v>
      </c>
      <c r="B4798">
        <v>3</v>
      </c>
      <c r="C4798">
        <v>0</v>
      </c>
      <c r="D4798">
        <v>0</v>
      </c>
      <c r="E4798">
        <v>7</v>
      </c>
      <c r="F4798">
        <v>167</v>
      </c>
      <c r="G4798">
        <v>167</v>
      </c>
      <c r="H4798">
        <v>0</v>
      </c>
    </row>
    <row r="4799" spans="1:8" x14ac:dyDescent="0.25">
      <c r="A4799">
        <v>19778743</v>
      </c>
      <c r="B4799">
        <v>137</v>
      </c>
      <c r="C4799">
        <v>0</v>
      </c>
      <c r="D4799">
        <v>14</v>
      </c>
      <c r="E4799">
        <v>54</v>
      </c>
      <c r="F4799">
        <v>171</v>
      </c>
      <c r="G4799">
        <v>171</v>
      </c>
      <c r="H4799">
        <v>68.582899999999995</v>
      </c>
    </row>
    <row r="4800" spans="1:8" x14ac:dyDescent="0.25">
      <c r="A4800">
        <v>19778744</v>
      </c>
      <c r="B4800">
        <v>473</v>
      </c>
      <c r="C4800">
        <v>0</v>
      </c>
      <c r="D4800">
        <v>23</v>
      </c>
      <c r="E4800">
        <v>98</v>
      </c>
      <c r="F4800">
        <v>497</v>
      </c>
      <c r="G4800">
        <v>497</v>
      </c>
      <c r="H4800">
        <v>67.1083</v>
      </c>
    </row>
    <row r="4801" spans="1:8" x14ac:dyDescent="0.25">
      <c r="A4801">
        <v>19778745</v>
      </c>
      <c r="B4801">
        <v>66</v>
      </c>
      <c r="C4801">
        <v>0</v>
      </c>
      <c r="D4801">
        <v>0</v>
      </c>
      <c r="E4801">
        <v>3</v>
      </c>
      <c r="F4801">
        <v>29</v>
      </c>
      <c r="G4801">
        <v>29</v>
      </c>
      <c r="H4801">
        <v>0</v>
      </c>
    </row>
    <row r="4802" spans="1:8" x14ac:dyDescent="0.25">
      <c r="A4802">
        <v>19783053</v>
      </c>
      <c r="B4802">
        <v>485</v>
      </c>
      <c r="C4802">
        <v>0</v>
      </c>
      <c r="D4802">
        <v>4</v>
      </c>
      <c r="E4802">
        <v>12</v>
      </c>
      <c r="F4802">
        <v>67</v>
      </c>
      <c r="G4802">
        <v>67</v>
      </c>
      <c r="H4802">
        <v>64.989999999999995</v>
      </c>
    </row>
    <row r="4803" spans="1:8" x14ac:dyDescent="0.25">
      <c r="A4803">
        <v>19783054</v>
      </c>
      <c r="B4803">
        <v>95</v>
      </c>
      <c r="C4803">
        <v>0</v>
      </c>
      <c r="D4803">
        <v>6</v>
      </c>
      <c r="E4803">
        <v>11</v>
      </c>
      <c r="F4803">
        <v>29</v>
      </c>
      <c r="G4803">
        <v>29</v>
      </c>
      <c r="H4803">
        <v>31.811699999999998</v>
      </c>
    </row>
    <row r="4804" spans="1:8" x14ac:dyDescent="0.25">
      <c r="A4804">
        <v>19783055</v>
      </c>
      <c r="B4804">
        <v>72</v>
      </c>
      <c r="C4804">
        <v>0</v>
      </c>
      <c r="D4804">
        <v>4</v>
      </c>
      <c r="E4804">
        <v>14</v>
      </c>
      <c r="F4804">
        <v>50</v>
      </c>
      <c r="G4804">
        <v>50</v>
      </c>
      <c r="H4804">
        <v>38.28</v>
      </c>
    </row>
    <row r="4805" spans="1:8" x14ac:dyDescent="0.25">
      <c r="A4805">
        <v>19783056</v>
      </c>
      <c r="B4805">
        <v>59</v>
      </c>
      <c r="C4805">
        <v>0</v>
      </c>
      <c r="D4805">
        <v>9</v>
      </c>
      <c r="E4805">
        <v>33</v>
      </c>
      <c r="F4805">
        <v>88</v>
      </c>
      <c r="G4805">
        <v>88</v>
      </c>
      <c r="H4805">
        <v>38.353299999999997</v>
      </c>
    </row>
    <row r="4806" spans="1:8" x14ac:dyDescent="0.25">
      <c r="A4806">
        <v>19783057</v>
      </c>
      <c r="B4806">
        <v>100</v>
      </c>
      <c r="C4806">
        <v>0</v>
      </c>
      <c r="D4806">
        <v>2</v>
      </c>
      <c r="E4806">
        <v>8</v>
      </c>
      <c r="F4806">
        <v>48</v>
      </c>
      <c r="G4806">
        <v>48</v>
      </c>
      <c r="H4806">
        <v>38.75</v>
      </c>
    </row>
    <row r="4807" spans="1:8" x14ac:dyDescent="0.25">
      <c r="A4807">
        <v>19783058</v>
      </c>
      <c r="B4807">
        <v>121</v>
      </c>
      <c r="C4807">
        <v>0</v>
      </c>
      <c r="D4807">
        <v>2</v>
      </c>
      <c r="E4807">
        <v>5</v>
      </c>
      <c r="F4807">
        <v>19</v>
      </c>
      <c r="G4807">
        <v>19</v>
      </c>
      <c r="H4807">
        <v>34.99</v>
      </c>
    </row>
    <row r="4808" spans="1:8" x14ac:dyDescent="0.25">
      <c r="A4808">
        <v>19783275</v>
      </c>
      <c r="B4808">
        <v>593</v>
      </c>
      <c r="C4808">
        <v>90</v>
      </c>
      <c r="D4808">
        <v>16</v>
      </c>
      <c r="E4808">
        <v>78</v>
      </c>
      <c r="F4808">
        <v>162</v>
      </c>
      <c r="G4808">
        <v>166</v>
      </c>
      <c r="H4808">
        <v>241.92439999999999</v>
      </c>
    </row>
    <row r="4809" spans="1:8" x14ac:dyDescent="0.25">
      <c r="A4809">
        <v>19784246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1</v>
      </c>
      <c r="H4809">
        <v>0</v>
      </c>
    </row>
    <row r="4810" spans="1:8" x14ac:dyDescent="0.25">
      <c r="A4810">
        <v>19784268</v>
      </c>
      <c r="B4810">
        <v>133</v>
      </c>
      <c r="C4810">
        <v>18</v>
      </c>
      <c r="D4810">
        <v>9</v>
      </c>
      <c r="E4810">
        <v>34</v>
      </c>
      <c r="F4810">
        <v>153</v>
      </c>
      <c r="G4810">
        <v>169</v>
      </c>
      <c r="H4810">
        <v>443.3356</v>
      </c>
    </row>
    <row r="4811" spans="1:8" x14ac:dyDescent="0.25">
      <c r="A4811">
        <v>19809515</v>
      </c>
      <c r="B4811">
        <v>-1</v>
      </c>
      <c r="C4811">
        <v>12</v>
      </c>
      <c r="D4811">
        <v>0</v>
      </c>
      <c r="E4811">
        <v>0</v>
      </c>
      <c r="F4811">
        <v>2</v>
      </c>
      <c r="G4811">
        <v>2</v>
      </c>
      <c r="H4811">
        <v>0</v>
      </c>
    </row>
    <row r="4812" spans="1:8" x14ac:dyDescent="0.25">
      <c r="A4812">
        <v>19809517</v>
      </c>
      <c r="B4812">
        <v>32</v>
      </c>
      <c r="C4812">
        <v>252</v>
      </c>
      <c r="D4812">
        <v>12</v>
      </c>
      <c r="E4812">
        <v>61</v>
      </c>
      <c r="F4812">
        <v>169</v>
      </c>
      <c r="G4812">
        <v>169</v>
      </c>
      <c r="H4812">
        <v>779.66</v>
      </c>
    </row>
    <row r="4813" spans="1:8" x14ac:dyDescent="0.25">
      <c r="A4813">
        <v>19813241</v>
      </c>
      <c r="B4813">
        <v>52</v>
      </c>
      <c r="C4813">
        <v>40</v>
      </c>
      <c r="D4813">
        <v>11</v>
      </c>
      <c r="E4813">
        <v>46</v>
      </c>
      <c r="F4813">
        <v>124</v>
      </c>
      <c r="G4813">
        <v>124</v>
      </c>
      <c r="H4813">
        <v>34.337299999999999</v>
      </c>
    </row>
    <row r="4814" spans="1:8" x14ac:dyDescent="0.25">
      <c r="A4814">
        <v>19814239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1</v>
      </c>
      <c r="H4814">
        <v>0</v>
      </c>
    </row>
    <row r="4815" spans="1:8" x14ac:dyDescent="0.25">
      <c r="A4815">
        <v>19815925</v>
      </c>
      <c r="B4815">
        <v>28</v>
      </c>
      <c r="C4815">
        <v>30</v>
      </c>
      <c r="D4815">
        <v>1</v>
      </c>
      <c r="E4815">
        <v>9</v>
      </c>
      <c r="F4815">
        <v>42</v>
      </c>
      <c r="G4815">
        <v>42</v>
      </c>
      <c r="H4815">
        <v>31.99</v>
      </c>
    </row>
    <row r="4816" spans="1:8" x14ac:dyDescent="0.25">
      <c r="A4816">
        <v>19815926</v>
      </c>
      <c r="B4816">
        <v>45</v>
      </c>
      <c r="C4816">
        <v>34</v>
      </c>
      <c r="D4816">
        <v>1</v>
      </c>
      <c r="E4816">
        <v>7</v>
      </c>
      <c r="F4816">
        <v>28</v>
      </c>
      <c r="G4816">
        <v>28</v>
      </c>
      <c r="H4816">
        <v>62.99</v>
      </c>
    </row>
    <row r="4817" spans="1:8" x14ac:dyDescent="0.25">
      <c r="A4817">
        <v>19815927</v>
      </c>
      <c r="B4817">
        <v>71</v>
      </c>
      <c r="C4817">
        <v>48</v>
      </c>
      <c r="D4817">
        <v>3</v>
      </c>
      <c r="E4817">
        <v>12</v>
      </c>
      <c r="F4817">
        <v>19</v>
      </c>
      <c r="G4817">
        <v>19</v>
      </c>
      <c r="H4817">
        <v>37.99</v>
      </c>
    </row>
    <row r="4818" spans="1:8" x14ac:dyDescent="0.25">
      <c r="A4818">
        <v>19815928</v>
      </c>
      <c r="B4818">
        <v>17</v>
      </c>
      <c r="C4818">
        <v>0</v>
      </c>
      <c r="D4818">
        <v>2</v>
      </c>
      <c r="E4818">
        <v>6</v>
      </c>
      <c r="F4818">
        <v>19</v>
      </c>
      <c r="G4818">
        <v>19</v>
      </c>
      <c r="H4818">
        <v>37.99</v>
      </c>
    </row>
    <row r="4819" spans="1:8" x14ac:dyDescent="0.25">
      <c r="A4819">
        <v>19815929</v>
      </c>
      <c r="B4819">
        <v>40</v>
      </c>
      <c r="C4819">
        <v>14</v>
      </c>
      <c r="D4819">
        <v>2</v>
      </c>
      <c r="E4819">
        <v>3</v>
      </c>
      <c r="F4819">
        <v>11</v>
      </c>
      <c r="G4819">
        <v>11</v>
      </c>
      <c r="H4819">
        <v>30.99</v>
      </c>
    </row>
    <row r="4820" spans="1:8" x14ac:dyDescent="0.25">
      <c r="A4820">
        <v>19815930</v>
      </c>
      <c r="B4820">
        <v>18</v>
      </c>
      <c r="C4820">
        <v>0</v>
      </c>
      <c r="D4820">
        <v>1</v>
      </c>
      <c r="E4820">
        <v>3</v>
      </c>
      <c r="F4820">
        <v>14</v>
      </c>
      <c r="G4820">
        <v>14</v>
      </c>
      <c r="H4820">
        <v>39.99</v>
      </c>
    </row>
    <row r="4821" spans="1:8" x14ac:dyDescent="0.25">
      <c r="A4821">
        <v>19815931</v>
      </c>
      <c r="B4821">
        <v>17</v>
      </c>
      <c r="C4821">
        <v>9</v>
      </c>
      <c r="D4821">
        <v>7</v>
      </c>
      <c r="E4821">
        <v>19</v>
      </c>
      <c r="F4821">
        <v>49</v>
      </c>
      <c r="G4821">
        <v>49</v>
      </c>
      <c r="H4821">
        <v>37.275700000000001</v>
      </c>
    </row>
    <row r="4822" spans="1:8" x14ac:dyDescent="0.25">
      <c r="A4822">
        <v>19815932</v>
      </c>
      <c r="B4822">
        <v>26</v>
      </c>
      <c r="C4822">
        <v>27</v>
      </c>
      <c r="D4822">
        <v>3</v>
      </c>
      <c r="E4822">
        <v>10</v>
      </c>
      <c r="F4822">
        <v>28</v>
      </c>
      <c r="G4822">
        <v>28</v>
      </c>
      <c r="H4822">
        <v>17.989999999999998</v>
      </c>
    </row>
    <row r="4823" spans="1:8" x14ac:dyDescent="0.25">
      <c r="A4823">
        <v>19815933</v>
      </c>
      <c r="B4823">
        <v>21</v>
      </c>
      <c r="C4823">
        <v>0</v>
      </c>
      <c r="D4823">
        <v>0</v>
      </c>
      <c r="E4823">
        <v>1</v>
      </c>
      <c r="F4823">
        <v>9</v>
      </c>
      <c r="G4823">
        <v>9</v>
      </c>
      <c r="H4823">
        <v>0</v>
      </c>
    </row>
    <row r="4824" spans="1:8" x14ac:dyDescent="0.25">
      <c r="A4824">
        <v>19815934</v>
      </c>
      <c r="B4824">
        <v>16</v>
      </c>
      <c r="C4824">
        <v>3</v>
      </c>
      <c r="D4824">
        <v>0</v>
      </c>
      <c r="E4824">
        <v>0</v>
      </c>
      <c r="F4824">
        <v>14</v>
      </c>
      <c r="G4824">
        <v>14</v>
      </c>
      <c r="H4824">
        <v>0</v>
      </c>
    </row>
    <row r="4825" spans="1:8" x14ac:dyDescent="0.25">
      <c r="A4825">
        <v>19815935</v>
      </c>
      <c r="B4825">
        <v>24</v>
      </c>
      <c r="C4825">
        <v>4</v>
      </c>
      <c r="D4825">
        <v>0</v>
      </c>
      <c r="E4825">
        <v>1</v>
      </c>
      <c r="F4825">
        <v>6</v>
      </c>
      <c r="G4825">
        <v>6</v>
      </c>
      <c r="H4825">
        <v>0</v>
      </c>
    </row>
    <row r="4826" spans="1:8" x14ac:dyDescent="0.25">
      <c r="A4826">
        <v>19815936</v>
      </c>
      <c r="B4826">
        <v>34</v>
      </c>
      <c r="C4826">
        <v>33</v>
      </c>
      <c r="D4826">
        <v>1</v>
      </c>
      <c r="E4826">
        <v>6</v>
      </c>
      <c r="F4826">
        <v>24</v>
      </c>
      <c r="G4826">
        <v>24</v>
      </c>
      <c r="H4826">
        <v>26.99</v>
      </c>
    </row>
    <row r="4827" spans="1:8" x14ac:dyDescent="0.25">
      <c r="A4827">
        <v>19815937</v>
      </c>
      <c r="B4827">
        <v>16</v>
      </c>
      <c r="C4827">
        <v>11</v>
      </c>
      <c r="D4827">
        <v>1</v>
      </c>
      <c r="E4827">
        <v>10</v>
      </c>
      <c r="F4827">
        <v>14</v>
      </c>
      <c r="G4827">
        <v>14</v>
      </c>
      <c r="H4827">
        <v>26.99</v>
      </c>
    </row>
    <row r="4828" spans="1:8" x14ac:dyDescent="0.25">
      <c r="A4828">
        <v>19815938</v>
      </c>
      <c r="B4828">
        <v>15</v>
      </c>
      <c r="C4828">
        <v>2</v>
      </c>
      <c r="D4828">
        <v>3</v>
      </c>
      <c r="E4828">
        <v>10</v>
      </c>
      <c r="F4828">
        <v>12</v>
      </c>
      <c r="G4828">
        <v>12</v>
      </c>
      <c r="H4828">
        <v>26.99</v>
      </c>
    </row>
    <row r="4829" spans="1:8" x14ac:dyDescent="0.25">
      <c r="A4829">
        <v>19815939</v>
      </c>
      <c r="B4829">
        <v>20</v>
      </c>
      <c r="C4829">
        <v>17</v>
      </c>
      <c r="D4829">
        <v>1</v>
      </c>
      <c r="E4829">
        <v>8</v>
      </c>
      <c r="F4829">
        <v>17</v>
      </c>
      <c r="G4829">
        <v>17</v>
      </c>
      <c r="H4829">
        <v>26.99</v>
      </c>
    </row>
    <row r="4830" spans="1:8" x14ac:dyDescent="0.25">
      <c r="A4830">
        <v>19815940</v>
      </c>
      <c r="B4830">
        <v>14</v>
      </c>
      <c r="C4830">
        <v>1</v>
      </c>
      <c r="D4830">
        <v>1</v>
      </c>
      <c r="E4830">
        <v>10</v>
      </c>
      <c r="F4830">
        <v>16</v>
      </c>
      <c r="G4830">
        <v>16</v>
      </c>
      <c r="H4830">
        <v>23.96</v>
      </c>
    </row>
    <row r="4831" spans="1:8" x14ac:dyDescent="0.25">
      <c r="A4831">
        <v>19815941</v>
      </c>
      <c r="B4831">
        <v>12</v>
      </c>
      <c r="C4831">
        <v>2</v>
      </c>
      <c r="D4831">
        <v>3</v>
      </c>
      <c r="E4831">
        <v>6</v>
      </c>
      <c r="F4831">
        <v>17</v>
      </c>
      <c r="G4831">
        <v>17</v>
      </c>
      <c r="H4831">
        <v>26.1633</v>
      </c>
    </row>
    <row r="4832" spans="1:8" x14ac:dyDescent="0.25">
      <c r="A4832">
        <v>19815942</v>
      </c>
      <c r="B4832">
        <v>20</v>
      </c>
      <c r="C4832">
        <v>1</v>
      </c>
      <c r="D4832">
        <v>0</v>
      </c>
      <c r="E4832">
        <v>-1</v>
      </c>
      <c r="F4832">
        <v>10</v>
      </c>
      <c r="G4832">
        <v>10</v>
      </c>
      <c r="H4832">
        <v>0</v>
      </c>
    </row>
    <row r="4833" spans="1:8" x14ac:dyDescent="0.25">
      <c r="A4833">
        <v>19815943</v>
      </c>
      <c r="B4833">
        <v>33</v>
      </c>
      <c r="C4833">
        <v>4</v>
      </c>
      <c r="D4833">
        <v>3</v>
      </c>
      <c r="E4833">
        <v>6</v>
      </c>
      <c r="F4833">
        <v>30</v>
      </c>
      <c r="G4833">
        <v>31</v>
      </c>
      <c r="H4833">
        <v>9.99</v>
      </c>
    </row>
    <row r="4834" spans="1:8" x14ac:dyDescent="0.25">
      <c r="A4834">
        <v>19815944</v>
      </c>
      <c r="B4834">
        <v>84</v>
      </c>
      <c r="C4834">
        <v>12</v>
      </c>
      <c r="D4834">
        <v>1</v>
      </c>
      <c r="E4834">
        <v>2</v>
      </c>
      <c r="F4834">
        <v>23</v>
      </c>
      <c r="G4834">
        <v>24</v>
      </c>
      <c r="H4834">
        <v>16.989999999999998</v>
      </c>
    </row>
    <row r="4835" spans="1:8" x14ac:dyDescent="0.25">
      <c r="A4835">
        <v>19815945</v>
      </c>
      <c r="B4835">
        <v>21</v>
      </c>
      <c r="C4835">
        <v>4</v>
      </c>
      <c r="D4835">
        <v>0</v>
      </c>
      <c r="E4835">
        <v>3</v>
      </c>
      <c r="F4835">
        <v>15</v>
      </c>
      <c r="G4835">
        <v>15</v>
      </c>
      <c r="H4835">
        <v>0</v>
      </c>
    </row>
    <row r="4836" spans="1:8" x14ac:dyDescent="0.25">
      <c r="A4836">
        <v>19815946</v>
      </c>
      <c r="B4836">
        <v>5</v>
      </c>
      <c r="C4836">
        <v>1</v>
      </c>
      <c r="D4836">
        <v>0</v>
      </c>
      <c r="E4836">
        <v>0</v>
      </c>
      <c r="F4836">
        <v>0</v>
      </c>
      <c r="G4836">
        <v>0</v>
      </c>
      <c r="H4836">
        <v>0</v>
      </c>
    </row>
    <row r="4837" spans="1:8" x14ac:dyDescent="0.25">
      <c r="A4837">
        <v>19816710</v>
      </c>
      <c r="B4837">
        <v>0</v>
      </c>
      <c r="C4837">
        <v>12</v>
      </c>
      <c r="D4837">
        <v>0</v>
      </c>
      <c r="E4837">
        <v>0</v>
      </c>
      <c r="F4837">
        <v>0</v>
      </c>
      <c r="G4837">
        <v>1</v>
      </c>
      <c r="H4837">
        <v>0</v>
      </c>
    </row>
    <row r="4838" spans="1:8" x14ac:dyDescent="0.25">
      <c r="A4838">
        <v>19817147</v>
      </c>
      <c r="B4838">
        <v>10</v>
      </c>
      <c r="C4838">
        <v>0</v>
      </c>
      <c r="D4838">
        <v>0</v>
      </c>
      <c r="E4838">
        <v>0</v>
      </c>
      <c r="F4838">
        <v>0</v>
      </c>
      <c r="G4838">
        <v>0</v>
      </c>
      <c r="H4838">
        <v>0</v>
      </c>
    </row>
    <row r="4839" spans="1:8" x14ac:dyDescent="0.25">
      <c r="A4839">
        <v>19827835</v>
      </c>
      <c r="B4839">
        <v>0</v>
      </c>
      <c r="C4839">
        <v>12</v>
      </c>
      <c r="D4839">
        <v>0</v>
      </c>
      <c r="E4839">
        <v>0</v>
      </c>
      <c r="F4839">
        <v>1</v>
      </c>
      <c r="G4839">
        <v>1</v>
      </c>
      <c r="H4839">
        <v>0</v>
      </c>
    </row>
    <row r="4840" spans="1:8" x14ac:dyDescent="0.25">
      <c r="A4840">
        <v>19843626</v>
      </c>
      <c r="B4840">
        <v>15</v>
      </c>
      <c r="C4840">
        <v>0</v>
      </c>
      <c r="D4840">
        <v>0</v>
      </c>
      <c r="E4840">
        <v>0</v>
      </c>
      <c r="F4840">
        <v>1</v>
      </c>
      <c r="G4840">
        <v>1</v>
      </c>
      <c r="H4840">
        <v>0</v>
      </c>
    </row>
    <row r="4841" spans="1:8" x14ac:dyDescent="0.25">
      <c r="A4841">
        <v>19843627</v>
      </c>
      <c r="B4841">
        <v>287</v>
      </c>
      <c r="C4841">
        <v>-1</v>
      </c>
      <c r="D4841">
        <v>19</v>
      </c>
      <c r="E4841">
        <v>41</v>
      </c>
      <c r="F4841">
        <v>47</v>
      </c>
      <c r="G4841">
        <v>47</v>
      </c>
      <c r="H4841">
        <v>87.421099999999996</v>
      </c>
    </row>
    <row r="4842" spans="1:8" x14ac:dyDescent="0.25">
      <c r="A4842">
        <v>19843628</v>
      </c>
      <c r="B4842">
        <v>704</v>
      </c>
      <c r="C4842">
        <v>40</v>
      </c>
      <c r="D4842">
        <v>30</v>
      </c>
      <c r="E4842">
        <v>116</v>
      </c>
      <c r="F4842">
        <v>202</v>
      </c>
      <c r="G4842">
        <v>202</v>
      </c>
      <c r="H4842">
        <v>105.9783</v>
      </c>
    </row>
    <row r="4843" spans="1:8" x14ac:dyDescent="0.25">
      <c r="A4843">
        <v>19843629</v>
      </c>
      <c r="B4843">
        <v>33</v>
      </c>
      <c r="C4843">
        <v>1</v>
      </c>
      <c r="D4843">
        <v>1</v>
      </c>
      <c r="E4843">
        <v>11</v>
      </c>
      <c r="F4843">
        <v>22</v>
      </c>
      <c r="G4843">
        <v>22</v>
      </c>
      <c r="H4843">
        <v>499</v>
      </c>
    </row>
    <row r="4844" spans="1:8" x14ac:dyDescent="0.25">
      <c r="A4844">
        <v>19843630</v>
      </c>
      <c r="B4844">
        <v>80</v>
      </c>
      <c r="C4844">
        <v>0</v>
      </c>
      <c r="D4844">
        <v>1</v>
      </c>
      <c r="E4844">
        <v>7</v>
      </c>
      <c r="F4844">
        <v>26</v>
      </c>
      <c r="G4844">
        <v>26</v>
      </c>
      <c r="H4844">
        <v>379</v>
      </c>
    </row>
    <row r="4845" spans="1:8" x14ac:dyDescent="0.25">
      <c r="A4845">
        <v>19845414</v>
      </c>
      <c r="B4845">
        <v>18</v>
      </c>
      <c r="C4845">
        <v>0</v>
      </c>
      <c r="D4845">
        <v>1</v>
      </c>
      <c r="E4845">
        <v>2</v>
      </c>
      <c r="F4845">
        <v>2</v>
      </c>
      <c r="G4845">
        <v>2</v>
      </c>
      <c r="H4845">
        <v>9</v>
      </c>
    </row>
    <row r="4846" spans="1:8" x14ac:dyDescent="0.25">
      <c r="A4846">
        <v>19845415</v>
      </c>
      <c r="B4846">
        <v>18</v>
      </c>
      <c r="C4846">
        <v>0</v>
      </c>
      <c r="D4846">
        <v>0</v>
      </c>
      <c r="E4846">
        <v>0</v>
      </c>
      <c r="F4846">
        <v>2</v>
      </c>
      <c r="G4846">
        <v>2</v>
      </c>
      <c r="H4846">
        <v>0</v>
      </c>
    </row>
    <row r="4847" spans="1:8" x14ac:dyDescent="0.25">
      <c r="A4847">
        <v>19845417</v>
      </c>
      <c r="B4847">
        <v>21</v>
      </c>
      <c r="C4847">
        <v>30</v>
      </c>
      <c r="D4847">
        <v>13</v>
      </c>
      <c r="E4847">
        <v>25</v>
      </c>
      <c r="F4847">
        <v>47</v>
      </c>
      <c r="G4847">
        <v>47</v>
      </c>
      <c r="H4847">
        <v>54.985399999999998</v>
      </c>
    </row>
    <row r="4848" spans="1:8" x14ac:dyDescent="0.25">
      <c r="A4848">
        <v>19849171</v>
      </c>
      <c r="B4848">
        <v>0</v>
      </c>
      <c r="C4848">
        <v>0</v>
      </c>
      <c r="D4848">
        <v>0</v>
      </c>
      <c r="E4848">
        <v>0</v>
      </c>
      <c r="F4848">
        <v>1</v>
      </c>
      <c r="G4848">
        <v>1</v>
      </c>
      <c r="H4848">
        <v>0</v>
      </c>
    </row>
    <row r="4849" spans="1:8" x14ac:dyDescent="0.25">
      <c r="A4849">
        <v>19858638</v>
      </c>
      <c r="B4849">
        <v>475</v>
      </c>
      <c r="C4849">
        <v>0</v>
      </c>
      <c r="D4849">
        <v>27</v>
      </c>
      <c r="E4849">
        <v>141</v>
      </c>
      <c r="F4849">
        <v>515</v>
      </c>
      <c r="G4849">
        <v>515</v>
      </c>
      <c r="H4849">
        <v>98.857799999999997</v>
      </c>
    </row>
    <row r="4850" spans="1:8" x14ac:dyDescent="0.25">
      <c r="A4850">
        <v>19859764</v>
      </c>
      <c r="B4850">
        <v>86</v>
      </c>
      <c r="C4850">
        <v>0</v>
      </c>
      <c r="D4850">
        <v>1</v>
      </c>
      <c r="E4850">
        <v>3</v>
      </c>
      <c r="F4850">
        <v>10</v>
      </c>
      <c r="G4850">
        <v>10</v>
      </c>
      <c r="H4850">
        <v>34.99</v>
      </c>
    </row>
    <row r="4851" spans="1:8" x14ac:dyDescent="0.25">
      <c r="A4851">
        <v>19859765</v>
      </c>
      <c r="B4851">
        <v>82</v>
      </c>
      <c r="C4851">
        <v>0</v>
      </c>
      <c r="D4851">
        <v>6</v>
      </c>
      <c r="E4851">
        <v>34</v>
      </c>
      <c r="F4851">
        <v>85</v>
      </c>
      <c r="G4851">
        <v>85</v>
      </c>
      <c r="H4851">
        <v>68.888300000000001</v>
      </c>
    </row>
    <row r="4852" spans="1:8" x14ac:dyDescent="0.25">
      <c r="A4852">
        <v>19859766</v>
      </c>
      <c r="B4852">
        <v>186</v>
      </c>
      <c r="C4852">
        <v>0</v>
      </c>
      <c r="D4852">
        <v>2</v>
      </c>
      <c r="E4852">
        <v>11</v>
      </c>
      <c r="F4852">
        <v>22</v>
      </c>
      <c r="G4852">
        <v>22</v>
      </c>
      <c r="H4852">
        <v>69.989999999999995</v>
      </c>
    </row>
    <row r="4853" spans="1:8" x14ac:dyDescent="0.25">
      <c r="A4853">
        <v>19859767</v>
      </c>
      <c r="B4853">
        <v>75</v>
      </c>
      <c r="C4853">
        <v>0</v>
      </c>
      <c r="D4853">
        <v>3</v>
      </c>
      <c r="E4853">
        <v>10</v>
      </c>
      <c r="F4853">
        <v>21</v>
      </c>
      <c r="G4853">
        <v>21</v>
      </c>
      <c r="H4853">
        <v>29.99</v>
      </c>
    </row>
    <row r="4854" spans="1:8" x14ac:dyDescent="0.25">
      <c r="A4854">
        <v>19859768</v>
      </c>
      <c r="B4854">
        <v>31</v>
      </c>
      <c r="C4854">
        <v>0</v>
      </c>
      <c r="D4854">
        <v>7</v>
      </c>
      <c r="E4854">
        <v>47</v>
      </c>
      <c r="F4854">
        <v>148</v>
      </c>
      <c r="G4854">
        <v>148</v>
      </c>
      <c r="H4854">
        <v>64.298599999999993</v>
      </c>
    </row>
    <row r="4855" spans="1:8" x14ac:dyDescent="0.25">
      <c r="A4855">
        <v>19859769</v>
      </c>
      <c r="B4855">
        <v>90</v>
      </c>
      <c r="C4855">
        <v>0</v>
      </c>
      <c r="D4855">
        <v>1</v>
      </c>
      <c r="E4855">
        <v>6</v>
      </c>
      <c r="F4855">
        <v>6</v>
      </c>
      <c r="G4855">
        <v>6</v>
      </c>
      <c r="H4855">
        <v>54.99</v>
      </c>
    </row>
    <row r="4856" spans="1:8" x14ac:dyDescent="0.25">
      <c r="A4856">
        <v>19859770</v>
      </c>
      <c r="B4856">
        <v>64</v>
      </c>
      <c r="C4856">
        <v>0</v>
      </c>
      <c r="D4856">
        <v>7</v>
      </c>
      <c r="E4856">
        <v>25</v>
      </c>
      <c r="F4856">
        <v>31</v>
      </c>
      <c r="G4856">
        <v>31</v>
      </c>
      <c r="H4856">
        <v>49.905700000000003</v>
      </c>
    </row>
    <row r="4857" spans="1:8" x14ac:dyDescent="0.25">
      <c r="A4857">
        <v>19859771</v>
      </c>
      <c r="B4857">
        <v>143</v>
      </c>
      <c r="C4857">
        <v>0</v>
      </c>
      <c r="D4857">
        <v>9</v>
      </c>
      <c r="E4857">
        <v>27</v>
      </c>
      <c r="F4857">
        <v>36</v>
      </c>
      <c r="G4857">
        <v>36</v>
      </c>
      <c r="H4857">
        <v>37.897799999999997</v>
      </c>
    </row>
    <row r="4858" spans="1:8" x14ac:dyDescent="0.25">
      <c r="A4858">
        <v>19859772</v>
      </c>
      <c r="B4858">
        <v>291</v>
      </c>
      <c r="C4858">
        <v>0</v>
      </c>
      <c r="D4858">
        <v>1</v>
      </c>
      <c r="E4858">
        <v>8</v>
      </c>
      <c r="F4858">
        <v>9</v>
      </c>
      <c r="G4858">
        <v>9</v>
      </c>
      <c r="H4858">
        <v>39.99</v>
      </c>
    </row>
    <row r="4859" spans="1:8" x14ac:dyDescent="0.25">
      <c r="A4859">
        <v>19859773</v>
      </c>
      <c r="B4859">
        <v>50</v>
      </c>
      <c r="C4859">
        <v>0</v>
      </c>
      <c r="D4859">
        <v>19</v>
      </c>
      <c r="E4859">
        <v>46</v>
      </c>
      <c r="F4859">
        <v>46</v>
      </c>
      <c r="G4859">
        <v>46</v>
      </c>
      <c r="H4859">
        <v>56.031599999999997</v>
      </c>
    </row>
    <row r="4860" spans="1:8" x14ac:dyDescent="0.25">
      <c r="A4860">
        <v>19859774</v>
      </c>
      <c r="B4860">
        <v>188</v>
      </c>
      <c r="C4860">
        <v>0</v>
      </c>
      <c r="D4860">
        <v>26</v>
      </c>
      <c r="E4860">
        <v>98</v>
      </c>
      <c r="F4860">
        <v>98</v>
      </c>
      <c r="G4860">
        <v>98</v>
      </c>
      <c r="H4860">
        <v>56.372700000000002</v>
      </c>
    </row>
    <row r="4861" spans="1:8" x14ac:dyDescent="0.25">
      <c r="A4861">
        <v>19860712</v>
      </c>
      <c r="B4861">
        <v>367</v>
      </c>
      <c r="C4861">
        <v>0</v>
      </c>
      <c r="D4861">
        <v>18</v>
      </c>
      <c r="E4861">
        <v>78</v>
      </c>
      <c r="F4861">
        <v>241</v>
      </c>
      <c r="G4861">
        <v>241</v>
      </c>
      <c r="H4861">
        <v>84.726100000000002</v>
      </c>
    </row>
    <row r="4862" spans="1:8" x14ac:dyDescent="0.25">
      <c r="A4862">
        <v>19860713</v>
      </c>
      <c r="B4862">
        <v>76</v>
      </c>
      <c r="C4862">
        <v>200</v>
      </c>
      <c r="D4862">
        <v>8</v>
      </c>
      <c r="E4862">
        <v>71</v>
      </c>
      <c r="F4862">
        <v>178</v>
      </c>
      <c r="G4862">
        <v>178</v>
      </c>
      <c r="H4862">
        <v>82.997500000000002</v>
      </c>
    </row>
    <row r="4863" spans="1:8" x14ac:dyDescent="0.25">
      <c r="A4863">
        <v>19860714</v>
      </c>
      <c r="B4863">
        <v>12</v>
      </c>
      <c r="C4863">
        <v>0</v>
      </c>
      <c r="D4863">
        <v>2</v>
      </c>
      <c r="E4863">
        <v>20</v>
      </c>
      <c r="F4863">
        <v>52</v>
      </c>
      <c r="G4863">
        <v>52</v>
      </c>
      <c r="H4863">
        <v>84.99</v>
      </c>
    </row>
    <row r="4864" spans="1:8" x14ac:dyDescent="0.25">
      <c r="A4864">
        <v>19860715</v>
      </c>
      <c r="B4864">
        <v>119</v>
      </c>
      <c r="C4864">
        <v>100</v>
      </c>
      <c r="D4864">
        <v>24</v>
      </c>
      <c r="E4864">
        <v>104</v>
      </c>
      <c r="F4864">
        <v>196</v>
      </c>
      <c r="G4864">
        <v>196</v>
      </c>
      <c r="H4864">
        <v>83.514600000000002</v>
      </c>
    </row>
    <row r="4865" spans="1:8" x14ac:dyDescent="0.25">
      <c r="A4865">
        <v>19860908</v>
      </c>
      <c r="B4865">
        <v>528</v>
      </c>
      <c r="C4865">
        <v>100</v>
      </c>
      <c r="D4865">
        <v>69</v>
      </c>
      <c r="E4865">
        <v>237</v>
      </c>
      <c r="F4865">
        <v>711</v>
      </c>
      <c r="G4865">
        <v>711</v>
      </c>
      <c r="H4865">
        <v>28.603000000000002</v>
      </c>
    </row>
    <row r="4866" spans="1:8" x14ac:dyDescent="0.25">
      <c r="A4866">
        <v>19860909</v>
      </c>
      <c r="B4866">
        <v>312</v>
      </c>
      <c r="C4866">
        <v>50</v>
      </c>
      <c r="D4866">
        <v>35</v>
      </c>
      <c r="E4866">
        <v>142</v>
      </c>
      <c r="F4866">
        <v>363</v>
      </c>
      <c r="G4866">
        <v>363</v>
      </c>
      <c r="H4866">
        <v>96.683999999999997</v>
      </c>
    </row>
    <row r="4867" spans="1:8" x14ac:dyDescent="0.25">
      <c r="A4867">
        <v>19864632</v>
      </c>
      <c r="B4867">
        <v>12</v>
      </c>
      <c r="C4867">
        <v>0</v>
      </c>
      <c r="D4867">
        <v>0</v>
      </c>
      <c r="E4867">
        <v>0</v>
      </c>
      <c r="F4867">
        <v>0</v>
      </c>
      <c r="G4867">
        <v>0</v>
      </c>
      <c r="H4867">
        <v>0</v>
      </c>
    </row>
    <row r="4868" spans="1:8" x14ac:dyDescent="0.25">
      <c r="A4868">
        <v>19866465</v>
      </c>
      <c r="B4868">
        <v>325</v>
      </c>
      <c r="C4868">
        <v>0</v>
      </c>
      <c r="D4868">
        <v>9</v>
      </c>
      <c r="E4868">
        <v>54</v>
      </c>
      <c r="F4868">
        <v>116</v>
      </c>
      <c r="G4868">
        <v>116</v>
      </c>
      <c r="H4868">
        <v>48.24</v>
      </c>
    </row>
    <row r="4869" spans="1:8" x14ac:dyDescent="0.25">
      <c r="A4869">
        <v>19866620</v>
      </c>
      <c r="B4869">
        <v>17</v>
      </c>
      <c r="C4869">
        <v>0</v>
      </c>
      <c r="D4869">
        <v>1</v>
      </c>
      <c r="E4869">
        <v>7</v>
      </c>
      <c r="F4869">
        <v>23</v>
      </c>
      <c r="G4869">
        <v>23</v>
      </c>
      <c r="H4869">
        <v>20.65</v>
      </c>
    </row>
    <row r="4870" spans="1:8" x14ac:dyDescent="0.25">
      <c r="A4870">
        <v>19866621</v>
      </c>
      <c r="B4870">
        <v>26</v>
      </c>
      <c r="C4870">
        <v>0</v>
      </c>
      <c r="D4870">
        <v>3</v>
      </c>
      <c r="E4870">
        <v>4</v>
      </c>
      <c r="F4870">
        <v>14</v>
      </c>
      <c r="G4870">
        <v>14</v>
      </c>
      <c r="H4870">
        <v>23.543299999999999</v>
      </c>
    </row>
    <row r="4871" spans="1:8" x14ac:dyDescent="0.25">
      <c r="A4871">
        <v>19866622</v>
      </c>
      <c r="B4871">
        <v>9</v>
      </c>
      <c r="C4871">
        <v>0</v>
      </c>
      <c r="D4871">
        <v>1</v>
      </c>
      <c r="E4871">
        <v>9</v>
      </c>
      <c r="F4871">
        <v>31</v>
      </c>
      <c r="G4871">
        <v>31</v>
      </c>
      <c r="H4871">
        <v>24.99</v>
      </c>
    </row>
    <row r="4872" spans="1:8" x14ac:dyDescent="0.25">
      <c r="A4872">
        <v>19878682</v>
      </c>
      <c r="B4872">
        <v>-3</v>
      </c>
      <c r="C4872">
        <v>0</v>
      </c>
      <c r="D4872">
        <v>1</v>
      </c>
      <c r="E4872">
        <v>1</v>
      </c>
      <c r="F4872">
        <v>3</v>
      </c>
      <c r="G4872">
        <v>3</v>
      </c>
      <c r="H4872">
        <v>15</v>
      </c>
    </row>
    <row r="4873" spans="1:8" x14ac:dyDescent="0.25">
      <c r="A4873">
        <v>19878683</v>
      </c>
      <c r="B4873">
        <v>-1</v>
      </c>
      <c r="C4873">
        <v>0</v>
      </c>
      <c r="D4873">
        <v>0</v>
      </c>
      <c r="E4873">
        <v>1</v>
      </c>
      <c r="F4873">
        <v>1</v>
      </c>
      <c r="G4873">
        <v>1</v>
      </c>
      <c r="H4873">
        <v>0</v>
      </c>
    </row>
    <row r="4874" spans="1:8" x14ac:dyDescent="0.25">
      <c r="A4874">
        <v>19878983</v>
      </c>
      <c r="B4874">
        <v>47</v>
      </c>
      <c r="C4874">
        <v>0</v>
      </c>
      <c r="D4874">
        <v>1</v>
      </c>
      <c r="E4874">
        <v>1</v>
      </c>
      <c r="F4874">
        <v>1</v>
      </c>
      <c r="G4874">
        <v>1</v>
      </c>
      <c r="H4874">
        <v>179</v>
      </c>
    </row>
    <row r="4875" spans="1:8" x14ac:dyDescent="0.25">
      <c r="A4875">
        <v>19878984</v>
      </c>
      <c r="B4875">
        <v>65</v>
      </c>
      <c r="C4875">
        <v>0</v>
      </c>
      <c r="D4875">
        <v>3</v>
      </c>
      <c r="E4875">
        <v>7</v>
      </c>
      <c r="F4875">
        <v>7</v>
      </c>
      <c r="G4875">
        <v>7</v>
      </c>
      <c r="H4875">
        <v>174</v>
      </c>
    </row>
    <row r="4876" spans="1:8" x14ac:dyDescent="0.25">
      <c r="A4876">
        <v>19878985</v>
      </c>
      <c r="B4876">
        <v>3</v>
      </c>
      <c r="C4876">
        <v>0</v>
      </c>
      <c r="D4876">
        <v>1</v>
      </c>
      <c r="E4876">
        <v>1</v>
      </c>
      <c r="F4876">
        <v>1</v>
      </c>
      <c r="G4876">
        <v>1</v>
      </c>
      <c r="H4876">
        <v>279</v>
      </c>
    </row>
    <row r="4877" spans="1:8" x14ac:dyDescent="0.25">
      <c r="A4877">
        <v>19878986</v>
      </c>
      <c r="B4877">
        <v>67</v>
      </c>
      <c r="C4877">
        <v>0</v>
      </c>
      <c r="D4877">
        <v>1</v>
      </c>
      <c r="E4877">
        <v>3</v>
      </c>
      <c r="F4877">
        <v>3</v>
      </c>
      <c r="G4877">
        <v>3</v>
      </c>
      <c r="H4877">
        <v>279</v>
      </c>
    </row>
    <row r="4878" spans="1:8" x14ac:dyDescent="0.25">
      <c r="A4878">
        <v>19879391</v>
      </c>
      <c r="B4878">
        <v>-4</v>
      </c>
      <c r="C4878">
        <v>0</v>
      </c>
      <c r="D4878">
        <v>1</v>
      </c>
      <c r="E4878">
        <v>4</v>
      </c>
      <c r="F4878">
        <v>4</v>
      </c>
      <c r="G4878">
        <v>4</v>
      </c>
      <c r="H4878">
        <v>44</v>
      </c>
    </row>
    <row r="4879" spans="1:8" x14ac:dyDescent="0.25">
      <c r="A4879">
        <v>19879483</v>
      </c>
      <c r="B4879">
        <v>363</v>
      </c>
      <c r="C4879">
        <v>180</v>
      </c>
      <c r="D4879">
        <v>5</v>
      </c>
      <c r="E4879">
        <v>7</v>
      </c>
      <c r="F4879">
        <v>7</v>
      </c>
      <c r="G4879">
        <v>7</v>
      </c>
      <c r="H4879">
        <v>20</v>
      </c>
    </row>
    <row r="4880" spans="1:8" x14ac:dyDescent="0.25">
      <c r="A4880">
        <v>19879484</v>
      </c>
      <c r="B4880">
        <v>199</v>
      </c>
      <c r="C4880">
        <v>0</v>
      </c>
      <c r="D4880">
        <v>5</v>
      </c>
      <c r="E4880">
        <v>5</v>
      </c>
      <c r="F4880">
        <v>5</v>
      </c>
      <c r="G4880">
        <v>5</v>
      </c>
      <c r="H4880">
        <v>82.396000000000001</v>
      </c>
    </row>
    <row r="4881" spans="1:8" x14ac:dyDescent="0.25">
      <c r="A4881">
        <v>19879485</v>
      </c>
      <c r="B4881">
        <v>180</v>
      </c>
      <c r="C4881">
        <v>40</v>
      </c>
      <c r="D4881">
        <v>7</v>
      </c>
      <c r="E4881">
        <v>8</v>
      </c>
      <c r="F4881">
        <v>8</v>
      </c>
      <c r="G4881">
        <v>8</v>
      </c>
      <c r="H4881">
        <v>114.6357</v>
      </c>
    </row>
    <row r="4882" spans="1:8" x14ac:dyDescent="0.25">
      <c r="A4882">
        <v>19879486</v>
      </c>
      <c r="B4882">
        <v>325</v>
      </c>
      <c r="C4882">
        <v>40</v>
      </c>
      <c r="D4882">
        <v>0</v>
      </c>
      <c r="E4882">
        <v>0</v>
      </c>
      <c r="F4882">
        <v>0</v>
      </c>
      <c r="G4882">
        <v>0</v>
      </c>
      <c r="H4882">
        <v>0</v>
      </c>
    </row>
    <row r="4883" spans="1:8" x14ac:dyDescent="0.25">
      <c r="A4883">
        <v>19879487</v>
      </c>
      <c r="B4883">
        <v>190</v>
      </c>
      <c r="C4883">
        <v>92</v>
      </c>
      <c r="D4883">
        <v>2</v>
      </c>
      <c r="E4883">
        <v>2</v>
      </c>
      <c r="F4883">
        <v>2</v>
      </c>
      <c r="G4883">
        <v>2</v>
      </c>
      <c r="H4883">
        <v>219</v>
      </c>
    </row>
    <row r="4884" spans="1:8" x14ac:dyDescent="0.25">
      <c r="A4884">
        <v>19879887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  <c r="H4884">
        <v>0</v>
      </c>
    </row>
    <row r="4885" spans="1:8" x14ac:dyDescent="0.25">
      <c r="A4885">
        <v>19883738</v>
      </c>
      <c r="B4885">
        <v>279</v>
      </c>
      <c r="C4885">
        <v>0</v>
      </c>
      <c r="D4885">
        <v>6</v>
      </c>
      <c r="E4885">
        <v>41</v>
      </c>
      <c r="F4885">
        <v>128</v>
      </c>
      <c r="G4885">
        <v>128</v>
      </c>
      <c r="H4885">
        <v>42.433300000000003</v>
      </c>
    </row>
    <row r="4886" spans="1:8" x14ac:dyDescent="0.25">
      <c r="A4886">
        <v>19884068</v>
      </c>
      <c r="B4886">
        <v>272</v>
      </c>
      <c r="C4886">
        <v>0</v>
      </c>
      <c r="D4886">
        <v>6</v>
      </c>
      <c r="E4886">
        <v>47</v>
      </c>
      <c r="F4886">
        <v>117</v>
      </c>
      <c r="G4886">
        <v>117</v>
      </c>
      <c r="H4886">
        <v>118.2867</v>
      </c>
    </row>
    <row r="4887" spans="1:8" x14ac:dyDescent="0.25">
      <c r="A4887">
        <v>19884069</v>
      </c>
      <c r="B4887">
        <v>170</v>
      </c>
      <c r="C4887">
        <v>0</v>
      </c>
      <c r="D4887">
        <v>1</v>
      </c>
      <c r="E4887">
        <v>23</v>
      </c>
      <c r="F4887">
        <v>50</v>
      </c>
      <c r="G4887">
        <v>50</v>
      </c>
      <c r="H4887">
        <v>124.21</v>
      </c>
    </row>
    <row r="4888" spans="1:8" x14ac:dyDescent="0.25">
      <c r="A4888">
        <v>19885091</v>
      </c>
      <c r="B4888">
        <v>20</v>
      </c>
      <c r="C4888">
        <v>0</v>
      </c>
      <c r="D4888">
        <v>0</v>
      </c>
      <c r="E4888">
        <v>0</v>
      </c>
      <c r="F4888">
        <v>0</v>
      </c>
      <c r="G4888">
        <v>0</v>
      </c>
      <c r="H4888">
        <v>0</v>
      </c>
    </row>
    <row r="4889" spans="1:8" x14ac:dyDescent="0.25">
      <c r="A4889">
        <v>19885092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  <c r="H4889">
        <v>0</v>
      </c>
    </row>
    <row r="4890" spans="1:8" x14ac:dyDescent="0.25">
      <c r="A4890">
        <v>19885094</v>
      </c>
      <c r="B4890">
        <v>19</v>
      </c>
      <c r="C4890">
        <v>0</v>
      </c>
      <c r="D4890">
        <v>1</v>
      </c>
      <c r="E4890">
        <v>1</v>
      </c>
      <c r="F4890">
        <v>1</v>
      </c>
      <c r="G4890">
        <v>1</v>
      </c>
      <c r="H4890">
        <v>179</v>
      </c>
    </row>
    <row r="4891" spans="1:8" x14ac:dyDescent="0.25">
      <c r="A4891">
        <v>19885095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  <c r="H4891">
        <v>0</v>
      </c>
    </row>
    <row r="4892" spans="1:8" x14ac:dyDescent="0.25">
      <c r="A4892">
        <v>19894756</v>
      </c>
      <c r="B4892">
        <v>59</v>
      </c>
      <c r="C4892">
        <v>0</v>
      </c>
      <c r="D4892">
        <v>5</v>
      </c>
      <c r="E4892">
        <v>12</v>
      </c>
      <c r="F4892">
        <v>40</v>
      </c>
      <c r="G4892">
        <v>40</v>
      </c>
      <c r="H4892">
        <v>34.938000000000002</v>
      </c>
    </row>
    <row r="4893" spans="1:8" x14ac:dyDescent="0.25">
      <c r="A4893">
        <v>19894757</v>
      </c>
      <c r="B4893">
        <v>18</v>
      </c>
      <c r="C4893">
        <v>0</v>
      </c>
      <c r="D4893">
        <v>5</v>
      </c>
      <c r="E4893">
        <v>37</v>
      </c>
      <c r="F4893">
        <v>81</v>
      </c>
      <c r="G4893">
        <v>81</v>
      </c>
      <c r="H4893">
        <v>33.729999999999997</v>
      </c>
    </row>
    <row r="4894" spans="1:8" x14ac:dyDescent="0.25">
      <c r="A4894">
        <v>19894758</v>
      </c>
      <c r="B4894">
        <v>22</v>
      </c>
      <c r="C4894">
        <v>0</v>
      </c>
      <c r="D4894">
        <v>7</v>
      </c>
      <c r="E4894">
        <v>18</v>
      </c>
      <c r="F4894">
        <v>55</v>
      </c>
      <c r="G4894">
        <v>55</v>
      </c>
      <c r="H4894">
        <v>34.655700000000003</v>
      </c>
    </row>
    <row r="4895" spans="1:8" x14ac:dyDescent="0.25">
      <c r="A4895">
        <v>19898584</v>
      </c>
      <c r="B4895">
        <v>5</v>
      </c>
      <c r="C4895">
        <v>0</v>
      </c>
      <c r="D4895">
        <v>0</v>
      </c>
      <c r="E4895">
        <v>0</v>
      </c>
      <c r="F4895">
        <v>0</v>
      </c>
      <c r="G4895">
        <v>0</v>
      </c>
      <c r="H4895">
        <v>0</v>
      </c>
    </row>
    <row r="4896" spans="1:8" x14ac:dyDescent="0.25">
      <c r="A4896">
        <v>19902915</v>
      </c>
      <c r="B4896">
        <v>9</v>
      </c>
      <c r="C4896">
        <v>0</v>
      </c>
      <c r="D4896">
        <v>0</v>
      </c>
      <c r="E4896">
        <v>0</v>
      </c>
      <c r="F4896">
        <v>3</v>
      </c>
      <c r="G4896">
        <v>3</v>
      </c>
      <c r="H4896">
        <v>0</v>
      </c>
    </row>
    <row r="4897" spans="1:8" x14ac:dyDescent="0.25">
      <c r="A4897">
        <v>19902916</v>
      </c>
      <c r="B4897">
        <v>7</v>
      </c>
      <c r="C4897">
        <v>0</v>
      </c>
      <c r="D4897">
        <v>0</v>
      </c>
      <c r="E4897">
        <v>2</v>
      </c>
      <c r="F4897">
        <v>5</v>
      </c>
      <c r="G4897">
        <v>5</v>
      </c>
      <c r="H4897">
        <v>0</v>
      </c>
    </row>
    <row r="4898" spans="1:8" x14ac:dyDescent="0.25">
      <c r="A4898">
        <v>19902917</v>
      </c>
      <c r="B4898">
        <v>12</v>
      </c>
      <c r="C4898">
        <v>0</v>
      </c>
      <c r="D4898">
        <v>0</v>
      </c>
      <c r="E4898">
        <v>0</v>
      </c>
      <c r="F4898">
        <v>0</v>
      </c>
      <c r="G4898">
        <v>0</v>
      </c>
      <c r="H4898">
        <v>0</v>
      </c>
    </row>
    <row r="4899" spans="1:8" x14ac:dyDescent="0.25">
      <c r="A4899">
        <v>19902918</v>
      </c>
      <c r="B4899">
        <v>3</v>
      </c>
      <c r="C4899">
        <v>0</v>
      </c>
      <c r="D4899">
        <v>0</v>
      </c>
      <c r="E4899">
        <v>2</v>
      </c>
      <c r="F4899">
        <v>9</v>
      </c>
      <c r="G4899">
        <v>9</v>
      </c>
      <c r="H4899">
        <v>0</v>
      </c>
    </row>
    <row r="4900" spans="1:8" x14ac:dyDescent="0.25">
      <c r="A4900">
        <v>19902919</v>
      </c>
      <c r="B4900">
        <v>7</v>
      </c>
      <c r="C4900">
        <v>0</v>
      </c>
      <c r="D4900">
        <v>1</v>
      </c>
      <c r="E4900">
        <v>1</v>
      </c>
      <c r="F4900">
        <v>1</v>
      </c>
      <c r="G4900">
        <v>1</v>
      </c>
      <c r="H4900">
        <v>19.989999999999998</v>
      </c>
    </row>
    <row r="4901" spans="1:8" x14ac:dyDescent="0.25">
      <c r="A4901">
        <v>19902920</v>
      </c>
      <c r="B4901">
        <v>4</v>
      </c>
      <c r="C4901">
        <v>0</v>
      </c>
      <c r="D4901">
        <v>0</v>
      </c>
      <c r="E4901">
        <v>0</v>
      </c>
      <c r="F4901">
        <v>4</v>
      </c>
      <c r="G4901">
        <v>4</v>
      </c>
      <c r="H4901">
        <v>0</v>
      </c>
    </row>
    <row r="4902" spans="1:8" x14ac:dyDescent="0.25">
      <c r="A4902">
        <v>19902921</v>
      </c>
      <c r="B4902">
        <v>0</v>
      </c>
      <c r="C4902">
        <v>0</v>
      </c>
      <c r="D4902">
        <v>1</v>
      </c>
      <c r="E4902">
        <v>3</v>
      </c>
      <c r="F4902">
        <v>12</v>
      </c>
      <c r="G4902">
        <v>12</v>
      </c>
      <c r="H4902">
        <v>6.39</v>
      </c>
    </row>
    <row r="4903" spans="1:8" x14ac:dyDescent="0.25">
      <c r="A4903">
        <v>19902922</v>
      </c>
      <c r="B4903">
        <v>3</v>
      </c>
      <c r="C4903">
        <v>0</v>
      </c>
      <c r="D4903">
        <v>0</v>
      </c>
      <c r="E4903">
        <v>1</v>
      </c>
      <c r="F4903">
        <v>5</v>
      </c>
      <c r="G4903">
        <v>5</v>
      </c>
      <c r="H4903">
        <v>0</v>
      </c>
    </row>
    <row r="4904" spans="1:8" x14ac:dyDescent="0.25">
      <c r="A4904">
        <v>19903777</v>
      </c>
      <c r="B4904">
        <v>611</v>
      </c>
      <c r="C4904">
        <v>0</v>
      </c>
      <c r="D4904">
        <v>29</v>
      </c>
      <c r="E4904">
        <v>90</v>
      </c>
      <c r="F4904">
        <v>150</v>
      </c>
      <c r="G4904">
        <v>150</v>
      </c>
      <c r="H4904">
        <v>245.64859999999999</v>
      </c>
    </row>
    <row r="4905" spans="1:8" x14ac:dyDescent="0.25">
      <c r="A4905">
        <v>19903780</v>
      </c>
      <c r="B4905">
        <v>116</v>
      </c>
      <c r="C4905">
        <v>30</v>
      </c>
      <c r="D4905">
        <v>12</v>
      </c>
      <c r="E4905">
        <v>43</v>
      </c>
      <c r="F4905">
        <v>55</v>
      </c>
      <c r="G4905">
        <v>55</v>
      </c>
      <c r="H4905">
        <v>290.36579999999998</v>
      </c>
    </row>
    <row r="4906" spans="1:8" x14ac:dyDescent="0.25">
      <c r="A4906">
        <v>19903781</v>
      </c>
      <c r="B4906">
        <v>54</v>
      </c>
      <c r="C4906">
        <v>0</v>
      </c>
      <c r="D4906">
        <v>1</v>
      </c>
      <c r="E4906">
        <v>1</v>
      </c>
      <c r="F4906">
        <v>1</v>
      </c>
      <c r="G4906">
        <v>1</v>
      </c>
      <c r="H4906">
        <v>299</v>
      </c>
    </row>
    <row r="4907" spans="1:8" x14ac:dyDescent="0.25">
      <c r="A4907">
        <v>19903884</v>
      </c>
      <c r="B4907">
        <v>50</v>
      </c>
      <c r="C4907">
        <v>0</v>
      </c>
      <c r="D4907">
        <v>0</v>
      </c>
      <c r="E4907">
        <v>0</v>
      </c>
      <c r="F4907">
        <v>0</v>
      </c>
      <c r="G4907">
        <v>0</v>
      </c>
      <c r="H4907">
        <v>0</v>
      </c>
    </row>
    <row r="4908" spans="1:8" x14ac:dyDescent="0.25">
      <c r="A4908">
        <v>19904036</v>
      </c>
      <c r="B4908">
        <v>0</v>
      </c>
      <c r="C4908">
        <v>110</v>
      </c>
      <c r="D4908">
        <v>4</v>
      </c>
      <c r="E4908">
        <v>23</v>
      </c>
      <c r="F4908">
        <v>38</v>
      </c>
      <c r="G4908">
        <v>38</v>
      </c>
      <c r="H4908">
        <v>345.25</v>
      </c>
    </row>
    <row r="4909" spans="1:8" x14ac:dyDescent="0.25">
      <c r="A4909">
        <v>19904056</v>
      </c>
      <c r="B4909">
        <v>161</v>
      </c>
      <c r="C4909">
        <v>0</v>
      </c>
      <c r="D4909">
        <v>12</v>
      </c>
      <c r="E4909">
        <v>45</v>
      </c>
      <c r="F4909">
        <v>127</v>
      </c>
      <c r="G4909">
        <v>127</v>
      </c>
      <c r="H4909">
        <v>83.3767</v>
      </c>
    </row>
    <row r="4910" spans="1:8" x14ac:dyDescent="0.25">
      <c r="A4910">
        <v>19904246</v>
      </c>
      <c r="B4910">
        <v>241</v>
      </c>
      <c r="C4910">
        <v>40</v>
      </c>
      <c r="D4910">
        <v>33</v>
      </c>
      <c r="E4910">
        <v>355</v>
      </c>
      <c r="F4910">
        <v>355</v>
      </c>
      <c r="G4910">
        <v>355</v>
      </c>
      <c r="H4910">
        <v>59.130600000000001</v>
      </c>
    </row>
    <row r="4911" spans="1:8" x14ac:dyDescent="0.25">
      <c r="A4911">
        <v>19904247</v>
      </c>
      <c r="B4911">
        <v>460</v>
      </c>
      <c r="C4911">
        <v>0</v>
      </c>
      <c r="D4911">
        <v>27</v>
      </c>
      <c r="E4911">
        <v>116</v>
      </c>
      <c r="F4911">
        <v>246</v>
      </c>
      <c r="G4911">
        <v>246</v>
      </c>
      <c r="H4911">
        <v>78.234800000000007</v>
      </c>
    </row>
    <row r="4912" spans="1:8" x14ac:dyDescent="0.25">
      <c r="A4912">
        <v>19906075</v>
      </c>
      <c r="B4912">
        <v>454</v>
      </c>
      <c r="C4912">
        <v>136</v>
      </c>
      <c r="D4912">
        <v>5</v>
      </c>
      <c r="E4912">
        <v>6</v>
      </c>
      <c r="F4912">
        <v>6</v>
      </c>
      <c r="G4912">
        <v>6</v>
      </c>
      <c r="H4912">
        <v>345.928</v>
      </c>
    </row>
    <row r="4913" spans="1:8" x14ac:dyDescent="0.25">
      <c r="A4913">
        <v>19906076</v>
      </c>
      <c r="B4913">
        <v>347</v>
      </c>
      <c r="C4913">
        <v>0</v>
      </c>
      <c r="D4913">
        <v>2</v>
      </c>
      <c r="E4913">
        <v>2</v>
      </c>
      <c r="F4913">
        <v>2</v>
      </c>
      <c r="G4913">
        <v>2</v>
      </c>
      <c r="H4913">
        <v>399</v>
      </c>
    </row>
    <row r="4914" spans="1:8" x14ac:dyDescent="0.25">
      <c r="A4914">
        <v>19906077</v>
      </c>
      <c r="B4914">
        <v>91</v>
      </c>
      <c r="C4914">
        <v>85</v>
      </c>
      <c r="D4914">
        <v>1</v>
      </c>
      <c r="E4914">
        <v>1</v>
      </c>
      <c r="F4914">
        <v>1</v>
      </c>
      <c r="G4914">
        <v>1</v>
      </c>
      <c r="H4914">
        <v>524.22</v>
      </c>
    </row>
    <row r="4915" spans="1:8" x14ac:dyDescent="0.25">
      <c r="A4915">
        <v>19906078</v>
      </c>
      <c r="B4915">
        <v>150</v>
      </c>
      <c r="C4915">
        <v>87</v>
      </c>
      <c r="D4915">
        <v>0</v>
      </c>
      <c r="E4915">
        <v>0</v>
      </c>
      <c r="F4915">
        <v>0</v>
      </c>
      <c r="G4915">
        <v>0</v>
      </c>
      <c r="H4915">
        <v>0</v>
      </c>
    </row>
    <row r="4916" spans="1:8" x14ac:dyDescent="0.25">
      <c r="A4916">
        <v>19906079</v>
      </c>
      <c r="B4916">
        <v>41</v>
      </c>
      <c r="C4916">
        <v>26</v>
      </c>
      <c r="D4916">
        <v>0</v>
      </c>
      <c r="E4916">
        <v>0</v>
      </c>
      <c r="F4916">
        <v>0</v>
      </c>
      <c r="G4916">
        <v>0</v>
      </c>
      <c r="H4916">
        <v>0</v>
      </c>
    </row>
    <row r="4917" spans="1:8" x14ac:dyDescent="0.25">
      <c r="A4917">
        <v>19906080</v>
      </c>
      <c r="B4917">
        <v>318</v>
      </c>
      <c r="C4917">
        <v>40</v>
      </c>
      <c r="D4917">
        <v>0</v>
      </c>
      <c r="E4917">
        <v>0</v>
      </c>
      <c r="F4917">
        <v>0</v>
      </c>
      <c r="G4917">
        <v>0</v>
      </c>
      <c r="H4917">
        <v>0</v>
      </c>
    </row>
    <row r="4918" spans="1:8" x14ac:dyDescent="0.25">
      <c r="A4918">
        <v>19906591</v>
      </c>
      <c r="B4918">
        <v>222</v>
      </c>
      <c r="C4918">
        <v>33</v>
      </c>
      <c r="D4918">
        <v>43</v>
      </c>
      <c r="E4918">
        <v>110</v>
      </c>
      <c r="F4918">
        <v>205</v>
      </c>
      <c r="G4918">
        <v>205</v>
      </c>
      <c r="H4918">
        <v>984.77419999999995</v>
      </c>
    </row>
    <row r="4919" spans="1:8" x14ac:dyDescent="0.25">
      <c r="A4919">
        <v>19906592</v>
      </c>
      <c r="B4919">
        <v>56</v>
      </c>
      <c r="C4919">
        <v>5</v>
      </c>
      <c r="D4919">
        <v>14</v>
      </c>
      <c r="E4919">
        <v>64</v>
      </c>
      <c r="F4919">
        <v>102</v>
      </c>
      <c r="G4919">
        <v>102</v>
      </c>
      <c r="H4919">
        <v>979.08429999999998</v>
      </c>
    </row>
    <row r="4920" spans="1:8" x14ac:dyDescent="0.25">
      <c r="A4920">
        <v>19906593</v>
      </c>
      <c r="B4920">
        <v>70</v>
      </c>
      <c r="C4920">
        <v>4</v>
      </c>
      <c r="D4920">
        <v>13</v>
      </c>
      <c r="E4920">
        <v>60</v>
      </c>
      <c r="F4920">
        <v>102</v>
      </c>
      <c r="G4920">
        <v>102</v>
      </c>
      <c r="H4920">
        <v>1014.3085</v>
      </c>
    </row>
    <row r="4921" spans="1:8" x14ac:dyDescent="0.25">
      <c r="A4921">
        <v>19906594</v>
      </c>
      <c r="B4921">
        <v>36</v>
      </c>
      <c r="C4921">
        <v>20</v>
      </c>
      <c r="D4921">
        <v>7</v>
      </c>
      <c r="E4921">
        <v>30</v>
      </c>
      <c r="F4921">
        <v>62</v>
      </c>
      <c r="G4921">
        <v>62</v>
      </c>
      <c r="H4921">
        <v>999</v>
      </c>
    </row>
    <row r="4922" spans="1:8" x14ac:dyDescent="0.25">
      <c r="A4922">
        <v>19906595</v>
      </c>
      <c r="B4922">
        <v>144</v>
      </c>
      <c r="C4922">
        <v>9</v>
      </c>
      <c r="D4922">
        <v>16</v>
      </c>
      <c r="E4922">
        <v>53</v>
      </c>
      <c r="F4922">
        <v>83</v>
      </c>
      <c r="G4922">
        <v>83</v>
      </c>
      <c r="H4922">
        <v>1220.4081000000001</v>
      </c>
    </row>
    <row r="4923" spans="1:8" x14ac:dyDescent="0.25">
      <c r="A4923">
        <v>19906596</v>
      </c>
      <c r="B4923">
        <v>64</v>
      </c>
      <c r="C4923">
        <v>11</v>
      </c>
      <c r="D4923">
        <v>5</v>
      </c>
      <c r="E4923">
        <v>16</v>
      </c>
      <c r="F4923">
        <v>24</v>
      </c>
      <c r="G4923">
        <v>24</v>
      </c>
      <c r="H4923">
        <v>1269</v>
      </c>
    </row>
    <row r="4924" spans="1:8" x14ac:dyDescent="0.25">
      <c r="A4924">
        <v>19906597</v>
      </c>
      <c r="B4924">
        <v>61</v>
      </c>
      <c r="C4924">
        <v>12</v>
      </c>
      <c r="D4924">
        <v>9</v>
      </c>
      <c r="E4924">
        <v>25</v>
      </c>
      <c r="F4924">
        <v>36</v>
      </c>
      <c r="G4924">
        <v>36</v>
      </c>
      <c r="H4924">
        <v>1167.3178</v>
      </c>
    </row>
    <row r="4925" spans="1:8" x14ac:dyDescent="0.25">
      <c r="A4925">
        <v>19906598</v>
      </c>
      <c r="B4925">
        <v>77</v>
      </c>
      <c r="C4925">
        <v>0</v>
      </c>
      <c r="D4925">
        <v>7</v>
      </c>
      <c r="E4925">
        <v>14</v>
      </c>
      <c r="F4925">
        <v>28</v>
      </c>
      <c r="G4925">
        <v>28</v>
      </c>
      <c r="H4925">
        <v>1190.6329000000001</v>
      </c>
    </row>
    <row r="4926" spans="1:8" x14ac:dyDescent="0.25">
      <c r="A4926">
        <v>19906599</v>
      </c>
      <c r="B4926">
        <v>51</v>
      </c>
      <c r="C4926">
        <v>0</v>
      </c>
      <c r="D4926">
        <v>2</v>
      </c>
      <c r="E4926">
        <v>19</v>
      </c>
      <c r="F4926">
        <v>29</v>
      </c>
      <c r="G4926">
        <v>29</v>
      </c>
      <c r="H4926">
        <v>1349</v>
      </c>
    </row>
    <row r="4927" spans="1:8" x14ac:dyDescent="0.25">
      <c r="A4927">
        <v>19906600</v>
      </c>
      <c r="B4927">
        <v>35</v>
      </c>
      <c r="C4927">
        <v>5</v>
      </c>
      <c r="D4927">
        <v>0</v>
      </c>
      <c r="E4927">
        <v>1</v>
      </c>
      <c r="F4927">
        <v>6</v>
      </c>
      <c r="G4927">
        <v>6</v>
      </c>
      <c r="H4927">
        <v>0</v>
      </c>
    </row>
    <row r="4928" spans="1:8" x14ac:dyDescent="0.25">
      <c r="A4928">
        <v>19906601</v>
      </c>
      <c r="B4928">
        <v>44</v>
      </c>
      <c r="C4928">
        <v>3</v>
      </c>
      <c r="D4928">
        <v>4</v>
      </c>
      <c r="E4928">
        <v>10</v>
      </c>
      <c r="F4928">
        <v>16</v>
      </c>
      <c r="G4928">
        <v>16</v>
      </c>
      <c r="H4928">
        <v>1449</v>
      </c>
    </row>
    <row r="4929" spans="1:8" x14ac:dyDescent="0.25">
      <c r="A4929">
        <v>19906602</v>
      </c>
      <c r="B4929">
        <v>44</v>
      </c>
      <c r="C4929">
        <v>0</v>
      </c>
      <c r="D4929">
        <v>5</v>
      </c>
      <c r="E4929">
        <v>10</v>
      </c>
      <c r="F4929">
        <v>16</v>
      </c>
      <c r="G4929">
        <v>16</v>
      </c>
      <c r="H4929">
        <v>1379</v>
      </c>
    </row>
    <row r="4930" spans="1:8" x14ac:dyDescent="0.25">
      <c r="A4930">
        <v>19906603</v>
      </c>
      <c r="B4930">
        <v>189</v>
      </c>
      <c r="C4930">
        <v>24</v>
      </c>
      <c r="D4930">
        <v>15</v>
      </c>
      <c r="E4930">
        <v>64</v>
      </c>
      <c r="F4930">
        <v>114</v>
      </c>
      <c r="G4930">
        <v>114</v>
      </c>
      <c r="H4930">
        <v>1174.1986999999999</v>
      </c>
    </row>
    <row r="4931" spans="1:8" x14ac:dyDescent="0.25">
      <c r="A4931">
        <v>19906604</v>
      </c>
      <c r="B4931">
        <v>51</v>
      </c>
      <c r="C4931">
        <v>20</v>
      </c>
      <c r="D4931">
        <v>5</v>
      </c>
      <c r="E4931">
        <v>12</v>
      </c>
      <c r="F4931">
        <v>31</v>
      </c>
      <c r="G4931">
        <v>31</v>
      </c>
      <c r="H4931">
        <v>1209</v>
      </c>
    </row>
    <row r="4932" spans="1:8" x14ac:dyDescent="0.25">
      <c r="A4932">
        <v>19906605</v>
      </c>
      <c r="B4932">
        <v>65</v>
      </c>
      <c r="C4932">
        <v>11</v>
      </c>
      <c r="D4932">
        <v>9</v>
      </c>
      <c r="E4932">
        <v>22</v>
      </c>
      <c r="F4932">
        <v>34</v>
      </c>
      <c r="G4932">
        <v>34</v>
      </c>
      <c r="H4932">
        <v>1164.4844000000001</v>
      </c>
    </row>
    <row r="4933" spans="1:8" x14ac:dyDescent="0.25">
      <c r="A4933">
        <v>19906606</v>
      </c>
      <c r="B4933">
        <v>93</v>
      </c>
      <c r="C4933">
        <v>2</v>
      </c>
      <c r="D4933">
        <v>2</v>
      </c>
      <c r="E4933">
        <v>16</v>
      </c>
      <c r="F4933">
        <v>34</v>
      </c>
      <c r="G4933">
        <v>34</v>
      </c>
      <c r="H4933">
        <v>1149</v>
      </c>
    </row>
    <row r="4934" spans="1:8" x14ac:dyDescent="0.25">
      <c r="A4934">
        <v>19906607</v>
      </c>
      <c r="B4934">
        <v>73</v>
      </c>
      <c r="C4934">
        <v>4</v>
      </c>
      <c r="D4934">
        <v>9</v>
      </c>
      <c r="E4934">
        <v>34</v>
      </c>
      <c r="F4934">
        <v>53</v>
      </c>
      <c r="G4934">
        <v>53</v>
      </c>
      <c r="H4934">
        <v>1396.2221999999999</v>
      </c>
    </row>
    <row r="4935" spans="1:8" x14ac:dyDescent="0.25">
      <c r="A4935">
        <v>19906608</v>
      </c>
      <c r="B4935">
        <v>55</v>
      </c>
      <c r="C4935">
        <v>5</v>
      </c>
      <c r="D4935">
        <v>-1</v>
      </c>
      <c r="E4935">
        <v>11</v>
      </c>
      <c r="F4935">
        <v>18</v>
      </c>
      <c r="G4935">
        <v>18</v>
      </c>
      <c r="H4935">
        <v>1499</v>
      </c>
    </row>
    <row r="4936" spans="1:8" x14ac:dyDescent="0.25">
      <c r="A4936">
        <v>19906609</v>
      </c>
      <c r="B4936">
        <v>33</v>
      </c>
      <c r="C4936">
        <v>3</v>
      </c>
      <c r="D4936">
        <v>2</v>
      </c>
      <c r="E4936">
        <v>4</v>
      </c>
      <c r="F4936">
        <v>12</v>
      </c>
      <c r="G4936">
        <v>12</v>
      </c>
      <c r="H4936">
        <v>1424</v>
      </c>
    </row>
    <row r="4937" spans="1:8" x14ac:dyDescent="0.25">
      <c r="A4937">
        <v>19906610</v>
      </c>
      <c r="B4937">
        <v>37</v>
      </c>
      <c r="C4937">
        <v>1</v>
      </c>
      <c r="D4937">
        <v>2</v>
      </c>
      <c r="E4937">
        <v>6</v>
      </c>
      <c r="F4937">
        <v>8</v>
      </c>
      <c r="G4937">
        <v>8</v>
      </c>
      <c r="H4937">
        <v>1349</v>
      </c>
    </row>
    <row r="4938" spans="1:8" x14ac:dyDescent="0.25">
      <c r="A4938">
        <v>19906611</v>
      </c>
      <c r="B4938">
        <v>27</v>
      </c>
      <c r="C4938">
        <v>0</v>
      </c>
      <c r="D4938">
        <v>2</v>
      </c>
      <c r="E4938">
        <v>7</v>
      </c>
      <c r="F4938">
        <v>8</v>
      </c>
      <c r="G4938">
        <v>8</v>
      </c>
      <c r="H4938">
        <v>1624</v>
      </c>
    </row>
    <row r="4939" spans="1:8" x14ac:dyDescent="0.25">
      <c r="A4939">
        <v>19906612</v>
      </c>
      <c r="B4939">
        <v>26</v>
      </c>
      <c r="C4939">
        <v>2</v>
      </c>
      <c r="D4939">
        <v>3</v>
      </c>
      <c r="E4939">
        <v>16</v>
      </c>
      <c r="F4939">
        <v>20</v>
      </c>
      <c r="G4939">
        <v>20</v>
      </c>
      <c r="H4939">
        <v>1540.6667</v>
      </c>
    </row>
    <row r="4940" spans="1:8" x14ac:dyDescent="0.25">
      <c r="A4940">
        <v>19906613</v>
      </c>
      <c r="B4940">
        <v>29</v>
      </c>
      <c r="C4940">
        <v>0</v>
      </c>
      <c r="D4940">
        <v>3</v>
      </c>
      <c r="E4940">
        <v>7</v>
      </c>
      <c r="F4940">
        <v>9</v>
      </c>
      <c r="G4940">
        <v>9</v>
      </c>
      <c r="H4940">
        <v>1649</v>
      </c>
    </row>
    <row r="4941" spans="1:8" x14ac:dyDescent="0.25">
      <c r="A4941">
        <v>19906614</v>
      </c>
      <c r="B4941">
        <v>32</v>
      </c>
      <c r="C4941">
        <v>1</v>
      </c>
      <c r="D4941">
        <v>8</v>
      </c>
      <c r="E4941">
        <v>21</v>
      </c>
      <c r="F4941">
        <v>36</v>
      </c>
      <c r="G4941">
        <v>36</v>
      </c>
      <c r="H4941">
        <v>1601.54</v>
      </c>
    </row>
    <row r="4942" spans="1:8" x14ac:dyDescent="0.25">
      <c r="A4942">
        <v>19906615</v>
      </c>
      <c r="B4942">
        <v>0</v>
      </c>
      <c r="C4942">
        <v>0</v>
      </c>
      <c r="D4942">
        <v>0</v>
      </c>
      <c r="E4942">
        <v>0</v>
      </c>
      <c r="F4942">
        <v>1</v>
      </c>
      <c r="G4942">
        <v>1</v>
      </c>
      <c r="H4942">
        <v>0</v>
      </c>
    </row>
    <row r="4943" spans="1:8" x14ac:dyDescent="0.25">
      <c r="A4943">
        <v>19906617</v>
      </c>
      <c r="B4943">
        <v>38</v>
      </c>
      <c r="C4943">
        <v>6</v>
      </c>
      <c r="D4943">
        <v>6</v>
      </c>
      <c r="E4943">
        <v>13</v>
      </c>
      <c r="F4943">
        <v>18</v>
      </c>
      <c r="G4943">
        <v>18</v>
      </c>
      <c r="H4943">
        <v>1997.3333</v>
      </c>
    </row>
    <row r="4944" spans="1:8" x14ac:dyDescent="0.25">
      <c r="A4944">
        <v>19906618</v>
      </c>
      <c r="B4944">
        <v>56</v>
      </c>
      <c r="C4944">
        <v>10</v>
      </c>
      <c r="D4944">
        <v>16</v>
      </c>
      <c r="E4944">
        <v>39</v>
      </c>
      <c r="F4944">
        <v>57</v>
      </c>
      <c r="G4944">
        <v>57</v>
      </c>
      <c r="H4944">
        <v>1985.2462</v>
      </c>
    </row>
    <row r="4945" spans="1:8" x14ac:dyDescent="0.25">
      <c r="A4945">
        <v>19906619</v>
      </c>
      <c r="B4945">
        <v>22</v>
      </c>
      <c r="C4945">
        <v>8</v>
      </c>
      <c r="D4945">
        <v>3</v>
      </c>
      <c r="E4945">
        <v>6</v>
      </c>
      <c r="F4945">
        <v>10</v>
      </c>
      <c r="G4945">
        <v>10</v>
      </c>
      <c r="H4945">
        <v>2395.91</v>
      </c>
    </row>
    <row r="4946" spans="1:8" x14ac:dyDescent="0.25">
      <c r="A4946">
        <v>19906620</v>
      </c>
      <c r="B4946">
        <v>18</v>
      </c>
      <c r="C4946">
        <v>17</v>
      </c>
      <c r="D4946">
        <v>3</v>
      </c>
      <c r="E4946">
        <v>7</v>
      </c>
      <c r="F4946">
        <v>8</v>
      </c>
      <c r="G4946">
        <v>8</v>
      </c>
      <c r="H4946">
        <v>2395.7267000000002</v>
      </c>
    </row>
    <row r="4947" spans="1:8" x14ac:dyDescent="0.25">
      <c r="A4947">
        <v>19906622</v>
      </c>
      <c r="B4947">
        <v>0</v>
      </c>
      <c r="C4947">
        <v>0</v>
      </c>
      <c r="D4947">
        <v>2</v>
      </c>
      <c r="E4947">
        <v>2</v>
      </c>
      <c r="F4947">
        <v>2</v>
      </c>
      <c r="G4947">
        <v>2</v>
      </c>
      <c r="H4947">
        <v>2599</v>
      </c>
    </row>
    <row r="4948" spans="1:8" x14ac:dyDescent="0.25">
      <c r="A4948">
        <v>19906623</v>
      </c>
      <c r="B4948">
        <v>25</v>
      </c>
      <c r="C4948">
        <v>4</v>
      </c>
      <c r="D4948">
        <v>2</v>
      </c>
      <c r="E4948">
        <v>8</v>
      </c>
      <c r="F4948">
        <v>8</v>
      </c>
      <c r="G4948">
        <v>8</v>
      </c>
      <c r="H4948">
        <v>1899</v>
      </c>
    </row>
    <row r="4949" spans="1:8" x14ac:dyDescent="0.25">
      <c r="A4949">
        <v>19906624</v>
      </c>
      <c r="B4949">
        <v>50</v>
      </c>
      <c r="C4949">
        <v>9</v>
      </c>
      <c r="D4949">
        <v>12</v>
      </c>
      <c r="E4949">
        <v>26</v>
      </c>
      <c r="F4949">
        <v>32</v>
      </c>
      <c r="G4949">
        <v>32</v>
      </c>
      <c r="H4949">
        <v>1914.8333</v>
      </c>
    </row>
    <row r="4950" spans="1:8" x14ac:dyDescent="0.25">
      <c r="A4950">
        <v>19906627</v>
      </c>
      <c r="B4950">
        <v>0</v>
      </c>
      <c r="C4950">
        <v>0</v>
      </c>
      <c r="D4950">
        <v>3</v>
      </c>
      <c r="E4950">
        <v>4</v>
      </c>
      <c r="F4950">
        <v>4</v>
      </c>
      <c r="G4950">
        <v>4</v>
      </c>
      <c r="H4950">
        <v>4199</v>
      </c>
    </row>
    <row r="4951" spans="1:8" x14ac:dyDescent="0.25">
      <c r="A4951">
        <v>19906628</v>
      </c>
      <c r="B4951">
        <v>0</v>
      </c>
      <c r="C4951">
        <v>0</v>
      </c>
      <c r="D4951">
        <v>2</v>
      </c>
      <c r="E4951">
        <v>2</v>
      </c>
      <c r="F4951">
        <v>2</v>
      </c>
      <c r="G4951">
        <v>2</v>
      </c>
      <c r="H4951">
        <v>4199</v>
      </c>
    </row>
    <row r="4952" spans="1:8" x14ac:dyDescent="0.25">
      <c r="A4952">
        <v>19906629</v>
      </c>
      <c r="B4952">
        <v>36</v>
      </c>
      <c r="C4952">
        <v>7</v>
      </c>
      <c r="D4952">
        <v>7</v>
      </c>
      <c r="E4952">
        <v>15</v>
      </c>
      <c r="F4952">
        <v>21</v>
      </c>
      <c r="G4952">
        <v>21</v>
      </c>
      <c r="H4952">
        <v>2486.9985999999999</v>
      </c>
    </row>
    <row r="4953" spans="1:8" x14ac:dyDescent="0.25">
      <c r="A4953">
        <v>19906630</v>
      </c>
      <c r="B4953">
        <v>32</v>
      </c>
      <c r="C4953">
        <v>11</v>
      </c>
      <c r="D4953">
        <v>10</v>
      </c>
      <c r="E4953">
        <v>25</v>
      </c>
      <c r="F4953">
        <v>34</v>
      </c>
      <c r="G4953">
        <v>34</v>
      </c>
      <c r="H4953">
        <v>2492</v>
      </c>
    </row>
    <row r="4954" spans="1:8" x14ac:dyDescent="0.25">
      <c r="A4954">
        <v>19906631</v>
      </c>
      <c r="B4954">
        <v>17</v>
      </c>
      <c r="C4954">
        <v>6</v>
      </c>
      <c r="D4954">
        <v>2</v>
      </c>
      <c r="E4954">
        <v>6</v>
      </c>
      <c r="F4954">
        <v>9</v>
      </c>
      <c r="G4954">
        <v>9</v>
      </c>
      <c r="H4954">
        <v>2899</v>
      </c>
    </row>
    <row r="4955" spans="1:8" x14ac:dyDescent="0.25">
      <c r="A4955">
        <v>19906632</v>
      </c>
      <c r="B4955">
        <v>26</v>
      </c>
      <c r="C4955">
        <v>0</v>
      </c>
      <c r="D4955">
        <v>5</v>
      </c>
      <c r="E4955">
        <v>17</v>
      </c>
      <c r="F4955">
        <v>23</v>
      </c>
      <c r="G4955">
        <v>23</v>
      </c>
      <c r="H4955">
        <v>2898</v>
      </c>
    </row>
    <row r="4956" spans="1:8" x14ac:dyDescent="0.25">
      <c r="A4956">
        <v>19906633</v>
      </c>
      <c r="B4956">
        <v>6</v>
      </c>
      <c r="C4956">
        <v>0</v>
      </c>
      <c r="D4956">
        <v>4</v>
      </c>
      <c r="E4956">
        <v>18</v>
      </c>
      <c r="F4956">
        <v>49</v>
      </c>
      <c r="G4956">
        <v>49</v>
      </c>
      <c r="H4956">
        <v>596.59500000000003</v>
      </c>
    </row>
    <row r="4957" spans="1:8" x14ac:dyDescent="0.25">
      <c r="A4957">
        <v>19906634</v>
      </c>
      <c r="B4957">
        <v>7</v>
      </c>
      <c r="C4957">
        <v>0</v>
      </c>
      <c r="D4957">
        <v>-1</v>
      </c>
      <c r="E4957">
        <v>6</v>
      </c>
      <c r="F4957">
        <v>40</v>
      </c>
      <c r="G4957">
        <v>40</v>
      </c>
      <c r="H4957">
        <v>599</v>
      </c>
    </row>
    <row r="4958" spans="1:8" x14ac:dyDescent="0.25">
      <c r="A4958">
        <v>19906635</v>
      </c>
      <c r="B4958">
        <v>103</v>
      </c>
      <c r="C4958">
        <v>0</v>
      </c>
      <c r="D4958">
        <v>4</v>
      </c>
      <c r="E4958">
        <v>28</v>
      </c>
      <c r="F4958">
        <v>68</v>
      </c>
      <c r="G4958">
        <v>68</v>
      </c>
      <c r="H4958">
        <v>594</v>
      </c>
    </row>
    <row r="4959" spans="1:8" x14ac:dyDescent="0.25">
      <c r="A4959">
        <v>19906636</v>
      </c>
      <c r="B4959">
        <v>27</v>
      </c>
      <c r="C4959">
        <v>0</v>
      </c>
      <c r="D4959">
        <v>0</v>
      </c>
      <c r="E4959">
        <v>14</v>
      </c>
      <c r="F4959">
        <v>49</v>
      </c>
      <c r="G4959">
        <v>49</v>
      </c>
      <c r="H4959">
        <v>0</v>
      </c>
    </row>
    <row r="4960" spans="1:8" x14ac:dyDescent="0.25">
      <c r="A4960">
        <v>19906637</v>
      </c>
      <c r="B4960">
        <v>2</v>
      </c>
      <c r="C4960">
        <v>0</v>
      </c>
      <c r="D4960">
        <v>0</v>
      </c>
      <c r="E4960">
        <v>16</v>
      </c>
      <c r="F4960">
        <v>62</v>
      </c>
      <c r="G4960">
        <v>62</v>
      </c>
      <c r="H4960">
        <v>0</v>
      </c>
    </row>
    <row r="4961" spans="1:8" x14ac:dyDescent="0.25">
      <c r="A4961">
        <v>19906638</v>
      </c>
      <c r="B4961">
        <v>4</v>
      </c>
      <c r="C4961">
        <v>0</v>
      </c>
      <c r="D4961">
        <v>0</v>
      </c>
      <c r="E4961">
        <v>25</v>
      </c>
      <c r="F4961">
        <v>61</v>
      </c>
      <c r="G4961">
        <v>61</v>
      </c>
      <c r="H4961">
        <v>0</v>
      </c>
    </row>
    <row r="4962" spans="1:8" x14ac:dyDescent="0.25">
      <c r="A4962">
        <v>19906639</v>
      </c>
      <c r="B4962">
        <v>1</v>
      </c>
      <c r="C4962">
        <v>0</v>
      </c>
      <c r="D4962">
        <v>0</v>
      </c>
      <c r="E4962">
        <v>3</v>
      </c>
      <c r="F4962">
        <v>50</v>
      </c>
      <c r="G4962">
        <v>50</v>
      </c>
      <c r="H4962">
        <v>0</v>
      </c>
    </row>
    <row r="4963" spans="1:8" x14ac:dyDescent="0.25">
      <c r="A4963">
        <v>19906640</v>
      </c>
      <c r="B4963">
        <v>16</v>
      </c>
      <c r="C4963">
        <v>0</v>
      </c>
      <c r="D4963">
        <v>11</v>
      </c>
      <c r="E4963">
        <v>49</v>
      </c>
      <c r="F4963">
        <v>107</v>
      </c>
      <c r="G4963">
        <v>107</v>
      </c>
      <c r="H4963">
        <v>694.54449999999997</v>
      </c>
    </row>
    <row r="4964" spans="1:8" x14ac:dyDescent="0.25">
      <c r="A4964">
        <v>19906647</v>
      </c>
      <c r="B4964">
        <v>0</v>
      </c>
      <c r="C4964">
        <v>0</v>
      </c>
      <c r="D4964">
        <v>0</v>
      </c>
      <c r="E4964">
        <v>1</v>
      </c>
      <c r="F4964">
        <v>2</v>
      </c>
      <c r="G4964">
        <v>2</v>
      </c>
      <c r="H4964">
        <v>0</v>
      </c>
    </row>
    <row r="4965" spans="1:8" x14ac:dyDescent="0.25">
      <c r="A4965">
        <v>19907215</v>
      </c>
      <c r="B4965">
        <v>50</v>
      </c>
      <c r="C4965">
        <v>87</v>
      </c>
      <c r="D4965">
        <v>0</v>
      </c>
      <c r="E4965">
        <v>0</v>
      </c>
      <c r="F4965">
        <v>0</v>
      </c>
      <c r="G4965">
        <v>0</v>
      </c>
      <c r="H4965">
        <v>0</v>
      </c>
    </row>
    <row r="4966" spans="1:8" x14ac:dyDescent="0.25">
      <c r="A4966">
        <v>19907216</v>
      </c>
      <c r="B4966">
        <v>0</v>
      </c>
      <c r="C4966">
        <v>140</v>
      </c>
      <c r="D4966">
        <v>0</v>
      </c>
      <c r="E4966">
        <v>0</v>
      </c>
      <c r="F4966">
        <v>0</v>
      </c>
      <c r="G4966">
        <v>0</v>
      </c>
      <c r="H4966">
        <v>0</v>
      </c>
    </row>
    <row r="4967" spans="1:8" x14ac:dyDescent="0.25">
      <c r="A4967">
        <v>19907217</v>
      </c>
      <c r="B4967">
        <v>18</v>
      </c>
      <c r="C4967">
        <v>81</v>
      </c>
      <c r="D4967">
        <v>0</v>
      </c>
      <c r="E4967">
        <v>0</v>
      </c>
      <c r="F4967">
        <v>0</v>
      </c>
      <c r="G4967">
        <v>0</v>
      </c>
      <c r="H4967">
        <v>0</v>
      </c>
    </row>
    <row r="4968" spans="1:8" x14ac:dyDescent="0.25">
      <c r="A4968">
        <v>19907233</v>
      </c>
      <c r="B4968">
        <v>0</v>
      </c>
      <c r="C4968">
        <v>40</v>
      </c>
      <c r="D4968">
        <v>0</v>
      </c>
      <c r="E4968">
        <v>0</v>
      </c>
      <c r="F4968">
        <v>0</v>
      </c>
      <c r="G4968">
        <v>0</v>
      </c>
      <c r="H4968">
        <v>0</v>
      </c>
    </row>
    <row r="4969" spans="1:8" x14ac:dyDescent="0.25">
      <c r="A4969">
        <v>19907234</v>
      </c>
      <c r="B4969">
        <v>0</v>
      </c>
      <c r="C4969">
        <v>40</v>
      </c>
      <c r="D4969">
        <v>0</v>
      </c>
      <c r="E4969">
        <v>0</v>
      </c>
      <c r="F4969">
        <v>0</v>
      </c>
      <c r="G4969">
        <v>0</v>
      </c>
      <c r="H4969">
        <v>0</v>
      </c>
    </row>
    <row r="4970" spans="1:8" x14ac:dyDescent="0.25">
      <c r="A4970">
        <v>19907894</v>
      </c>
      <c r="B4970">
        <v>54</v>
      </c>
      <c r="C4970">
        <v>3</v>
      </c>
      <c r="D4970">
        <v>3</v>
      </c>
      <c r="E4970">
        <v>6</v>
      </c>
      <c r="F4970">
        <v>6</v>
      </c>
      <c r="G4970">
        <v>6</v>
      </c>
      <c r="H4970">
        <v>250.9967</v>
      </c>
    </row>
    <row r="4971" spans="1:8" x14ac:dyDescent="0.25">
      <c r="A4971">
        <v>19907895</v>
      </c>
      <c r="B4971">
        <v>68</v>
      </c>
      <c r="C4971">
        <v>0</v>
      </c>
      <c r="D4971">
        <v>2</v>
      </c>
      <c r="E4971">
        <v>2</v>
      </c>
      <c r="F4971">
        <v>2</v>
      </c>
      <c r="G4971">
        <v>2</v>
      </c>
      <c r="H4971">
        <v>139.495</v>
      </c>
    </row>
    <row r="4972" spans="1:8" x14ac:dyDescent="0.25">
      <c r="A4972">
        <v>19913019</v>
      </c>
      <c r="B4972">
        <v>446</v>
      </c>
      <c r="C4972">
        <v>24</v>
      </c>
      <c r="D4972">
        <v>40</v>
      </c>
      <c r="E4972">
        <v>117</v>
      </c>
      <c r="F4972">
        <v>126</v>
      </c>
      <c r="G4972">
        <v>126</v>
      </c>
      <c r="H4972">
        <v>45.561999999999998</v>
      </c>
    </row>
    <row r="4973" spans="1:8" x14ac:dyDescent="0.25">
      <c r="A4973">
        <v>19913020</v>
      </c>
      <c r="B4973">
        <v>24</v>
      </c>
      <c r="C4973">
        <v>0</v>
      </c>
      <c r="D4973">
        <v>0</v>
      </c>
      <c r="E4973">
        <v>0</v>
      </c>
      <c r="F4973">
        <v>0</v>
      </c>
      <c r="G4973">
        <v>0</v>
      </c>
      <c r="H4973">
        <v>0</v>
      </c>
    </row>
    <row r="4974" spans="1:8" x14ac:dyDescent="0.25">
      <c r="A4974">
        <v>19913021</v>
      </c>
      <c r="B4974">
        <v>279</v>
      </c>
      <c r="C4974">
        <v>26</v>
      </c>
      <c r="D4974">
        <v>7</v>
      </c>
      <c r="E4974">
        <v>29</v>
      </c>
      <c r="F4974">
        <v>29</v>
      </c>
      <c r="G4974">
        <v>29</v>
      </c>
      <c r="H4974">
        <v>370.21</v>
      </c>
    </row>
    <row r="4975" spans="1:8" x14ac:dyDescent="0.25">
      <c r="A4975">
        <v>19913023</v>
      </c>
      <c r="B4975">
        <v>117</v>
      </c>
      <c r="C4975">
        <v>0</v>
      </c>
      <c r="D4975">
        <v>8</v>
      </c>
      <c r="E4975">
        <v>17</v>
      </c>
      <c r="F4975">
        <v>18</v>
      </c>
      <c r="G4975">
        <v>18</v>
      </c>
      <c r="H4975">
        <v>398.46879999999999</v>
      </c>
    </row>
    <row r="4976" spans="1:8" x14ac:dyDescent="0.25">
      <c r="A4976">
        <v>19913024</v>
      </c>
      <c r="B4976">
        <v>168</v>
      </c>
      <c r="C4976">
        <v>0</v>
      </c>
      <c r="D4976">
        <v>5</v>
      </c>
      <c r="E4976">
        <v>16</v>
      </c>
      <c r="F4976">
        <v>18</v>
      </c>
      <c r="G4976">
        <v>18</v>
      </c>
      <c r="H4976">
        <v>168.17599999999999</v>
      </c>
    </row>
    <row r="4977" spans="1:8" x14ac:dyDescent="0.25">
      <c r="A4977">
        <v>19913027</v>
      </c>
      <c r="B4977">
        <v>625</v>
      </c>
      <c r="C4977">
        <v>0</v>
      </c>
      <c r="D4977">
        <v>19</v>
      </c>
      <c r="E4977">
        <v>108</v>
      </c>
      <c r="F4977">
        <v>120</v>
      </c>
      <c r="G4977">
        <v>120</v>
      </c>
      <c r="H4977">
        <v>83.2774</v>
      </c>
    </row>
    <row r="4978" spans="1:8" x14ac:dyDescent="0.25">
      <c r="A4978">
        <v>19932929</v>
      </c>
      <c r="B4978">
        <v>38</v>
      </c>
      <c r="C4978">
        <v>0</v>
      </c>
      <c r="D4978">
        <v>3</v>
      </c>
      <c r="E4978">
        <v>15</v>
      </c>
      <c r="F4978">
        <v>72</v>
      </c>
      <c r="G4978">
        <v>72</v>
      </c>
      <c r="H4978">
        <v>15</v>
      </c>
    </row>
    <row r="4979" spans="1:8" x14ac:dyDescent="0.25">
      <c r="A4979">
        <v>19938116</v>
      </c>
      <c r="B4979">
        <v>33</v>
      </c>
      <c r="C4979">
        <v>0</v>
      </c>
      <c r="D4979">
        <v>0</v>
      </c>
      <c r="E4979">
        <v>1</v>
      </c>
      <c r="F4979">
        <v>1</v>
      </c>
      <c r="G4979">
        <v>1</v>
      </c>
      <c r="H4979">
        <v>0</v>
      </c>
    </row>
    <row r="4980" spans="1:8" x14ac:dyDescent="0.25">
      <c r="A4980">
        <v>19939549</v>
      </c>
      <c r="B4980">
        <v>12</v>
      </c>
      <c r="C4980">
        <v>60</v>
      </c>
      <c r="D4980">
        <v>0</v>
      </c>
      <c r="E4980">
        <v>0</v>
      </c>
      <c r="F4980">
        <v>0</v>
      </c>
      <c r="G4980">
        <v>0</v>
      </c>
      <c r="H4980">
        <v>0</v>
      </c>
    </row>
    <row r="4981" spans="1:8" x14ac:dyDescent="0.25">
      <c r="A4981">
        <v>19939550</v>
      </c>
      <c r="B4981">
        <v>506</v>
      </c>
      <c r="C4981">
        <v>0</v>
      </c>
      <c r="D4981">
        <v>19</v>
      </c>
      <c r="E4981">
        <v>29</v>
      </c>
      <c r="F4981">
        <v>29</v>
      </c>
      <c r="G4981">
        <v>29</v>
      </c>
      <c r="H4981">
        <v>64.718900000000005</v>
      </c>
    </row>
    <row r="4982" spans="1:8" x14ac:dyDescent="0.25">
      <c r="A4982">
        <v>19939899</v>
      </c>
      <c r="B4982">
        <v>114</v>
      </c>
      <c r="C4982">
        <v>31</v>
      </c>
      <c r="D4982">
        <v>17</v>
      </c>
      <c r="E4982">
        <v>48</v>
      </c>
      <c r="F4982">
        <v>74</v>
      </c>
      <c r="G4982">
        <v>74</v>
      </c>
      <c r="H4982">
        <v>529.27880000000005</v>
      </c>
    </row>
    <row r="4983" spans="1:8" x14ac:dyDescent="0.25">
      <c r="A4983">
        <v>19939900</v>
      </c>
      <c r="B4983">
        <v>115</v>
      </c>
      <c r="C4983">
        <v>20</v>
      </c>
      <c r="D4983">
        <v>18</v>
      </c>
      <c r="E4983">
        <v>44</v>
      </c>
      <c r="F4983">
        <v>74</v>
      </c>
      <c r="G4983">
        <v>74</v>
      </c>
      <c r="H4983">
        <v>510.11110000000002</v>
      </c>
    </row>
    <row r="4984" spans="1:8" x14ac:dyDescent="0.25">
      <c r="A4984">
        <v>19939901</v>
      </c>
      <c r="B4984">
        <v>79</v>
      </c>
      <c r="C4984">
        <v>20</v>
      </c>
      <c r="D4984">
        <v>16</v>
      </c>
      <c r="E4984">
        <v>32</v>
      </c>
      <c r="F4984">
        <v>42</v>
      </c>
      <c r="G4984">
        <v>42</v>
      </c>
      <c r="H4984">
        <v>523.96810000000005</v>
      </c>
    </row>
    <row r="4985" spans="1:8" x14ac:dyDescent="0.25">
      <c r="A4985">
        <v>19939902</v>
      </c>
      <c r="B4985">
        <v>24</v>
      </c>
      <c r="C4985">
        <v>9</v>
      </c>
      <c r="D4985">
        <v>7</v>
      </c>
      <c r="E4985">
        <v>22</v>
      </c>
      <c r="F4985">
        <v>31</v>
      </c>
      <c r="G4985">
        <v>31</v>
      </c>
      <c r="H4985">
        <v>519.45140000000004</v>
      </c>
    </row>
    <row r="4986" spans="1:8" x14ac:dyDescent="0.25">
      <c r="A4986">
        <v>19939903</v>
      </c>
      <c r="B4986">
        <v>52</v>
      </c>
      <c r="C4986">
        <v>24</v>
      </c>
      <c r="D4986">
        <v>14</v>
      </c>
      <c r="E4986">
        <v>35</v>
      </c>
      <c r="F4986">
        <v>60</v>
      </c>
      <c r="G4986">
        <v>60</v>
      </c>
      <c r="H4986">
        <v>633.16210000000001</v>
      </c>
    </row>
    <row r="4987" spans="1:8" x14ac:dyDescent="0.25">
      <c r="A4987">
        <v>19939904</v>
      </c>
      <c r="B4987">
        <v>87</v>
      </c>
      <c r="C4987">
        <v>30</v>
      </c>
      <c r="D4987">
        <v>10</v>
      </c>
      <c r="E4987">
        <v>28</v>
      </c>
      <c r="F4987">
        <v>54</v>
      </c>
      <c r="G4987">
        <v>54</v>
      </c>
      <c r="H4987">
        <v>609.62599999999998</v>
      </c>
    </row>
    <row r="4988" spans="1:8" x14ac:dyDescent="0.25">
      <c r="A4988">
        <v>19939905</v>
      </c>
      <c r="B4988">
        <v>42</v>
      </c>
      <c r="C4988">
        <v>13</v>
      </c>
      <c r="D4988">
        <v>15</v>
      </c>
      <c r="E4988">
        <v>27</v>
      </c>
      <c r="F4988">
        <v>51</v>
      </c>
      <c r="G4988">
        <v>51</v>
      </c>
      <c r="H4988">
        <v>617.09529999999995</v>
      </c>
    </row>
    <row r="4989" spans="1:8" x14ac:dyDescent="0.25">
      <c r="A4989">
        <v>19939906</v>
      </c>
      <c r="B4989">
        <v>19</v>
      </c>
      <c r="C4989">
        <v>10</v>
      </c>
      <c r="D4989">
        <v>5</v>
      </c>
      <c r="E4989">
        <v>18</v>
      </c>
      <c r="F4989">
        <v>29</v>
      </c>
      <c r="G4989">
        <v>29</v>
      </c>
      <c r="H4989">
        <v>635.28</v>
      </c>
    </row>
    <row r="4990" spans="1:8" x14ac:dyDescent="0.25">
      <c r="A4990">
        <v>19939907</v>
      </c>
      <c r="B4990">
        <v>35</v>
      </c>
      <c r="C4990">
        <v>5</v>
      </c>
      <c r="D4990">
        <v>3</v>
      </c>
      <c r="E4990">
        <v>4</v>
      </c>
      <c r="F4990">
        <v>11</v>
      </c>
      <c r="G4990">
        <v>11</v>
      </c>
      <c r="H4990">
        <v>865.66669999999999</v>
      </c>
    </row>
    <row r="4991" spans="1:8" x14ac:dyDescent="0.25">
      <c r="A4991">
        <v>19939908</v>
      </c>
      <c r="B4991">
        <v>35</v>
      </c>
      <c r="C4991">
        <v>9</v>
      </c>
      <c r="D4991">
        <v>2</v>
      </c>
      <c r="E4991">
        <v>5</v>
      </c>
      <c r="F4991">
        <v>9</v>
      </c>
      <c r="G4991">
        <v>9</v>
      </c>
      <c r="H4991">
        <v>849</v>
      </c>
    </row>
    <row r="4992" spans="1:8" x14ac:dyDescent="0.25">
      <c r="A4992">
        <v>19939909</v>
      </c>
      <c r="B4992">
        <v>3</v>
      </c>
      <c r="C4992">
        <v>0</v>
      </c>
      <c r="D4992">
        <v>1</v>
      </c>
      <c r="E4992">
        <v>3</v>
      </c>
      <c r="F4992">
        <v>3</v>
      </c>
      <c r="G4992">
        <v>3</v>
      </c>
      <c r="H4992">
        <v>899</v>
      </c>
    </row>
    <row r="4993" spans="1:8" x14ac:dyDescent="0.25">
      <c r="A4993">
        <v>19939910</v>
      </c>
      <c r="B4993">
        <v>2</v>
      </c>
      <c r="C4993">
        <v>1</v>
      </c>
      <c r="D4993">
        <v>1</v>
      </c>
      <c r="E4993">
        <v>2</v>
      </c>
      <c r="F4993">
        <v>3</v>
      </c>
      <c r="G4993">
        <v>3</v>
      </c>
      <c r="H4993">
        <v>799</v>
      </c>
    </row>
    <row r="4994" spans="1:8" x14ac:dyDescent="0.25">
      <c r="A4994">
        <v>19939931</v>
      </c>
      <c r="B4994">
        <v>76</v>
      </c>
      <c r="C4994">
        <v>15</v>
      </c>
      <c r="D4994">
        <v>10</v>
      </c>
      <c r="E4994">
        <v>21</v>
      </c>
      <c r="F4994">
        <v>42</v>
      </c>
      <c r="G4994">
        <v>42</v>
      </c>
      <c r="H4994">
        <v>707.16300000000001</v>
      </c>
    </row>
    <row r="4995" spans="1:8" x14ac:dyDescent="0.25">
      <c r="A4995">
        <v>19939932</v>
      </c>
      <c r="B4995">
        <v>24</v>
      </c>
      <c r="C4995">
        <v>8</v>
      </c>
      <c r="D4995">
        <v>3</v>
      </c>
      <c r="E4995">
        <v>11</v>
      </c>
      <c r="F4995">
        <v>16</v>
      </c>
      <c r="G4995">
        <v>16</v>
      </c>
      <c r="H4995">
        <v>685.36</v>
      </c>
    </row>
    <row r="4996" spans="1:8" x14ac:dyDescent="0.25">
      <c r="A4996">
        <v>19939933</v>
      </c>
      <c r="B4996">
        <v>79</v>
      </c>
      <c r="C4996">
        <v>19</v>
      </c>
      <c r="D4996">
        <v>15</v>
      </c>
      <c r="E4996">
        <v>24</v>
      </c>
      <c r="F4996">
        <v>34</v>
      </c>
      <c r="G4996">
        <v>34</v>
      </c>
      <c r="H4996">
        <v>752.56730000000005</v>
      </c>
    </row>
    <row r="4997" spans="1:8" x14ac:dyDescent="0.25">
      <c r="A4997">
        <v>19939934</v>
      </c>
      <c r="B4997">
        <v>40</v>
      </c>
      <c r="C4997">
        <v>21</v>
      </c>
      <c r="D4997">
        <v>8</v>
      </c>
      <c r="E4997">
        <v>16</v>
      </c>
      <c r="F4997">
        <v>32</v>
      </c>
      <c r="G4997">
        <v>32</v>
      </c>
      <c r="H4997">
        <v>711.01869999999997</v>
      </c>
    </row>
    <row r="4998" spans="1:8" x14ac:dyDescent="0.25">
      <c r="A4998">
        <v>19939935</v>
      </c>
      <c r="B4998">
        <v>41</v>
      </c>
      <c r="C4998">
        <v>15</v>
      </c>
      <c r="D4998">
        <v>4</v>
      </c>
      <c r="E4998">
        <v>16</v>
      </c>
      <c r="F4998">
        <v>28</v>
      </c>
      <c r="G4998">
        <v>28</v>
      </c>
      <c r="H4998">
        <v>774.9</v>
      </c>
    </row>
    <row r="4999" spans="1:8" x14ac:dyDescent="0.25">
      <c r="A4999">
        <v>19939936</v>
      </c>
      <c r="B4999">
        <v>11</v>
      </c>
      <c r="C4999">
        <v>1</v>
      </c>
      <c r="D4999">
        <v>8</v>
      </c>
      <c r="E4999">
        <v>19</v>
      </c>
      <c r="F4999">
        <v>24</v>
      </c>
      <c r="G4999">
        <v>24</v>
      </c>
      <c r="H4999">
        <v>822.38630000000001</v>
      </c>
    </row>
    <row r="5000" spans="1:8" x14ac:dyDescent="0.25">
      <c r="A5000">
        <v>19939937</v>
      </c>
      <c r="B5000">
        <v>58</v>
      </c>
      <c r="C5000">
        <v>37</v>
      </c>
      <c r="D5000">
        <v>10</v>
      </c>
      <c r="E5000">
        <v>30</v>
      </c>
      <c r="F5000">
        <v>49</v>
      </c>
      <c r="G5000">
        <v>49</v>
      </c>
      <c r="H5000">
        <v>828.5</v>
      </c>
    </row>
    <row r="5001" spans="1:8" x14ac:dyDescent="0.25">
      <c r="A5001">
        <v>19939938</v>
      </c>
      <c r="B5001">
        <v>25</v>
      </c>
      <c r="C5001">
        <v>1</v>
      </c>
      <c r="D5001">
        <v>3</v>
      </c>
      <c r="E5001">
        <v>11</v>
      </c>
      <c r="F5001">
        <v>22</v>
      </c>
      <c r="G5001">
        <v>22</v>
      </c>
      <c r="H5001">
        <v>865.66669999999999</v>
      </c>
    </row>
    <row r="5002" spans="1:8" x14ac:dyDescent="0.25">
      <c r="A5002">
        <v>19939939</v>
      </c>
      <c r="B5002">
        <v>10</v>
      </c>
      <c r="C5002">
        <v>1</v>
      </c>
      <c r="D5002">
        <v>1</v>
      </c>
      <c r="E5002">
        <v>3</v>
      </c>
      <c r="F5002">
        <v>4</v>
      </c>
      <c r="G5002">
        <v>4</v>
      </c>
      <c r="H5002">
        <v>999</v>
      </c>
    </row>
    <row r="5003" spans="1:8" x14ac:dyDescent="0.25">
      <c r="A5003">
        <v>19939940</v>
      </c>
      <c r="B5003">
        <v>2</v>
      </c>
      <c r="C5003">
        <v>1</v>
      </c>
      <c r="D5003">
        <v>0</v>
      </c>
      <c r="E5003">
        <v>1</v>
      </c>
      <c r="F5003">
        <v>1</v>
      </c>
      <c r="G5003">
        <v>1</v>
      </c>
      <c r="H5003">
        <v>0</v>
      </c>
    </row>
    <row r="5004" spans="1:8" x14ac:dyDescent="0.25">
      <c r="A5004">
        <v>19939941</v>
      </c>
      <c r="B5004">
        <v>16</v>
      </c>
      <c r="C5004">
        <v>0</v>
      </c>
      <c r="D5004">
        <v>2</v>
      </c>
      <c r="E5004">
        <v>8</v>
      </c>
      <c r="F5004">
        <v>15</v>
      </c>
      <c r="G5004">
        <v>15</v>
      </c>
      <c r="H5004">
        <v>1026.625</v>
      </c>
    </row>
    <row r="5005" spans="1:8" x14ac:dyDescent="0.25">
      <c r="A5005">
        <v>19939942</v>
      </c>
      <c r="B5005">
        <v>3</v>
      </c>
      <c r="C5005">
        <v>0</v>
      </c>
      <c r="D5005">
        <v>0</v>
      </c>
      <c r="E5005">
        <v>0</v>
      </c>
      <c r="F5005">
        <v>0</v>
      </c>
      <c r="G5005">
        <v>0</v>
      </c>
      <c r="H5005">
        <v>0</v>
      </c>
    </row>
    <row r="5006" spans="1:8" x14ac:dyDescent="0.25">
      <c r="A5006">
        <v>19940505</v>
      </c>
      <c r="B5006">
        <v>110</v>
      </c>
      <c r="C5006">
        <v>16</v>
      </c>
      <c r="D5006">
        <v>1</v>
      </c>
      <c r="E5006">
        <v>1</v>
      </c>
      <c r="F5006">
        <v>1</v>
      </c>
      <c r="G5006">
        <v>1</v>
      </c>
      <c r="H5006">
        <v>599</v>
      </c>
    </row>
    <row r="5007" spans="1:8" x14ac:dyDescent="0.25">
      <c r="A5007">
        <v>19940506</v>
      </c>
      <c r="B5007">
        <v>102</v>
      </c>
      <c r="C5007">
        <v>6</v>
      </c>
      <c r="D5007">
        <v>0</v>
      </c>
      <c r="E5007">
        <v>1</v>
      </c>
      <c r="F5007">
        <v>1</v>
      </c>
      <c r="G5007">
        <v>1</v>
      </c>
      <c r="H5007">
        <v>0</v>
      </c>
    </row>
    <row r="5008" spans="1:8" x14ac:dyDescent="0.25">
      <c r="A5008">
        <v>19940507</v>
      </c>
      <c r="B5008">
        <v>71</v>
      </c>
      <c r="C5008">
        <v>6</v>
      </c>
      <c r="D5008">
        <v>0</v>
      </c>
      <c r="E5008">
        <v>0</v>
      </c>
      <c r="F5008">
        <v>0</v>
      </c>
      <c r="G5008">
        <v>0</v>
      </c>
      <c r="H5008">
        <v>0</v>
      </c>
    </row>
    <row r="5009" spans="1:8" x14ac:dyDescent="0.25">
      <c r="A5009">
        <v>19940508</v>
      </c>
      <c r="B5009">
        <v>23</v>
      </c>
      <c r="C5009">
        <v>50</v>
      </c>
      <c r="D5009">
        <v>0</v>
      </c>
      <c r="E5009">
        <v>0</v>
      </c>
      <c r="F5009">
        <v>0</v>
      </c>
      <c r="G5009">
        <v>0</v>
      </c>
      <c r="H5009">
        <v>0</v>
      </c>
    </row>
    <row r="5010" spans="1:8" x14ac:dyDescent="0.25">
      <c r="A5010">
        <v>19940509</v>
      </c>
      <c r="B5010">
        <v>94</v>
      </c>
      <c r="C5010">
        <v>0</v>
      </c>
      <c r="D5010">
        <v>1</v>
      </c>
      <c r="E5010">
        <v>1</v>
      </c>
      <c r="F5010">
        <v>1</v>
      </c>
      <c r="G5010">
        <v>1</v>
      </c>
      <c r="H5010">
        <v>879</v>
      </c>
    </row>
    <row r="5011" spans="1:8" x14ac:dyDescent="0.25">
      <c r="A5011">
        <v>19940510</v>
      </c>
      <c r="B5011">
        <v>77</v>
      </c>
      <c r="C5011">
        <v>12</v>
      </c>
      <c r="D5011">
        <v>0</v>
      </c>
      <c r="E5011">
        <v>0</v>
      </c>
      <c r="F5011">
        <v>0</v>
      </c>
      <c r="G5011">
        <v>0</v>
      </c>
      <c r="H5011">
        <v>0</v>
      </c>
    </row>
    <row r="5012" spans="1:8" x14ac:dyDescent="0.25">
      <c r="A5012">
        <v>19940511</v>
      </c>
      <c r="B5012">
        <v>72</v>
      </c>
      <c r="C5012">
        <v>0</v>
      </c>
      <c r="D5012">
        <v>0</v>
      </c>
      <c r="E5012">
        <v>0</v>
      </c>
      <c r="F5012">
        <v>0</v>
      </c>
      <c r="G5012">
        <v>0</v>
      </c>
      <c r="H5012">
        <v>0</v>
      </c>
    </row>
    <row r="5013" spans="1:8" x14ac:dyDescent="0.25">
      <c r="A5013">
        <v>19940512</v>
      </c>
      <c r="B5013">
        <v>66</v>
      </c>
      <c r="C5013">
        <v>10</v>
      </c>
      <c r="D5013">
        <v>0</v>
      </c>
      <c r="E5013">
        <v>0</v>
      </c>
      <c r="F5013">
        <v>0</v>
      </c>
      <c r="G5013">
        <v>0</v>
      </c>
      <c r="H5013">
        <v>0</v>
      </c>
    </row>
    <row r="5014" spans="1:8" x14ac:dyDescent="0.25">
      <c r="A5014">
        <v>19940513</v>
      </c>
      <c r="B5014">
        <v>30</v>
      </c>
      <c r="C5014">
        <v>12</v>
      </c>
      <c r="D5014">
        <v>0</v>
      </c>
      <c r="E5014">
        <v>0</v>
      </c>
      <c r="F5014">
        <v>0</v>
      </c>
      <c r="G5014">
        <v>0</v>
      </c>
      <c r="H5014">
        <v>0</v>
      </c>
    </row>
    <row r="5015" spans="1:8" x14ac:dyDescent="0.25">
      <c r="A5015">
        <v>19940514</v>
      </c>
      <c r="B5015">
        <v>20</v>
      </c>
      <c r="C5015">
        <v>30</v>
      </c>
      <c r="D5015">
        <v>0</v>
      </c>
      <c r="E5015">
        <v>0</v>
      </c>
      <c r="F5015">
        <v>0</v>
      </c>
      <c r="G5015">
        <v>0</v>
      </c>
      <c r="H5015">
        <v>0</v>
      </c>
    </row>
    <row r="5016" spans="1:8" x14ac:dyDescent="0.25">
      <c r="A5016">
        <v>19940516</v>
      </c>
      <c r="B5016">
        <v>16</v>
      </c>
      <c r="C5016">
        <v>21</v>
      </c>
      <c r="D5016">
        <v>0</v>
      </c>
      <c r="E5016">
        <v>0</v>
      </c>
      <c r="F5016">
        <v>0</v>
      </c>
      <c r="G5016">
        <v>0</v>
      </c>
      <c r="H5016">
        <v>0</v>
      </c>
    </row>
    <row r="5017" spans="1:8" x14ac:dyDescent="0.25">
      <c r="A5017">
        <v>19940517</v>
      </c>
      <c r="B5017">
        <v>15</v>
      </c>
      <c r="C5017">
        <v>31</v>
      </c>
      <c r="D5017">
        <v>0</v>
      </c>
      <c r="E5017">
        <v>0</v>
      </c>
      <c r="F5017">
        <v>0</v>
      </c>
      <c r="G5017">
        <v>0</v>
      </c>
      <c r="H5017">
        <v>0</v>
      </c>
    </row>
    <row r="5018" spans="1:8" x14ac:dyDescent="0.25">
      <c r="A5018">
        <v>19940518</v>
      </c>
      <c r="B5018">
        <v>2</v>
      </c>
      <c r="C5018">
        <v>25</v>
      </c>
      <c r="D5018">
        <v>0</v>
      </c>
      <c r="E5018">
        <v>0</v>
      </c>
      <c r="F5018">
        <v>0</v>
      </c>
      <c r="G5018">
        <v>0</v>
      </c>
      <c r="H5018">
        <v>0</v>
      </c>
    </row>
    <row r="5019" spans="1:8" x14ac:dyDescent="0.25">
      <c r="A5019">
        <v>19940800</v>
      </c>
      <c r="B5019">
        <v>36</v>
      </c>
      <c r="C5019">
        <v>15</v>
      </c>
      <c r="D5019">
        <v>3</v>
      </c>
      <c r="E5019">
        <v>4</v>
      </c>
      <c r="F5019">
        <v>4</v>
      </c>
      <c r="G5019">
        <v>4</v>
      </c>
      <c r="H5019">
        <v>2295.2800000000002</v>
      </c>
    </row>
    <row r="5020" spans="1:8" x14ac:dyDescent="0.25">
      <c r="A5020">
        <v>19941100</v>
      </c>
      <c r="B5020">
        <v>3</v>
      </c>
      <c r="C5020">
        <v>18</v>
      </c>
      <c r="D5020">
        <v>0</v>
      </c>
      <c r="E5020">
        <v>0</v>
      </c>
      <c r="F5020">
        <v>0</v>
      </c>
      <c r="G5020">
        <v>0</v>
      </c>
      <c r="H5020">
        <v>0</v>
      </c>
    </row>
    <row r="5021" spans="1:8" x14ac:dyDescent="0.25">
      <c r="A5021">
        <v>19941101</v>
      </c>
      <c r="B5021">
        <v>5</v>
      </c>
      <c r="C5021">
        <v>16</v>
      </c>
      <c r="D5021">
        <v>0</v>
      </c>
      <c r="E5021">
        <v>0</v>
      </c>
      <c r="F5021">
        <v>0</v>
      </c>
      <c r="G5021">
        <v>0</v>
      </c>
      <c r="H5021">
        <v>0</v>
      </c>
    </row>
    <row r="5022" spans="1:8" x14ac:dyDescent="0.25">
      <c r="A5022">
        <v>19941102</v>
      </c>
      <c r="B5022">
        <v>5</v>
      </c>
      <c r="C5022">
        <v>16</v>
      </c>
      <c r="D5022">
        <v>0</v>
      </c>
      <c r="E5022">
        <v>0</v>
      </c>
      <c r="F5022">
        <v>0</v>
      </c>
      <c r="G5022">
        <v>0</v>
      </c>
      <c r="H5022">
        <v>0</v>
      </c>
    </row>
    <row r="5023" spans="1:8" x14ac:dyDescent="0.25">
      <c r="A5023">
        <v>19941111</v>
      </c>
      <c r="B5023">
        <v>93</v>
      </c>
      <c r="C5023">
        <v>0</v>
      </c>
      <c r="D5023">
        <v>3</v>
      </c>
      <c r="E5023">
        <v>7</v>
      </c>
      <c r="F5023">
        <v>7</v>
      </c>
      <c r="G5023">
        <v>7</v>
      </c>
      <c r="H5023">
        <v>184</v>
      </c>
    </row>
    <row r="5024" spans="1:8" x14ac:dyDescent="0.25">
      <c r="A5024">
        <v>19941624</v>
      </c>
      <c r="B5024">
        <v>288</v>
      </c>
      <c r="C5024">
        <v>0</v>
      </c>
      <c r="D5024">
        <v>5</v>
      </c>
      <c r="E5024">
        <v>23</v>
      </c>
      <c r="F5024">
        <v>23</v>
      </c>
      <c r="G5024">
        <v>23</v>
      </c>
      <c r="H5024">
        <v>64.305999999999997</v>
      </c>
    </row>
    <row r="5025" spans="1:8" x14ac:dyDescent="0.25">
      <c r="A5025">
        <v>19941633</v>
      </c>
      <c r="B5025">
        <v>10</v>
      </c>
      <c r="C5025">
        <v>5</v>
      </c>
      <c r="D5025">
        <v>1</v>
      </c>
      <c r="E5025">
        <v>1</v>
      </c>
      <c r="F5025">
        <v>1</v>
      </c>
      <c r="G5025">
        <v>1</v>
      </c>
      <c r="H5025">
        <v>69.989999999999995</v>
      </c>
    </row>
    <row r="5026" spans="1:8" x14ac:dyDescent="0.25">
      <c r="A5026">
        <v>19942202</v>
      </c>
      <c r="B5026">
        <v>33</v>
      </c>
      <c r="C5026">
        <v>1</v>
      </c>
      <c r="D5026">
        <v>5</v>
      </c>
      <c r="E5026">
        <v>14</v>
      </c>
      <c r="F5026">
        <v>16</v>
      </c>
      <c r="G5026">
        <v>16</v>
      </c>
      <c r="H5026">
        <v>530.524</v>
      </c>
    </row>
    <row r="5027" spans="1:8" x14ac:dyDescent="0.25">
      <c r="A5027">
        <v>19942203</v>
      </c>
      <c r="B5027">
        <v>118</v>
      </c>
      <c r="C5027">
        <v>1</v>
      </c>
      <c r="D5027">
        <v>22</v>
      </c>
      <c r="E5027">
        <v>93</v>
      </c>
      <c r="F5027">
        <v>111</v>
      </c>
      <c r="G5027">
        <v>111</v>
      </c>
      <c r="H5027">
        <v>532.7568</v>
      </c>
    </row>
    <row r="5028" spans="1:8" x14ac:dyDescent="0.25">
      <c r="A5028">
        <v>19942204</v>
      </c>
      <c r="B5028">
        <v>118</v>
      </c>
      <c r="C5028">
        <v>0</v>
      </c>
      <c r="D5028">
        <v>15</v>
      </c>
      <c r="E5028">
        <v>49</v>
      </c>
      <c r="F5028">
        <v>57</v>
      </c>
      <c r="G5028">
        <v>57</v>
      </c>
      <c r="H5028">
        <v>544.49800000000005</v>
      </c>
    </row>
    <row r="5029" spans="1:8" x14ac:dyDescent="0.25">
      <c r="A5029">
        <v>19942205</v>
      </c>
      <c r="B5029">
        <v>34</v>
      </c>
      <c r="C5029">
        <v>1</v>
      </c>
      <c r="D5029">
        <v>13</v>
      </c>
      <c r="E5029">
        <v>34</v>
      </c>
      <c r="F5029">
        <v>36</v>
      </c>
      <c r="G5029">
        <v>36</v>
      </c>
      <c r="H5029">
        <v>541.30769999999995</v>
      </c>
    </row>
    <row r="5030" spans="1:8" x14ac:dyDescent="0.25">
      <c r="A5030">
        <v>19942206</v>
      </c>
      <c r="B5030">
        <v>31</v>
      </c>
      <c r="C5030">
        <v>1</v>
      </c>
      <c r="D5030">
        <v>3</v>
      </c>
      <c r="E5030">
        <v>17</v>
      </c>
      <c r="F5030">
        <v>19</v>
      </c>
      <c r="G5030">
        <v>19</v>
      </c>
      <c r="H5030">
        <v>510.6533</v>
      </c>
    </row>
    <row r="5031" spans="1:8" x14ac:dyDescent="0.25">
      <c r="A5031">
        <v>19942802</v>
      </c>
      <c r="B5031">
        <v>0</v>
      </c>
      <c r="C5031">
        <v>0</v>
      </c>
      <c r="D5031">
        <v>0</v>
      </c>
      <c r="E5031">
        <v>0</v>
      </c>
      <c r="F5031">
        <v>10</v>
      </c>
      <c r="G5031">
        <v>10</v>
      </c>
      <c r="H5031">
        <v>0</v>
      </c>
    </row>
    <row r="5032" spans="1:8" x14ac:dyDescent="0.25">
      <c r="A5032">
        <v>19952841</v>
      </c>
      <c r="B5032">
        <v>1</v>
      </c>
      <c r="C5032">
        <v>0</v>
      </c>
      <c r="D5032">
        <v>0</v>
      </c>
      <c r="E5032">
        <v>0</v>
      </c>
      <c r="F5032">
        <v>0</v>
      </c>
      <c r="G5032">
        <v>0</v>
      </c>
      <c r="H5032">
        <v>0</v>
      </c>
    </row>
    <row r="5033" spans="1:8" x14ac:dyDescent="0.25">
      <c r="A5033">
        <v>19960414</v>
      </c>
      <c r="B5033">
        <v>1</v>
      </c>
      <c r="C5033">
        <v>0</v>
      </c>
      <c r="D5033">
        <v>0</v>
      </c>
      <c r="E5033">
        <v>0</v>
      </c>
      <c r="F5033">
        <v>0</v>
      </c>
      <c r="G5033">
        <v>0</v>
      </c>
      <c r="H5033">
        <v>0</v>
      </c>
    </row>
    <row r="5034" spans="1:8" x14ac:dyDescent="0.25">
      <c r="A5034">
        <v>19961729</v>
      </c>
      <c r="B5034">
        <v>305</v>
      </c>
      <c r="C5034">
        <v>0</v>
      </c>
      <c r="D5034">
        <v>0</v>
      </c>
      <c r="E5034">
        <v>0</v>
      </c>
      <c r="F5034">
        <v>0</v>
      </c>
      <c r="G5034">
        <v>0</v>
      </c>
      <c r="H5034">
        <v>0</v>
      </c>
    </row>
    <row r="5035" spans="1:8" x14ac:dyDescent="0.25">
      <c r="A5035">
        <v>19978120</v>
      </c>
      <c r="B5035">
        <v>1</v>
      </c>
      <c r="C5035">
        <v>1</v>
      </c>
      <c r="D5035">
        <v>0</v>
      </c>
      <c r="E5035">
        <v>1</v>
      </c>
      <c r="F5035">
        <v>1</v>
      </c>
      <c r="G5035">
        <v>1</v>
      </c>
      <c r="H5035">
        <v>0</v>
      </c>
    </row>
    <row r="5036" spans="1:8" x14ac:dyDescent="0.25">
      <c r="A5036">
        <v>19983153</v>
      </c>
      <c r="B5036">
        <v>0</v>
      </c>
      <c r="C5036">
        <v>0</v>
      </c>
      <c r="D5036">
        <v>0</v>
      </c>
      <c r="E5036">
        <v>20</v>
      </c>
      <c r="F5036">
        <v>20</v>
      </c>
      <c r="G5036">
        <v>20</v>
      </c>
      <c r="H5036">
        <v>0</v>
      </c>
    </row>
    <row r="5037" spans="1:8" x14ac:dyDescent="0.25">
      <c r="A5037">
        <v>19983154</v>
      </c>
      <c r="B5037">
        <v>0</v>
      </c>
      <c r="C5037">
        <v>0</v>
      </c>
      <c r="D5037">
        <v>30</v>
      </c>
      <c r="E5037">
        <v>30</v>
      </c>
      <c r="F5037">
        <v>30</v>
      </c>
      <c r="G5037">
        <v>30</v>
      </c>
      <c r="H5037">
        <v>449.1</v>
      </c>
    </row>
    <row r="5038" spans="1:8" x14ac:dyDescent="0.25">
      <c r="A5038">
        <v>19988602</v>
      </c>
      <c r="B5038">
        <v>156</v>
      </c>
      <c r="C5038">
        <v>0</v>
      </c>
      <c r="D5038">
        <v>3</v>
      </c>
      <c r="E5038">
        <v>4</v>
      </c>
      <c r="F5038">
        <v>4</v>
      </c>
      <c r="G5038">
        <v>4</v>
      </c>
      <c r="H5038">
        <v>28.3233</v>
      </c>
    </row>
    <row r="5039" spans="1:8" x14ac:dyDescent="0.25">
      <c r="A5039">
        <v>19988606</v>
      </c>
      <c r="B5039">
        <v>15</v>
      </c>
      <c r="C5039">
        <v>81</v>
      </c>
      <c r="D5039">
        <v>0</v>
      </c>
      <c r="E5039">
        <v>0</v>
      </c>
      <c r="F5039">
        <v>0</v>
      </c>
      <c r="G5039">
        <v>0</v>
      </c>
      <c r="H5039">
        <v>0</v>
      </c>
    </row>
    <row r="5040" spans="1:8" x14ac:dyDescent="0.25">
      <c r="A5040">
        <v>20007998</v>
      </c>
      <c r="B5040">
        <v>262</v>
      </c>
      <c r="C5040">
        <v>240</v>
      </c>
      <c r="D5040">
        <v>37</v>
      </c>
      <c r="E5040">
        <v>76</v>
      </c>
      <c r="F5040">
        <v>76</v>
      </c>
      <c r="G5040">
        <v>76</v>
      </c>
      <c r="H5040">
        <v>516.77760000000001</v>
      </c>
    </row>
    <row r="5041" spans="1:8" x14ac:dyDescent="0.25">
      <c r="A5041">
        <v>20014451</v>
      </c>
      <c r="B5041">
        <v>1</v>
      </c>
      <c r="C5041">
        <v>0</v>
      </c>
      <c r="D5041">
        <v>0</v>
      </c>
      <c r="E5041">
        <v>0</v>
      </c>
      <c r="F5041">
        <v>0</v>
      </c>
      <c r="G5041">
        <v>0</v>
      </c>
      <c r="H5041">
        <v>0</v>
      </c>
    </row>
    <row r="5042" spans="1:8" x14ac:dyDescent="0.25">
      <c r="A5042">
        <v>20015077</v>
      </c>
      <c r="B5042">
        <v>2</v>
      </c>
      <c r="C5042">
        <v>2</v>
      </c>
      <c r="D5042">
        <v>0</v>
      </c>
      <c r="E5042">
        <v>0</v>
      </c>
      <c r="F5042">
        <v>0</v>
      </c>
      <c r="G5042">
        <v>0</v>
      </c>
      <c r="H5042">
        <v>0</v>
      </c>
    </row>
    <row r="5043" spans="1:8" x14ac:dyDescent="0.25">
      <c r="A5043">
        <v>20018114</v>
      </c>
      <c r="B5043">
        <v>25</v>
      </c>
      <c r="C5043">
        <v>2</v>
      </c>
      <c r="D5043">
        <v>1</v>
      </c>
      <c r="E5043">
        <v>2</v>
      </c>
      <c r="F5043">
        <v>2</v>
      </c>
      <c r="G5043">
        <v>2</v>
      </c>
      <c r="H5043">
        <v>1599</v>
      </c>
    </row>
    <row r="5044" spans="1:8" x14ac:dyDescent="0.25">
      <c r="A5044">
        <v>20018115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  <c r="H5044">
        <v>0</v>
      </c>
    </row>
    <row r="5045" spans="1:8" x14ac:dyDescent="0.25">
      <c r="A5045">
        <v>20038341</v>
      </c>
      <c r="B5045">
        <v>180</v>
      </c>
      <c r="C5045">
        <v>0</v>
      </c>
      <c r="D5045">
        <v>0</v>
      </c>
      <c r="E5045">
        <v>0</v>
      </c>
      <c r="F5045">
        <v>0</v>
      </c>
      <c r="G5045">
        <v>0</v>
      </c>
      <c r="H5045">
        <v>0</v>
      </c>
    </row>
    <row r="5046" spans="1:8" x14ac:dyDescent="0.25">
      <c r="A5046">
        <v>20038342</v>
      </c>
      <c r="B5046">
        <v>190</v>
      </c>
      <c r="C5046">
        <v>320</v>
      </c>
      <c r="D5046">
        <v>2</v>
      </c>
      <c r="E5046">
        <v>2</v>
      </c>
      <c r="F5046">
        <v>2</v>
      </c>
      <c r="G5046">
        <v>2</v>
      </c>
      <c r="H5046">
        <v>85.394999999999996</v>
      </c>
    </row>
    <row r="5047" spans="1:8" x14ac:dyDescent="0.25">
      <c r="A5047">
        <v>20038344</v>
      </c>
      <c r="B5047">
        <v>99</v>
      </c>
      <c r="C5047">
        <v>144</v>
      </c>
      <c r="D5047">
        <v>5</v>
      </c>
      <c r="E5047">
        <v>5</v>
      </c>
      <c r="F5047">
        <v>5</v>
      </c>
      <c r="G5047">
        <v>5</v>
      </c>
      <c r="H5047">
        <v>26</v>
      </c>
    </row>
    <row r="5048" spans="1:8" x14ac:dyDescent="0.25">
      <c r="A5048">
        <v>20038811</v>
      </c>
      <c r="B5048">
        <v>6</v>
      </c>
      <c r="C5048">
        <v>0</v>
      </c>
      <c r="D5048">
        <v>0</v>
      </c>
      <c r="E5048">
        <v>0</v>
      </c>
      <c r="F5048">
        <v>0</v>
      </c>
      <c r="G5048">
        <v>0</v>
      </c>
      <c r="H5048">
        <v>0</v>
      </c>
    </row>
    <row r="5049" spans="1:8" x14ac:dyDescent="0.25">
      <c r="A5049">
        <v>20038812</v>
      </c>
      <c r="B5049">
        <v>112</v>
      </c>
      <c r="C5049">
        <v>184</v>
      </c>
      <c r="D5049">
        <v>0</v>
      </c>
      <c r="E5049">
        <v>0</v>
      </c>
      <c r="F5049">
        <v>0</v>
      </c>
      <c r="G5049">
        <v>0</v>
      </c>
      <c r="H5049">
        <v>0</v>
      </c>
    </row>
    <row r="5050" spans="1:8" x14ac:dyDescent="0.25">
      <c r="A5050">
        <v>20038813</v>
      </c>
      <c r="B5050">
        <v>110</v>
      </c>
      <c r="C5050">
        <v>192</v>
      </c>
      <c r="D5050">
        <v>2</v>
      </c>
      <c r="E5050">
        <v>2</v>
      </c>
      <c r="F5050">
        <v>2</v>
      </c>
      <c r="G5050">
        <v>2</v>
      </c>
      <c r="H5050">
        <v>89</v>
      </c>
    </row>
    <row r="5051" spans="1:8" x14ac:dyDescent="0.25">
      <c r="A5051">
        <v>20072918</v>
      </c>
      <c r="B5051">
        <v>1</v>
      </c>
      <c r="C5051">
        <v>1</v>
      </c>
      <c r="D5051">
        <v>1</v>
      </c>
      <c r="E5051">
        <v>1</v>
      </c>
      <c r="F5051">
        <v>1</v>
      </c>
      <c r="G5051">
        <v>1</v>
      </c>
      <c r="H5051">
        <v>854.99</v>
      </c>
    </row>
    <row r="5052" spans="1:8" x14ac:dyDescent="0.25">
      <c r="A5052">
        <v>20072943</v>
      </c>
      <c r="B5052">
        <v>0</v>
      </c>
      <c r="C5052">
        <v>0</v>
      </c>
      <c r="D5052">
        <v>1</v>
      </c>
      <c r="E5052">
        <v>1</v>
      </c>
      <c r="F5052">
        <v>1</v>
      </c>
      <c r="G5052">
        <v>1</v>
      </c>
      <c r="H5052">
        <v>899</v>
      </c>
    </row>
    <row r="5053" spans="1:8" x14ac:dyDescent="0.25">
      <c r="A5053">
        <v>2115744</v>
      </c>
      <c r="B5053">
        <v>2</v>
      </c>
      <c r="C5053">
        <v>0</v>
      </c>
      <c r="D5053">
        <v>0</v>
      </c>
      <c r="E5053">
        <v>0</v>
      </c>
      <c r="F5053">
        <v>0</v>
      </c>
      <c r="G5053">
        <v>-1</v>
      </c>
      <c r="H5053">
        <v>0</v>
      </c>
    </row>
    <row r="5054" spans="1:8" x14ac:dyDescent="0.25">
      <c r="A5054">
        <v>2115745</v>
      </c>
      <c r="B5054">
        <v>2</v>
      </c>
      <c r="C5054">
        <v>0</v>
      </c>
      <c r="D5054">
        <v>0</v>
      </c>
      <c r="E5054">
        <v>1</v>
      </c>
      <c r="F5054">
        <v>1</v>
      </c>
      <c r="G5054">
        <v>0</v>
      </c>
      <c r="H5054">
        <v>0</v>
      </c>
    </row>
    <row r="5055" spans="1:8" x14ac:dyDescent="0.25">
      <c r="A5055">
        <v>2115776</v>
      </c>
      <c r="B5055">
        <v>-51</v>
      </c>
      <c r="C5055">
        <v>0</v>
      </c>
      <c r="D5055">
        <v>0</v>
      </c>
      <c r="E5055">
        <v>0</v>
      </c>
      <c r="F5055">
        <v>5</v>
      </c>
      <c r="G5055">
        <v>4</v>
      </c>
      <c r="H5055">
        <v>0</v>
      </c>
    </row>
    <row r="5056" spans="1:8" x14ac:dyDescent="0.25">
      <c r="A5056">
        <v>2115777</v>
      </c>
      <c r="B5056">
        <v>-30</v>
      </c>
      <c r="C5056">
        <v>0</v>
      </c>
      <c r="D5056">
        <v>-1</v>
      </c>
      <c r="E5056">
        <v>0</v>
      </c>
      <c r="F5056">
        <v>6</v>
      </c>
      <c r="G5056">
        <v>21</v>
      </c>
      <c r="H5056">
        <v>899</v>
      </c>
    </row>
    <row r="5057" spans="1:8" x14ac:dyDescent="0.25">
      <c r="A5057">
        <v>2115778</v>
      </c>
      <c r="B5057">
        <v>-15</v>
      </c>
      <c r="C5057">
        <v>0</v>
      </c>
      <c r="D5057">
        <v>1</v>
      </c>
      <c r="E5057">
        <v>3</v>
      </c>
      <c r="F5057">
        <v>9</v>
      </c>
      <c r="G5057">
        <v>15</v>
      </c>
      <c r="H5057">
        <v>2999</v>
      </c>
    </row>
    <row r="5058" spans="1:8" x14ac:dyDescent="0.25">
      <c r="A5058">
        <v>2115783</v>
      </c>
      <c r="B5058">
        <v>-3</v>
      </c>
      <c r="C5058">
        <v>0</v>
      </c>
      <c r="D5058">
        <v>12</v>
      </c>
      <c r="E5058">
        <v>30</v>
      </c>
      <c r="F5058">
        <v>71</v>
      </c>
      <c r="G5058">
        <v>129</v>
      </c>
      <c r="H5058">
        <v>429.83330000000001</v>
      </c>
    </row>
    <row r="5059" spans="1:8" x14ac:dyDescent="0.25">
      <c r="A5059">
        <v>2115800</v>
      </c>
      <c r="B5059">
        <v>-12</v>
      </c>
      <c r="C5059">
        <v>0</v>
      </c>
      <c r="D5059">
        <v>0</v>
      </c>
      <c r="E5059">
        <v>0</v>
      </c>
      <c r="F5059">
        <v>1</v>
      </c>
      <c r="G5059">
        <v>8</v>
      </c>
      <c r="H5059">
        <v>0</v>
      </c>
    </row>
    <row r="5060" spans="1:8" x14ac:dyDescent="0.25">
      <c r="A5060">
        <v>2115802</v>
      </c>
      <c r="B5060">
        <v>-3</v>
      </c>
      <c r="C5060">
        <v>0</v>
      </c>
      <c r="D5060">
        <v>1</v>
      </c>
      <c r="E5060">
        <v>1</v>
      </c>
      <c r="F5060">
        <v>1</v>
      </c>
      <c r="G5060">
        <v>5</v>
      </c>
      <c r="H5060">
        <v>10</v>
      </c>
    </row>
    <row r="5061" spans="1:8" x14ac:dyDescent="0.25">
      <c r="A5061">
        <v>2115804</v>
      </c>
      <c r="B5061">
        <v>-15</v>
      </c>
      <c r="C5061">
        <v>0</v>
      </c>
      <c r="D5061">
        <v>0</v>
      </c>
      <c r="E5061">
        <v>1</v>
      </c>
      <c r="F5061">
        <v>5</v>
      </c>
      <c r="G5061">
        <v>13</v>
      </c>
      <c r="H5061">
        <v>0</v>
      </c>
    </row>
    <row r="5062" spans="1:8" x14ac:dyDescent="0.25">
      <c r="A5062">
        <v>2115805</v>
      </c>
      <c r="B5062">
        <v>-4</v>
      </c>
      <c r="C5062">
        <v>0</v>
      </c>
      <c r="D5062">
        <v>0</v>
      </c>
      <c r="E5062">
        <v>0</v>
      </c>
      <c r="F5062">
        <v>-1</v>
      </c>
      <c r="G5062">
        <v>-2</v>
      </c>
      <c r="H5062">
        <v>0</v>
      </c>
    </row>
    <row r="5063" spans="1:8" x14ac:dyDescent="0.25">
      <c r="A5063">
        <v>2115807</v>
      </c>
      <c r="B5063">
        <v>-16</v>
      </c>
      <c r="C5063">
        <v>0</v>
      </c>
      <c r="D5063">
        <v>0</v>
      </c>
      <c r="E5063">
        <v>1</v>
      </c>
      <c r="F5063">
        <v>2</v>
      </c>
      <c r="G5063">
        <v>3</v>
      </c>
      <c r="H5063">
        <v>0</v>
      </c>
    </row>
    <row r="5064" spans="1:8" x14ac:dyDescent="0.25">
      <c r="A5064">
        <v>4215736</v>
      </c>
      <c r="B5064">
        <v>84</v>
      </c>
      <c r="C5064">
        <v>0</v>
      </c>
      <c r="D5064">
        <v>0</v>
      </c>
      <c r="E5064">
        <v>0</v>
      </c>
      <c r="F5064">
        <v>2</v>
      </c>
      <c r="G5064">
        <v>3</v>
      </c>
      <c r="H5064">
        <v>0</v>
      </c>
    </row>
    <row r="5065" spans="1:8" x14ac:dyDescent="0.25">
      <c r="A5065">
        <v>439648</v>
      </c>
      <c r="B5065">
        <v>3</v>
      </c>
      <c r="C5065">
        <v>0</v>
      </c>
      <c r="D5065">
        <v>0</v>
      </c>
      <c r="E5065">
        <v>0</v>
      </c>
      <c r="F5065">
        <v>0</v>
      </c>
      <c r="G5065">
        <v>0</v>
      </c>
      <c r="H5065">
        <v>0</v>
      </c>
    </row>
    <row r="5066" spans="1:8" x14ac:dyDescent="0.25">
      <c r="A5066">
        <v>497646</v>
      </c>
      <c r="B5066">
        <v>0</v>
      </c>
      <c r="C5066">
        <v>0</v>
      </c>
      <c r="D5066">
        <v>0</v>
      </c>
      <c r="E5066">
        <v>0</v>
      </c>
      <c r="F5066">
        <v>1</v>
      </c>
      <c r="G5066">
        <v>1</v>
      </c>
      <c r="H5066">
        <v>0</v>
      </c>
    </row>
    <row r="5067" spans="1:8" x14ac:dyDescent="0.25">
      <c r="A5067">
        <v>5116426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  <c r="H5067">
        <v>0</v>
      </c>
    </row>
    <row r="5068" spans="1:8" x14ac:dyDescent="0.25">
      <c r="A5068">
        <v>5207257</v>
      </c>
      <c r="B5068">
        <v>1</v>
      </c>
      <c r="C5068">
        <v>5</v>
      </c>
      <c r="D5068">
        <v>2</v>
      </c>
      <c r="E5068">
        <v>11</v>
      </c>
      <c r="F5068">
        <v>18</v>
      </c>
      <c r="G5068">
        <v>29</v>
      </c>
      <c r="H5068">
        <v>14.99</v>
      </c>
    </row>
    <row r="5069" spans="1:8" x14ac:dyDescent="0.25">
      <c r="A5069">
        <v>5281364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  <c r="H5069">
        <v>0</v>
      </c>
    </row>
    <row r="5070" spans="1:8" x14ac:dyDescent="0.25">
      <c r="A5070">
        <v>529138</v>
      </c>
      <c r="B5070">
        <v>11</v>
      </c>
      <c r="C5070">
        <v>15</v>
      </c>
      <c r="D5070">
        <v>3</v>
      </c>
      <c r="E5070">
        <v>4</v>
      </c>
      <c r="F5070">
        <v>19</v>
      </c>
      <c r="G5070">
        <v>55</v>
      </c>
      <c r="H5070">
        <v>4.99</v>
      </c>
    </row>
    <row r="5071" spans="1:8" x14ac:dyDescent="0.25">
      <c r="A5071">
        <v>529139</v>
      </c>
      <c r="B5071">
        <v>20</v>
      </c>
      <c r="C5071">
        <v>0</v>
      </c>
      <c r="D5071">
        <v>0</v>
      </c>
      <c r="E5071">
        <v>1</v>
      </c>
      <c r="F5071">
        <v>9</v>
      </c>
      <c r="G5071">
        <v>11</v>
      </c>
      <c r="H5071">
        <v>0</v>
      </c>
    </row>
    <row r="5072" spans="1:8" x14ac:dyDescent="0.25">
      <c r="A5072">
        <v>5307977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  <c r="H5072">
        <v>0</v>
      </c>
    </row>
    <row r="5073" spans="1:8" x14ac:dyDescent="0.25">
      <c r="A5073">
        <v>5483183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  <c r="H5073">
        <v>0</v>
      </c>
    </row>
    <row r="5074" spans="1:8" x14ac:dyDescent="0.25">
      <c r="A5074">
        <v>5709479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  <c r="H5074">
        <v>0</v>
      </c>
    </row>
    <row r="5075" spans="1:8" x14ac:dyDescent="0.25">
      <c r="A5075">
        <v>5816940</v>
      </c>
      <c r="B5075">
        <v>236</v>
      </c>
      <c r="C5075">
        <v>60</v>
      </c>
      <c r="D5075">
        <v>7</v>
      </c>
      <c r="E5075">
        <v>50</v>
      </c>
      <c r="F5075">
        <v>191</v>
      </c>
      <c r="G5075">
        <v>406</v>
      </c>
      <c r="H5075">
        <v>23.275700000000001</v>
      </c>
    </row>
    <row r="5076" spans="1:8" x14ac:dyDescent="0.25">
      <c r="A5076">
        <v>5898886</v>
      </c>
      <c r="B5076">
        <v>84</v>
      </c>
      <c r="C5076">
        <v>0</v>
      </c>
      <c r="D5076">
        <v>9</v>
      </c>
      <c r="E5076">
        <v>14</v>
      </c>
      <c r="F5076">
        <v>53</v>
      </c>
      <c r="G5076">
        <v>103</v>
      </c>
      <c r="H5076">
        <v>7.5067000000000004</v>
      </c>
    </row>
    <row r="5077" spans="1:8" x14ac:dyDescent="0.25">
      <c r="A5077">
        <v>5943294</v>
      </c>
      <c r="B5077">
        <v>850</v>
      </c>
      <c r="C5077">
        <v>138</v>
      </c>
      <c r="D5077">
        <v>94</v>
      </c>
      <c r="E5077">
        <v>342</v>
      </c>
      <c r="F5077">
        <v>1160</v>
      </c>
      <c r="G5077">
        <v>2527</v>
      </c>
      <c r="H5077">
        <v>16.311800000000002</v>
      </c>
    </row>
    <row r="5078" spans="1:8" x14ac:dyDescent="0.25">
      <c r="A5078">
        <v>6029409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  <c r="H5078">
        <v>0</v>
      </c>
    </row>
    <row r="5079" spans="1:8" x14ac:dyDescent="0.25">
      <c r="A5079">
        <v>6086947</v>
      </c>
      <c r="B5079">
        <v>11</v>
      </c>
      <c r="C5079">
        <v>0</v>
      </c>
      <c r="D5079">
        <v>4</v>
      </c>
      <c r="E5079">
        <v>8</v>
      </c>
      <c r="F5079">
        <v>20</v>
      </c>
      <c r="G5079">
        <v>47</v>
      </c>
      <c r="H5079">
        <v>23.727499999999999</v>
      </c>
    </row>
    <row r="5080" spans="1:8" x14ac:dyDescent="0.25">
      <c r="A5080">
        <v>6086949</v>
      </c>
      <c r="B5080">
        <v>4</v>
      </c>
      <c r="C5080">
        <v>0</v>
      </c>
      <c r="D5080">
        <v>1</v>
      </c>
      <c r="E5080">
        <v>10</v>
      </c>
      <c r="F5080">
        <v>22</v>
      </c>
      <c r="G5080">
        <v>59</v>
      </c>
      <c r="H5080">
        <v>19.989999999999998</v>
      </c>
    </row>
    <row r="5081" spans="1:8" x14ac:dyDescent="0.25">
      <c r="A5081">
        <v>6102918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  <c r="H5081">
        <v>0</v>
      </c>
    </row>
    <row r="5082" spans="1:8" x14ac:dyDescent="0.25">
      <c r="A5082">
        <v>6164561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  <c r="H5082">
        <v>0</v>
      </c>
    </row>
    <row r="5083" spans="1:8" x14ac:dyDescent="0.25">
      <c r="A5083">
        <v>6184152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  <c r="H5083">
        <v>0</v>
      </c>
    </row>
    <row r="5084" spans="1:8" x14ac:dyDescent="0.25">
      <c r="A5084">
        <v>6184804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  <c r="H5084">
        <v>0</v>
      </c>
    </row>
    <row r="5085" spans="1:8" x14ac:dyDescent="0.25">
      <c r="A5085">
        <v>6297631</v>
      </c>
      <c r="B5085">
        <v>7</v>
      </c>
      <c r="C5085">
        <v>0</v>
      </c>
      <c r="D5085">
        <v>0</v>
      </c>
      <c r="E5085">
        <v>0</v>
      </c>
      <c r="F5085">
        <v>0</v>
      </c>
      <c r="G5085">
        <v>1</v>
      </c>
      <c r="H5085">
        <v>0</v>
      </c>
    </row>
    <row r="5086" spans="1:8" x14ac:dyDescent="0.25">
      <c r="A5086">
        <v>6300078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  <c r="H5086">
        <v>0</v>
      </c>
    </row>
    <row r="5087" spans="1:8" x14ac:dyDescent="0.25">
      <c r="A5087">
        <v>6354196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  <c r="H5087">
        <v>0</v>
      </c>
    </row>
    <row r="5088" spans="1:8" x14ac:dyDescent="0.25">
      <c r="A5088">
        <v>6379229</v>
      </c>
      <c r="B5088">
        <v>11</v>
      </c>
      <c r="C5088">
        <v>0</v>
      </c>
      <c r="D5088">
        <v>0</v>
      </c>
      <c r="E5088">
        <v>0</v>
      </c>
      <c r="F5088">
        <v>1</v>
      </c>
      <c r="G5088">
        <v>4</v>
      </c>
      <c r="H5088">
        <v>0</v>
      </c>
    </row>
    <row r="5089" spans="1:8" x14ac:dyDescent="0.25">
      <c r="A5089">
        <v>6500298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  <c r="H5089">
        <v>0</v>
      </c>
    </row>
    <row r="5090" spans="1:8" x14ac:dyDescent="0.25">
      <c r="A5090">
        <v>6527621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  <c r="H5090">
        <v>0</v>
      </c>
    </row>
    <row r="5091" spans="1:8" x14ac:dyDescent="0.25">
      <c r="A5091">
        <v>6540968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  <c r="H5091">
        <v>0</v>
      </c>
    </row>
    <row r="5092" spans="1:8" x14ac:dyDescent="0.25">
      <c r="A5092">
        <v>6546944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  <c r="H5092">
        <v>0</v>
      </c>
    </row>
    <row r="5093" spans="1:8" x14ac:dyDescent="0.25">
      <c r="A5093">
        <v>6551995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  <c r="H5093">
        <v>0</v>
      </c>
    </row>
    <row r="5094" spans="1:8" x14ac:dyDescent="0.25">
      <c r="A5094">
        <v>6588232</v>
      </c>
      <c r="B5094">
        <v>31</v>
      </c>
      <c r="C5094">
        <v>0</v>
      </c>
      <c r="D5094">
        <v>0</v>
      </c>
      <c r="E5094">
        <v>0</v>
      </c>
      <c r="F5094">
        <v>1</v>
      </c>
      <c r="G5094">
        <v>3</v>
      </c>
      <c r="H5094">
        <v>0</v>
      </c>
    </row>
    <row r="5095" spans="1:8" x14ac:dyDescent="0.25">
      <c r="A5095">
        <v>6588275</v>
      </c>
      <c r="B5095">
        <v>17</v>
      </c>
      <c r="C5095">
        <v>0</v>
      </c>
      <c r="D5095">
        <v>0</v>
      </c>
      <c r="E5095">
        <v>1</v>
      </c>
      <c r="F5095">
        <v>1</v>
      </c>
      <c r="G5095">
        <v>5</v>
      </c>
      <c r="H5095">
        <v>0</v>
      </c>
    </row>
    <row r="5096" spans="1:8" x14ac:dyDescent="0.25">
      <c r="A5096">
        <v>6588298</v>
      </c>
      <c r="B5096">
        <v>14</v>
      </c>
      <c r="C5096">
        <v>0</v>
      </c>
      <c r="D5096">
        <v>0</v>
      </c>
      <c r="E5096">
        <v>1</v>
      </c>
      <c r="F5096">
        <v>2</v>
      </c>
      <c r="G5096">
        <v>6</v>
      </c>
      <c r="H5096">
        <v>0</v>
      </c>
    </row>
    <row r="5097" spans="1:8" x14ac:dyDescent="0.25">
      <c r="A5097">
        <v>6590196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  <c r="H5097">
        <v>0</v>
      </c>
    </row>
    <row r="5098" spans="1:8" x14ac:dyDescent="0.25">
      <c r="A5098">
        <v>660199</v>
      </c>
      <c r="B5098">
        <v>12</v>
      </c>
      <c r="C5098">
        <v>10</v>
      </c>
      <c r="D5098">
        <v>0</v>
      </c>
      <c r="E5098">
        <v>5</v>
      </c>
      <c r="F5098">
        <v>27</v>
      </c>
      <c r="G5098">
        <v>47</v>
      </c>
      <c r="H5098">
        <v>0</v>
      </c>
    </row>
    <row r="5099" spans="1:8" x14ac:dyDescent="0.25">
      <c r="A5099">
        <v>660200</v>
      </c>
      <c r="B5099">
        <v>4</v>
      </c>
      <c r="C5099">
        <v>10</v>
      </c>
      <c r="D5099">
        <v>3</v>
      </c>
      <c r="E5099">
        <v>14</v>
      </c>
      <c r="F5099">
        <v>40</v>
      </c>
      <c r="G5099">
        <v>73</v>
      </c>
      <c r="H5099">
        <v>12.99</v>
      </c>
    </row>
    <row r="5100" spans="1:8" x14ac:dyDescent="0.25">
      <c r="A5100">
        <v>6691481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  <c r="H5100">
        <v>0</v>
      </c>
    </row>
    <row r="5101" spans="1:8" x14ac:dyDescent="0.25">
      <c r="A5101">
        <v>6691510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  <c r="H5101">
        <v>0</v>
      </c>
    </row>
    <row r="5102" spans="1:8" x14ac:dyDescent="0.25">
      <c r="A5102">
        <v>6714906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  <c r="H5102">
        <v>0</v>
      </c>
    </row>
    <row r="5103" spans="1:8" x14ac:dyDescent="0.25">
      <c r="A5103">
        <v>6714986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  <c r="H5103">
        <v>0</v>
      </c>
    </row>
    <row r="5104" spans="1:8" x14ac:dyDescent="0.25">
      <c r="A5104">
        <v>6737863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  <c r="H5104">
        <v>0</v>
      </c>
    </row>
    <row r="5105" spans="1:8" x14ac:dyDescent="0.25">
      <c r="A5105">
        <v>6777856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  <c r="H5105">
        <v>0</v>
      </c>
    </row>
    <row r="5106" spans="1:8" x14ac:dyDescent="0.25">
      <c r="A5106">
        <v>6794491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  <c r="H5106">
        <v>0</v>
      </c>
    </row>
    <row r="5107" spans="1:8" x14ac:dyDescent="0.25">
      <c r="A5107">
        <v>6828430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  <c r="H5107">
        <v>0</v>
      </c>
    </row>
    <row r="5108" spans="1:8" x14ac:dyDescent="0.25">
      <c r="A5108">
        <v>6832207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  <c r="H5108">
        <v>0</v>
      </c>
    </row>
    <row r="5109" spans="1:8" x14ac:dyDescent="0.25">
      <c r="A5109">
        <v>6832964</v>
      </c>
      <c r="B5109">
        <v>-1</v>
      </c>
      <c r="C5109">
        <v>0</v>
      </c>
      <c r="D5109">
        <v>0</v>
      </c>
      <c r="E5109">
        <v>0</v>
      </c>
      <c r="F5109">
        <v>0</v>
      </c>
      <c r="G5109">
        <v>0</v>
      </c>
      <c r="H5109">
        <v>0</v>
      </c>
    </row>
    <row r="5110" spans="1:8" x14ac:dyDescent="0.25">
      <c r="A5110">
        <v>6833105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  <c r="H5110">
        <v>0</v>
      </c>
    </row>
    <row r="5111" spans="1:8" x14ac:dyDescent="0.25">
      <c r="A5111">
        <v>6841548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  <c r="H5111">
        <v>0</v>
      </c>
    </row>
    <row r="5112" spans="1:8" x14ac:dyDescent="0.25">
      <c r="A5112">
        <v>6842342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  <c r="H5112">
        <v>0</v>
      </c>
    </row>
    <row r="5113" spans="1:8" x14ac:dyDescent="0.25">
      <c r="A5113">
        <v>6910308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  <c r="H5113">
        <v>0</v>
      </c>
    </row>
    <row r="5114" spans="1:8" x14ac:dyDescent="0.25">
      <c r="A5114">
        <v>6924413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  <c r="H5114">
        <v>0</v>
      </c>
    </row>
    <row r="5115" spans="1:8" x14ac:dyDescent="0.25">
      <c r="A5115">
        <v>6928248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  <c r="H5115">
        <v>0</v>
      </c>
    </row>
    <row r="5116" spans="1:8" x14ac:dyDescent="0.25">
      <c r="A5116">
        <v>6929528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  <c r="H5116">
        <v>0</v>
      </c>
    </row>
    <row r="5117" spans="1:8" x14ac:dyDescent="0.25">
      <c r="A5117">
        <v>6929552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  <c r="H5117">
        <v>0</v>
      </c>
    </row>
    <row r="5118" spans="1:8" x14ac:dyDescent="0.25">
      <c r="A5118">
        <v>7004345</v>
      </c>
      <c r="B5118">
        <v>1</v>
      </c>
      <c r="C5118">
        <v>0</v>
      </c>
      <c r="D5118">
        <v>0</v>
      </c>
      <c r="E5118">
        <v>0</v>
      </c>
      <c r="F5118">
        <v>0</v>
      </c>
      <c r="G5118">
        <v>0</v>
      </c>
      <c r="H5118">
        <v>0</v>
      </c>
    </row>
    <row r="5119" spans="1:8" x14ac:dyDescent="0.25">
      <c r="A5119">
        <v>7016706</v>
      </c>
      <c r="B5119">
        <v>689</v>
      </c>
      <c r="C5119">
        <v>0</v>
      </c>
      <c r="D5119">
        <v>123</v>
      </c>
      <c r="E5119">
        <v>412</v>
      </c>
      <c r="F5119">
        <v>1457</v>
      </c>
      <c r="G5119">
        <v>3014</v>
      </c>
      <c r="H5119">
        <v>4.9713000000000003</v>
      </c>
    </row>
    <row r="5120" spans="1:8" x14ac:dyDescent="0.25">
      <c r="A5120">
        <v>7019977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  <c r="H5120">
        <v>0</v>
      </c>
    </row>
    <row r="5121" spans="1:8" x14ac:dyDescent="0.25">
      <c r="A5121">
        <v>7077587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  <c r="H5121">
        <v>0</v>
      </c>
    </row>
    <row r="5122" spans="1:8" x14ac:dyDescent="0.25">
      <c r="A5122">
        <v>7101561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  <c r="H5122">
        <v>0</v>
      </c>
    </row>
    <row r="5123" spans="1:8" x14ac:dyDescent="0.25">
      <c r="A5123">
        <v>7102102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  <c r="H5123">
        <v>0</v>
      </c>
    </row>
    <row r="5124" spans="1:8" x14ac:dyDescent="0.25">
      <c r="A5124">
        <v>7105054</v>
      </c>
      <c r="B5124">
        <v>6</v>
      </c>
      <c r="C5124">
        <v>0</v>
      </c>
      <c r="D5124">
        <v>0</v>
      </c>
      <c r="E5124">
        <v>0</v>
      </c>
      <c r="F5124">
        <v>5</v>
      </c>
      <c r="G5124">
        <v>79</v>
      </c>
      <c r="H5124">
        <v>0</v>
      </c>
    </row>
    <row r="5125" spans="1:8" x14ac:dyDescent="0.25">
      <c r="A5125">
        <v>7124899</v>
      </c>
      <c r="B5125">
        <v>-8</v>
      </c>
      <c r="C5125">
        <v>0</v>
      </c>
      <c r="D5125">
        <v>0</v>
      </c>
      <c r="E5125">
        <v>1</v>
      </c>
      <c r="F5125">
        <v>4</v>
      </c>
      <c r="G5125">
        <v>7</v>
      </c>
      <c r="H5125">
        <v>0</v>
      </c>
    </row>
    <row r="5126" spans="1:8" x14ac:dyDescent="0.25">
      <c r="A5126">
        <v>7125649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  <c r="H5126">
        <v>0</v>
      </c>
    </row>
    <row r="5127" spans="1:8" x14ac:dyDescent="0.25">
      <c r="A5127">
        <v>7152351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  <c r="H5127">
        <v>0</v>
      </c>
    </row>
    <row r="5128" spans="1:8" x14ac:dyDescent="0.25">
      <c r="A5128">
        <v>7171089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  <c r="H5128">
        <v>0</v>
      </c>
    </row>
    <row r="5129" spans="1:8" x14ac:dyDescent="0.25">
      <c r="A5129">
        <v>7220888</v>
      </c>
      <c r="B5129">
        <v>42</v>
      </c>
      <c r="C5129">
        <v>25</v>
      </c>
      <c r="D5129">
        <v>2</v>
      </c>
      <c r="E5129">
        <v>10</v>
      </c>
      <c r="F5129">
        <v>54</v>
      </c>
      <c r="G5129">
        <v>121</v>
      </c>
      <c r="H5129">
        <v>5.7050000000000001</v>
      </c>
    </row>
    <row r="5130" spans="1:8" x14ac:dyDescent="0.25">
      <c r="A5130">
        <v>7226652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  <c r="H5130">
        <v>0</v>
      </c>
    </row>
    <row r="5131" spans="1:8" x14ac:dyDescent="0.25">
      <c r="A5131">
        <v>7226704</v>
      </c>
      <c r="B5131">
        <v>55</v>
      </c>
      <c r="C5131">
        <v>0</v>
      </c>
      <c r="D5131">
        <v>3</v>
      </c>
      <c r="E5131">
        <v>3</v>
      </c>
      <c r="F5131">
        <v>16</v>
      </c>
      <c r="G5131">
        <v>29</v>
      </c>
      <c r="H5131">
        <v>5.97</v>
      </c>
    </row>
    <row r="5132" spans="1:8" x14ac:dyDescent="0.25">
      <c r="A5132">
        <v>7228649</v>
      </c>
      <c r="B5132">
        <v>1</v>
      </c>
      <c r="C5132">
        <v>0</v>
      </c>
      <c r="D5132">
        <v>0</v>
      </c>
      <c r="E5132">
        <v>0</v>
      </c>
      <c r="F5132">
        <v>-1</v>
      </c>
      <c r="G5132">
        <v>-1</v>
      </c>
      <c r="H5132">
        <v>0</v>
      </c>
    </row>
    <row r="5133" spans="1:8" x14ac:dyDescent="0.25">
      <c r="A5133">
        <v>7253291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  <c r="H5133">
        <v>0</v>
      </c>
    </row>
    <row r="5134" spans="1:8" x14ac:dyDescent="0.25">
      <c r="A5134">
        <v>7278053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  <c r="H5134">
        <v>0</v>
      </c>
    </row>
    <row r="5135" spans="1:8" x14ac:dyDescent="0.25">
      <c r="A5135">
        <v>7284479</v>
      </c>
      <c r="B5135">
        <v>17</v>
      </c>
      <c r="C5135">
        <v>0</v>
      </c>
      <c r="D5135">
        <v>0</v>
      </c>
      <c r="E5135">
        <v>2</v>
      </c>
      <c r="F5135">
        <v>5</v>
      </c>
      <c r="G5135">
        <v>11</v>
      </c>
      <c r="H5135">
        <v>0</v>
      </c>
    </row>
    <row r="5136" spans="1:8" x14ac:dyDescent="0.25">
      <c r="A5136">
        <v>7284484</v>
      </c>
      <c r="B5136">
        <v>15</v>
      </c>
      <c r="C5136">
        <v>0</v>
      </c>
      <c r="D5136">
        <v>0</v>
      </c>
      <c r="E5136">
        <v>1</v>
      </c>
      <c r="F5136">
        <v>3</v>
      </c>
      <c r="G5136">
        <v>8</v>
      </c>
      <c r="H5136">
        <v>0</v>
      </c>
    </row>
    <row r="5137" spans="1:8" x14ac:dyDescent="0.25">
      <c r="A5137">
        <v>7311434</v>
      </c>
      <c r="B5137">
        <v>16</v>
      </c>
      <c r="C5137">
        <v>0</v>
      </c>
      <c r="D5137">
        <v>0</v>
      </c>
      <c r="E5137">
        <v>0</v>
      </c>
      <c r="F5137">
        <v>0</v>
      </c>
      <c r="G5137">
        <v>0</v>
      </c>
      <c r="H5137">
        <v>0</v>
      </c>
    </row>
    <row r="5138" spans="1:8" x14ac:dyDescent="0.25">
      <c r="A5138">
        <v>7324938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  <c r="H5138">
        <v>0</v>
      </c>
    </row>
    <row r="5139" spans="1:8" x14ac:dyDescent="0.25">
      <c r="A5139">
        <v>7361117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  <c r="H5139">
        <v>0</v>
      </c>
    </row>
    <row r="5140" spans="1:8" x14ac:dyDescent="0.25">
      <c r="A5140">
        <v>7363161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  <c r="H5140">
        <v>0</v>
      </c>
    </row>
    <row r="5141" spans="1:8" x14ac:dyDescent="0.25">
      <c r="A5141">
        <v>7376198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  <c r="H5141">
        <v>0</v>
      </c>
    </row>
    <row r="5142" spans="1:8" x14ac:dyDescent="0.25">
      <c r="A5142">
        <v>7383668</v>
      </c>
      <c r="B5142">
        <v>109</v>
      </c>
      <c r="C5142">
        <v>0</v>
      </c>
      <c r="D5142">
        <v>2</v>
      </c>
      <c r="E5142">
        <v>14</v>
      </c>
      <c r="F5142">
        <v>45</v>
      </c>
      <c r="G5142">
        <v>189</v>
      </c>
      <c r="H5142">
        <v>9.99</v>
      </c>
    </row>
    <row r="5143" spans="1:8" x14ac:dyDescent="0.25">
      <c r="A5143">
        <v>7383669</v>
      </c>
      <c r="B5143">
        <v>8</v>
      </c>
      <c r="C5143">
        <v>0</v>
      </c>
      <c r="D5143">
        <v>0</v>
      </c>
      <c r="E5143">
        <v>0</v>
      </c>
      <c r="F5143">
        <v>2</v>
      </c>
      <c r="G5143">
        <v>11</v>
      </c>
      <c r="H5143">
        <v>0</v>
      </c>
    </row>
    <row r="5144" spans="1:8" x14ac:dyDescent="0.25">
      <c r="A5144">
        <v>7387047</v>
      </c>
      <c r="B5144">
        <v>17</v>
      </c>
      <c r="C5144">
        <v>0</v>
      </c>
      <c r="D5144">
        <v>1</v>
      </c>
      <c r="E5144">
        <v>1</v>
      </c>
      <c r="F5144">
        <v>4</v>
      </c>
      <c r="G5144">
        <v>6</v>
      </c>
      <c r="H5144">
        <v>390.95</v>
      </c>
    </row>
    <row r="5145" spans="1:8" x14ac:dyDescent="0.25">
      <c r="A5145">
        <v>7388345</v>
      </c>
      <c r="B5145">
        <v>205</v>
      </c>
      <c r="C5145">
        <v>48</v>
      </c>
      <c r="D5145">
        <v>22</v>
      </c>
      <c r="E5145">
        <v>74</v>
      </c>
      <c r="F5145">
        <v>255</v>
      </c>
      <c r="G5145">
        <v>535</v>
      </c>
      <c r="H5145">
        <v>33.905500000000004</v>
      </c>
    </row>
    <row r="5146" spans="1:8" x14ac:dyDescent="0.25">
      <c r="A5146">
        <v>7399832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  <c r="H5146">
        <v>0</v>
      </c>
    </row>
    <row r="5147" spans="1:8" x14ac:dyDescent="0.25">
      <c r="A5147">
        <v>7417109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  <c r="H5147">
        <v>0</v>
      </c>
    </row>
    <row r="5148" spans="1:8" x14ac:dyDescent="0.25">
      <c r="A5148">
        <v>7417154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  <c r="H5148">
        <v>0</v>
      </c>
    </row>
    <row r="5149" spans="1:8" x14ac:dyDescent="0.25">
      <c r="A5149">
        <v>7457400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  <c r="H5149">
        <v>0</v>
      </c>
    </row>
    <row r="5150" spans="1:8" x14ac:dyDescent="0.25">
      <c r="A5150">
        <v>7478556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  <c r="H5150">
        <v>0</v>
      </c>
    </row>
    <row r="5151" spans="1:8" x14ac:dyDescent="0.25">
      <c r="A5151">
        <v>7496729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  <c r="H5151">
        <v>0</v>
      </c>
    </row>
    <row r="5152" spans="1:8" x14ac:dyDescent="0.25">
      <c r="A5152">
        <v>7505907</v>
      </c>
      <c r="B5152">
        <v>12</v>
      </c>
      <c r="C5152">
        <v>15</v>
      </c>
      <c r="D5152">
        <v>1</v>
      </c>
      <c r="E5152">
        <v>8</v>
      </c>
      <c r="F5152">
        <v>21</v>
      </c>
      <c r="G5152">
        <v>42</v>
      </c>
      <c r="H5152">
        <v>21.85</v>
      </c>
    </row>
    <row r="5153" spans="1:8" x14ac:dyDescent="0.25">
      <c r="A5153">
        <v>7505915</v>
      </c>
      <c r="B5153">
        <v>10</v>
      </c>
      <c r="C5153">
        <v>10</v>
      </c>
      <c r="D5153">
        <v>0</v>
      </c>
      <c r="E5153">
        <v>5</v>
      </c>
      <c r="F5153">
        <v>26</v>
      </c>
      <c r="G5153">
        <v>49</v>
      </c>
      <c r="H5153">
        <v>0</v>
      </c>
    </row>
    <row r="5154" spans="1:8" x14ac:dyDescent="0.25">
      <c r="A5154">
        <v>7571802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  <c r="H5154">
        <v>0</v>
      </c>
    </row>
    <row r="5155" spans="1:8" x14ac:dyDescent="0.25">
      <c r="A5155">
        <v>7615738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  <c r="H5155">
        <v>0</v>
      </c>
    </row>
    <row r="5156" spans="1:8" x14ac:dyDescent="0.25">
      <c r="A5156">
        <v>7623075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  <c r="H5156">
        <v>0</v>
      </c>
    </row>
    <row r="5157" spans="1:8" x14ac:dyDescent="0.25">
      <c r="A5157">
        <v>7627753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  <c r="H5157">
        <v>0</v>
      </c>
    </row>
    <row r="5158" spans="1:8" x14ac:dyDescent="0.25">
      <c r="A5158">
        <v>7637356</v>
      </c>
      <c r="B5158">
        <v>9</v>
      </c>
      <c r="C5158">
        <v>0</v>
      </c>
      <c r="D5158">
        <v>0</v>
      </c>
      <c r="E5158">
        <v>0</v>
      </c>
      <c r="F5158">
        <v>1</v>
      </c>
      <c r="G5158">
        <v>4</v>
      </c>
      <c r="H5158">
        <v>0</v>
      </c>
    </row>
    <row r="5159" spans="1:8" x14ac:dyDescent="0.25">
      <c r="A5159">
        <v>7640406</v>
      </c>
      <c r="B5159">
        <v>18</v>
      </c>
      <c r="C5159">
        <v>0</v>
      </c>
      <c r="D5159">
        <v>1</v>
      </c>
      <c r="E5159">
        <v>1</v>
      </c>
      <c r="F5159">
        <v>4</v>
      </c>
      <c r="G5159">
        <v>7</v>
      </c>
      <c r="H5159">
        <v>949.97</v>
      </c>
    </row>
    <row r="5160" spans="1:8" x14ac:dyDescent="0.25">
      <c r="A5160">
        <v>7693345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  <c r="H5160">
        <v>0</v>
      </c>
    </row>
    <row r="5161" spans="1:8" x14ac:dyDescent="0.25">
      <c r="A5161">
        <v>7693415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  <c r="H5161">
        <v>0</v>
      </c>
    </row>
    <row r="5162" spans="1:8" x14ac:dyDescent="0.25">
      <c r="A5162">
        <v>7699549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  <c r="H5162">
        <v>0</v>
      </c>
    </row>
    <row r="5163" spans="1:8" x14ac:dyDescent="0.25">
      <c r="A5163">
        <v>7708680</v>
      </c>
      <c r="B5163">
        <v>152</v>
      </c>
      <c r="C5163">
        <v>4</v>
      </c>
      <c r="D5163">
        <v>4</v>
      </c>
      <c r="E5163">
        <v>5</v>
      </c>
      <c r="F5163">
        <v>24</v>
      </c>
      <c r="G5163">
        <v>51</v>
      </c>
      <c r="H5163">
        <v>54.99</v>
      </c>
    </row>
    <row r="5164" spans="1:8" x14ac:dyDescent="0.25">
      <c r="A5164">
        <v>7725824</v>
      </c>
      <c r="B5164">
        <v>1</v>
      </c>
      <c r="C5164">
        <v>0</v>
      </c>
      <c r="D5164">
        <v>0</v>
      </c>
      <c r="E5164">
        <v>0</v>
      </c>
      <c r="F5164">
        <v>0</v>
      </c>
      <c r="G5164">
        <v>0</v>
      </c>
      <c r="H5164">
        <v>0</v>
      </c>
    </row>
    <row r="5165" spans="1:8" x14ac:dyDescent="0.25">
      <c r="A5165">
        <v>7754676</v>
      </c>
      <c r="B5165">
        <v>12</v>
      </c>
      <c r="C5165">
        <v>0</v>
      </c>
      <c r="D5165">
        <v>2</v>
      </c>
      <c r="E5165">
        <v>3</v>
      </c>
      <c r="F5165">
        <v>6</v>
      </c>
      <c r="G5165">
        <v>10</v>
      </c>
      <c r="H5165">
        <v>5.49</v>
      </c>
    </row>
    <row r="5166" spans="1:8" x14ac:dyDescent="0.25">
      <c r="A5166">
        <v>7784748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  <c r="H5166">
        <v>0</v>
      </c>
    </row>
    <row r="5167" spans="1:8" x14ac:dyDescent="0.25">
      <c r="A5167">
        <v>7825725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  <c r="H5167">
        <v>0</v>
      </c>
    </row>
    <row r="5168" spans="1:8" x14ac:dyDescent="0.25">
      <c r="A5168">
        <v>7826115</v>
      </c>
      <c r="B5168">
        <v>636</v>
      </c>
      <c r="C5168">
        <v>40</v>
      </c>
      <c r="D5168">
        <v>40</v>
      </c>
      <c r="E5168">
        <v>131</v>
      </c>
      <c r="F5168">
        <v>513</v>
      </c>
      <c r="G5168">
        <v>1062</v>
      </c>
      <c r="H5168">
        <v>14.9407</v>
      </c>
    </row>
    <row r="5169" spans="1:8" x14ac:dyDescent="0.25">
      <c r="A5169">
        <v>7831920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  <c r="H5169">
        <v>0</v>
      </c>
    </row>
    <row r="5170" spans="1:8" x14ac:dyDescent="0.25">
      <c r="A5170">
        <v>7831985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  <c r="H5170">
        <v>0</v>
      </c>
    </row>
    <row r="5171" spans="1:8" x14ac:dyDescent="0.25">
      <c r="A5171">
        <v>7867103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  <c r="H5171">
        <v>0</v>
      </c>
    </row>
    <row r="5172" spans="1:8" x14ac:dyDescent="0.25">
      <c r="A5172">
        <v>7869382</v>
      </c>
      <c r="B5172">
        <v>-10</v>
      </c>
      <c r="C5172">
        <v>0</v>
      </c>
      <c r="D5172">
        <v>0</v>
      </c>
      <c r="E5172">
        <v>0</v>
      </c>
      <c r="F5172">
        <v>0</v>
      </c>
      <c r="G5172">
        <v>0</v>
      </c>
      <c r="H5172">
        <v>0</v>
      </c>
    </row>
    <row r="5173" spans="1:8" x14ac:dyDescent="0.25">
      <c r="A5173">
        <v>7894793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  <c r="H5173">
        <v>0</v>
      </c>
    </row>
    <row r="5174" spans="1:8" x14ac:dyDescent="0.25">
      <c r="A5174">
        <v>7902698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  <c r="H5174">
        <v>0</v>
      </c>
    </row>
    <row r="5175" spans="1:8" x14ac:dyDescent="0.25">
      <c r="A5175">
        <v>7903546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  <c r="H5175">
        <v>0</v>
      </c>
    </row>
    <row r="5176" spans="1:8" x14ac:dyDescent="0.25">
      <c r="A5176">
        <v>7915422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  <c r="H5176">
        <v>0</v>
      </c>
    </row>
    <row r="5177" spans="1:8" x14ac:dyDescent="0.25">
      <c r="A5177">
        <v>7934817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  <c r="H5177">
        <v>0</v>
      </c>
    </row>
    <row r="5178" spans="1:8" x14ac:dyDescent="0.25">
      <c r="A5178">
        <v>7940507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  <c r="H5178">
        <v>0</v>
      </c>
    </row>
    <row r="5179" spans="1:8" x14ac:dyDescent="0.25">
      <c r="A5179">
        <v>7973391</v>
      </c>
      <c r="B5179">
        <v>4</v>
      </c>
      <c r="C5179">
        <v>0</v>
      </c>
      <c r="D5179">
        <v>0</v>
      </c>
      <c r="E5179">
        <v>0</v>
      </c>
      <c r="F5179">
        <v>0</v>
      </c>
      <c r="G5179">
        <v>0</v>
      </c>
      <c r="H5179">
        <v>0</v>
      </c>
    </row>
    <row r="5180" spans="1:8" x14ac:dyDescent="0.25">
      <c r="A5180">
        <v>7982182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  <c r="H5180">
        <v>0</v>
      </c>
    </row>
    <row r="5181" spans="1:8" x14ac:dyDescent="0.25">
      <c r="A5181">
        <v>7993071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  <c r="H5181">
        <v>0</v>
      </c>
    </row>
    <row r="5182" spans="1:8" x14ac:dyDescent="0.25">
      <c r="A5182">
        <v>8031088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  <c r="H5182">
        <v>0</v>
      </c>
    </row>
    <row r="5183" spans="1:8" x14ac:dyDescent="0.25">
      <c r="A5183">
        <v>8050765</v>
      </c>
      <c r="B5183">
        <v>115</v>
      </c>
      <c r="C5183">
        <v>98</v>
      </c>
      <c r="D5183">
        <v>4</v>
      </c>
      <c r="E5183">
        <v>19</v>
      </c>
      <c r="F5183">
        <v>66</v>
      </c>
      <c r="G5183">
        <v>116</v>
      </c>
      <c r="H5183">
        <v>47.395000000000003</v>
      </c>
    </row>
    <row r="5184" spans="1:8" x14ac:dyDescent="0.25">
      <c r="A5184">
        <v>8065690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  <c r="H5184">
        <v>0</v>
      </c>
    </row>
    <row r="5185" spans="1:8" x14ac:dyDescent="0.25">
      <c r="A5185">
        <v>8067972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  <c r="H5185">
        <v>0</v>
      </c>
    </row>
    <row r="5186" spans="1:8" x14ac:dyDescent="0.25">
      <c r="A5186">
        <v>8072231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  <c r="H5186">
        <v>0</v>
      </c>
    </row>
    <row r="5187" spans="1:8" x14ac:dyDescent="0.25">
      <c r="A5187">
        <v>8072596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  <c r="H5187">
        <v>0</v>
      </c>
    </row>
    <row r="5188" spans="1:8" x14ac:dyDescent="0.25">
      <c r="A5188">
        <v>8073017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  <c r="H5188">
        <v>0</v>
      </c>
    </row>
    <row r="5189" spans="1:8" x14ac:dyDescent="0.25">
      <c r="A5189">
        <v>8073132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  <c r="H5189">
        <v>0</v>
      </c>
    </row>
    <row r="5190" spans="1:8" x14ac:dyDescent="0.25">
      <c r="A5190">
        <v>8073294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  <c r="H5190">
        <v>0</v>
      </c>
    </row>
    <row r="5191" spans="1:8" x14ac:dyDescent="0.25">
      <c r="A5191">
        <v>8075079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  <c r="H5191">
        <v>0</v>
      </c>
    </row>
    <row r="5192" spans="1:8" x14ac:dyDescent="0.25">
      <c r="A5192">
        <v>8095753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  <c r="H5192">
        <v>0</v>
      </c>
    </row>
    <row r="5193" spans="1:8" x14ac:dyDescent="0.25">
      <c r="A5193">
        <v>8097406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  <c r="H5193">
        <v>0</v>
      </c>
    </row>
    <row r="5194" spans="1:8" x14ac:dyDescent="0.25">
      <c r="A5194">
        <v>8097424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  <c r="H5194">
        <v>0</v>
      </c>
    </row>
    <row r="5195" spans="1:8" x14ac:dyDescent="0.25">
      <c r="A5195">
        <v>8098064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  <c r="H5195">
        <v>0</v>
      </c>
    </row>
    <row r="5196" spans="1:8" x14ac:dyDescent="0.25">
      <c r="A5196">
        <v>8098177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  <c r="H5196">
        <v>0</v>
      </c>
    </row>
    <row r="5197" spans="1:8" x14ac:dyDescent="0.25">
      <c r="A5197">
        <v>8102382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  <c r="H5197">
        <v>0</v>
      </c>
    </row>
    <row r="5198" spans="1:8" x14ac:dyDescent="0.25">
      <c r="A5198">
        <v>8105377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  <c r="H5198">
        <v>0</v>
      </c>
    </row>
    <row r="5199" spans="1:8" x14ac:dyDescent="0.25">
      <c r="A5199">
        <v>8115794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  <c r="H5199">
        <v>0</v>
      </c>
    </row>
    <row r="5200" spans="1:8" x14ac:dyDescent="0.25">
      <c r="A5200">
        <v>8116126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  <c r="H5200">
        <v>0</v>
      </c>
    </row>
    <row r="5201" spans="1:8" x14ac:dyDescent="0.25">
      <c r="A5201">
        <v>8119528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  <c r="H5201">
        <v>0</v>
      </c>
    </row>
    <row r="5202" spans="1:8" x14ac:dyDescent="0.25">
      <c r="A5202">
        <v>8124406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  <c r="H5202">
        <v>0</v>
      </c>
    </row>
    <row r="5203" spans="1:8" x14ac:dyDescent="0.25">
      <c r="A5203">
        <v>8160841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  <c r="H5203">
        <v>0</v>
      </c>
    </row>
    <row r="5204" spans="1:8" x14ac:dyDescent="0.25">
      <c r="A5204">
        <v>8161035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  <c r="H5204">
        <v>0</v>
      </c>
    </row>
    <row r="5205" spans="1:8" x14ac:dyDescent="0.25">
      <c r="A5205">
        <v>8172179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  <c r="H5205">
        <v>0</v>
      </c>
    </row>
    <row r="5206" spans="1:8" x14ac:dyDescent="0.25">
      <c r="A5206">
        <v>8184675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  <c r="H5206">
        <v>0</v>
      </c>
    </row>
    <row r="5207" spans="1:8" x14ac:dyDescent="0.25">
      <c r="A5207">
        <v>8194822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  <c r="H5207">
        <v>0</v>
      </c>
    </row>
    <row r="5208" spans="1:8" x14ac:dyDescent="0.25">
      <c r="A5208">
        <v>8211074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  <c r="H5208">
        <v>0</v>
      </c>
    </row>
    <row r="5209" spans="1:8" x14ac:dyDescent="0.25">
      <c r="A5209">
        <v>8233908</v>
      </c>
      <c r="B5209">
        <v>12</v>
      </c>
      <c r="C5209">
        <v>0</v>
      </c>
      <c r="D5209">
        <v>0</v>
      </c>
      <c r="E5209">
        <v>0</v>
      </c>
      <c r="F5209">
        <v>0</v>
      </c>
      <c r="G5209">
        <v>3</v>
      </c>
      <c r="H5209">
        <v>0</v>
      </c>
    </row>
    <row r="5210" spans="1:8" x14ac:dyDescent="0.25">
      <c r="A5210">
        <v>8251567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  <c r="H5210">
        <v>0</v>
      </c>
    </row>
    <row r="5211" spans="1:8" x14ac:dyDescent="0.25">
      <c r="A5211">
        <v>8262717</v>
      </c>
      <c r="B5211">
        <v>1</v>
      </c>
      <c r="C5211">
        <v>2</v>
      </c>
      <c r="D5211">
        <v>0</v>
      </c>
      <c r="E5211">
        <v>0</v>
      </c>
      <c r="F5211">
        <v>0</v>
      </c>
      <c r="G5211">
        <v>0</v>
      </c>
      <c r="H5211">
        <v>0</v>
      </c>
    </row>
    <row r="5212" spans="1:8" x14ac:dyDescent="0.25">
      <c r="A5212">
        <v>8269587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  <c r="H5212">
        <v>0</v>
      </c>
    </row>
    <row r="5213" spans="1:8" x14ac:dyDescent="0.25">
      <c r="A5213">
        <v>8269617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  <c r="H5213">
        <v>0</v>
      </c>
    </row>
    <row r="5214" spans="1:8" x14ac:dyDescent="0.25">
      <c r="A5214">
        <v>8269662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  <c r="H5214">
        <v>0</v>
      </c>
    </row>
    <row r="5215" spans="1:8" x14ac:dyDescent="0.25">
      <c r="A5215">
        <v>8277815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  <c r="H5215">
        <v>0</v>
      </c>
    </row>
    <row r="5216" spans="1:8" x14ac:dyDescent="0.25">
      <c r="A5216">
        <v>8279693</v>
      </c>
      <c r="B5216">
        <v>-2</v>
      </c>
      <c r="C5216">
        <v>0</v>
      </c>
      <c r="D5216">
        <v>0</v>
      </c>
      <c r="E5216">
        <v>0</v>
      </c>
      <c r="F5216">
        <v>0</v>
      </c>
      <c r="G5216">
        <v>3</v>
      </c>
      <c r="H5216">
        <v>0</v>
      </c>
    </row>
    <row r="5217" spans="1:8" x14ac:dyDescent="0.25">
      <c r="A5217">
        <v>8295126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  <c r="H5217">
        <v>0</v>
      </c>
    </row>
    <row r="5218" spans="1:8" x14ac:dyDescent="0.25">
      <c r="A5218">
        <v>8295526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  <c r="H5218">
        <v>0</v>
      </c>
    </row>
    <row r="5219" spans="1:8" x14ac:dyDescent="0.25">
      <c r="A5219">
        <v>8296454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  <c r="H5219">
        <v>0</v>
      </c>
    </row>
    <row r="5220" spans="1:8" x14ac:dyDescent="0.25">
      <c r="A5220">
        <v>8299560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  <c r="H5220">
        <v>0</v>
      </c>
    </row>
    <row r="5221" spans="1:8" x14ac:dyDescent="0.25">
      <c r="A5221">
        <v>8316145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  <c r="H5221">
        <v>0</v>
      </c>
    </row>
    <row r="5222" spans="1:8" x14ac:dyDescent="0.25">
      <c r="A5222">
        <v>8316330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  <c r="H5222">
        <v>0</v>
      </c>
    </row>
    <row r="5223" spans="1:8" x14ac:dyDescent="0.25">
      <c r="A5223">
        <v>8316748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  <c r="H5223">
        <v>0</v>
      </c>
    </row>
    <row r="5224" spans="1:8" x14ac:dyDescent="0.25">
      <c r="A5224">
        <v>8322433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  <c r="H5224">
        <v>0</v>
      </c>
    </row>
    <row r="5225" spans="1:8" x14ac:dyDescent="0.25">
      <c r="A5225">
        <v>8332799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  <c r="H5225">
        <v>0</v>
      </c>
    </row>
    <row r="5226" spans="1:8" x14ac:dyDescent="0.25">
      <c r="A5226">
        <v>8337726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  <c r="H5226">
        <v>0</v>
      </c>
    </row>
    <row r="5227" spans="1:8" x14ac:dyDescent="0.25">
      <c r="A5227">
        <v>8337761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  <c r="H5227">
        <v>0</v>
      </c>
    </row>
    <row r="5228" spans="1:8" x14ac:dyDescent="0.25">
      <c r="A5228">
        <v>8337769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  <c r="H5228">
        <v>0</v>
      </c>
    </row>
    <row r="5229" spans="1:8" x14ac:dyDescent="0.25">
      <c r="A5229">
        <v>8344337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  <c r="H5229">
        <v>0</v>
      </c>
    </row>
    <row r="5230" spans="1:8" x14ac:dyDescent="0.25">
      <c r="A5230">
        <v>8352617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  <c r="H5230">
        <v>0</v>
      </c>
    </row>
    <row r="5231" spans="1:8" x14ac:dyDescent="0.25">
      <c r="A5231">
        <v>8353271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  <c r="H5231">
        <v>0</v>
      </c>
    </row>
    <row r="5232" spans="1:8" x14ac:dyDescent="0.25">
      <c r="A5232">
        <v>8374633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  <c r="H5232">
        <v>0</v>
      </c>
    </row>
    <row r="5233" spans="1:8" x14ac:dyDescent="0.25">
      <c r="A5233">
        <v>8376757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  <c r="H5233">
        <v>0</v>
      </c>
    </row>
    <row r="5234" spans="1:8" x14ac:dyDescent="0.25">
      <c r="A5234">
        <v>8377827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  <c r="H5234">
        <v>0</v>
      </c>
    </row>
    <row r="5235" spans="1:8" x14ac:dyDescent="0.25">
      <c r="A5235">
        <v>8386316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  <c r="H5235">
        <v>0</v>
      </c>
    </row>
    <row r="5236" spans="1:8" x14ac:dyDescent="0.25">
      <c r="A5236">
        <v>8394670</v>
      </c>
      <c r="B5236">
        <v>58</v>
      </c>
      <c r="C5236">
        <v>24</v>
      </c>
      <c r="D5236">
        <v>1</v>
      </c>
      <c r="E5236">
        <v>7</v>
      </c>
      <c r="F5236">
        <v>26</v>
      </c>
      <c r="G5236">
        <v>59</v>
      </c>
      <c r="H5236">
        <v>29.99</v>
      </c>
    </row>
    <row r="5237" spans="1:8" x14ac:dyDescent="0.25">
      <c r="A5237">
        <v>8401651</v>
      </c>
      <c r="B5237">
        <v>9</v>
      </c>
      <c r="C5237">
        <v>0</v>
      </c>
      <c r="D5237">
        <v>0</v>
      </c>
      <c r="E5237">
        <v>0</v>
      </c>
      <c r="F5237">
        <v>0</v>
      </c>
      <c r="G5237">
        <v>0</v>
      </c>
      <c r="H5237">
        <v>0</v>
      </c>
    </row>
    <row r="5238" spans="1:8" x14ac:dyDescent="0.25">
      <c r="A5238">
        <v>8401727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  <c r="H5238">
        <v>0</v>
      </c>
    </row>
    <row r="5239" spans="1:8" x14ac:dyDescent="0.25">
      <c r="A5239">
        <v>8401814</v>
      </c>
      <c r="B5239">
        <v>2394</v>
      </c>
      <c r="C5239">
        <v>230</v>
      </c>
      <c r="D5239">
        <v>107</v>
      </c>
      <c r="E5239">
        <v>491</v>
      </c>
      <c r="F5239">
        <v>1628</v>
      </c>
      <c r="G5239">
        <v>3167</v>
      </c>
      <c r="H5239">
        <v>18.046199999999999</v>
      </c>
    </row>
    <row r="5240" spans="1:8" x14ac:dyDescent="0.25">
      <c r="A5240">
        <v>8413417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  <c r="H5240">
        <v>0</v>
      </c>
    </row>
    <row r="5241" spans="1:8" x14ac:dyDescent="0.25">
      <c r="A5241">
        <v>8422184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  <c r="H5241">
        <v>0</v>
      </c>
    </row>
    <row r="5242" spans="1:8" x14ac:dyDescent="0.25">
      <c r="A5242">
        <v>8426683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  <c r="H5242">
        <v>0</v>
      </c>
    </row>
    <row r="5243" spans="1:8" x14ac:dyDescent="0.25">
      <c r="A5243">
        <v>8427327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  <c r="H5243">
        <v>0</v>
      </c>
    </row>
    <row r="5244" spans="1:8" x14ac:dyDescent="0.25">
      <c r="A5244">
        <v>8454544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  <c r="H5244">
        <v>0</v>
      </c>
    </row>
    <row r="5245" spans="1:8" x14ac:dyDescent="0.25">
      <c r="A5245">
        <v>8454886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  <c r="H5245">
        <v>0</v>
      </c>
    </row>
    <row r="5246" spans="1:8" x14ac:dyDescent="0.25">
      <c r="A5246">
        <v>8454927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  <c r="H5246">
        <v>0</v>
      </c>
    </row>
    <row r="5247" spans="1:8" x14ac:dyDescent="0.25">
      <c r="A5247">
        <v>8455665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  <c r="H5247">
        <v>0</v>
      </c>
    </row>
    <row r="5248" spans="1:8" x14ac:dyDescent="0.25">
      <c r="A5248">
        <v>8455669</v>
      </c>
      <c r="B5248">
        <v>1195</v>
      </c>
      <c r="C5248">
        <v>0</v>
      </c>
      <c r="D5248">
        <v>14</v>
      </c>
      <c r="E5248">
        <v>64</v>
      </c>
      <c r="F5248">
        <v>155</v>
      </c>
      <c r="G5248">
        <v>389</v>
      </c>
      <c r="H5248">
        <v>48.180700000000002</v>
      </c>
    </row>
    <row r="5249" spans="1:8" x14ac:dyDescent="0.25">
      <c r="A5249">
        <v>8455678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  <c r="H5249">
        <v>0</v>
      </c>
    </row>
    <row r="5250" spans="1:8" x14ac:dyDescent="0.25">
      <c r="A5250">
        <v>8466057</v>
      </c>
      <c r="B5250">
        <v>21</v>
      </c>
      <c r="C5250">
        <v>0</v>
      </c>
      <c r="D5250">
        <v>1</v>
      </c>
      <c r="E5250">
        <v>4</v>
      </c>
      <c r="F5250">
        <v>11</v>
      </c>
      <c r="G5250">
        <v>24</v>
      </c>
      <c r="H5250">
        <v>14.99</v>
      </c>
    </row>
    <row r="5251" spans="1:8" x14ac:dyDescent="0.25">
      <c r="A5251">
        <v>8473651</v>
      </c>
      <c r="B5251">
        <v>18</v>
      </c>
      <c r="C5251">
        <v>0</v>
      </c>
      <c r="D5251">
        <v>0</v>
      </c>
      <c r="E5251">
        <v>0</v>
      </c>
      <c r="F5251">
        <v>1</v>
      </c>
      <c r="G5251">
        <v>3</v>
      </c>
      <c r="H5251">
        <v>0</v>
      </c>
    </row>
    <row r="5252" spans="1:8" x14ac:dyDescent="0.25">
      <c r="A5252">
        <v>8473682</v>
      </c>
      <c r="B5252">
        <v>15</v>
      </c>
      <c r="C5252">
        <v>0</v>
      </c>
      <c r="D5252">
        <v>0</v>
      </c>
      <c r="E5252">
        <v>0</v>
      </c>
      <c r="F5252">
        <v>5</v>
      </c>
      <c r="G5252">
        <v>6</v>
      </c>
      <c r="H5252">
        <v>0</v>
      </c>
    </row>
    <row r="5253" spans="1:8" x14ac:dyDescent="0.25">
      <c r="A5253">
        <v>8507639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  <c r="H5253">
        <v>0</v>
      </c>
    </row>
    <row r="5254" spans="1:8" x14ac:dyDescent="0.25">
      <c r="A5254">
        <v>8548145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  <c r="H5254">
        <v>0</v>
      </c>
    </row>
    <row r="5255" spans="1:8" x14ac:dyDescent="0.25">
      <c r="A5255">
        <v>8557116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  <c r="H5255">
        <v>0</v>
      </c>
    </row>
    <row r="5256" spans="1:8" x14ac:dyDescent="0.25">
      <c r="A5256">
        <v>856029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  <c r="H5256">
        <v>0</v>
      </c>
    </row>
    <row r="5257" spans="1:8" x14ac:dyDescent="0.25">
      <c r="A5257">
        <v>8588513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  <c r="H5257">
        <v>0</v>
      </c>
    </row>
    <row r="5258" spans="1:8" x14ac:dyDescent="0.25">
      <c r="A5258">
        <v>8596811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  <c r="H5258">
        <v>0</v>
      </c>
    </row>
    <row r="5259" spans="1:8" x14ac:dyDescent="0.25">
      <c r="A5259">
        <v>8599343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  <c r="H5259">
        <v>0</v>
      </c>
    </row>
    <row r="5260" spans="1:8" x14ac:dyDescent="0.25">
      <c r="A5260">
        <v>8602834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  <c r="H5260">
        <v>0</v>
      </c>
    </row>
    <row r="5261" spans="1:8" x14ac:dyDescent="0.25">
      <c r="A5261">
        <v>8621583</v>
      </c>
      <c r="B5261">
        <v>1</v>
      </c>
      <c r="C5261">
        <v>0</v>
      </c>
      <c r="D5261">
        <v>0</v>
      </c>
      <c r="E5261">
        <v>0</v>
      </c>
      <c r="F5261">
        <v>0</v>
      </c>
      <c r="G5261">
        <v>0</v>
      </c>
      <c r="H5261">
        <v>0</v>
      </c>
    </row>
    <row r="5262" spans="1:8" x14ac:dyDescent="0.25">
      <c r="A5262">
        <v>8625115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  <c r="H5262">
        <v>0</v>
      </c>
    </row>
    <row r="5263" spans="1:8" x14ac:dyDescent="0.25">
      <c r="A5263">
        <v>8626090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  <c r="H5263">
        <v>0</v>
      </c>
    </row>
    <row r="5264" spans="1:8" x14ac:dyDescent="0.25">
      <c r="A5264">
        <v>8627185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  <c r="H5264">
        <v>0</v>
      </c>
    </row>
    <row r="5265" spans="1:8" x14ac:dyDescent="0.25">
      <c r="A5265">
        <v>8637923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  <c r="H5265">
        <v>0</v>
      </c>
    </row>
    <row r="5266" spans="1:8" x14ac:dyDescent="0.25">
      <c r="A5266">
        <v>8649616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  <c r="H5266">
        <v>0</v>
      </c>
    </row>
    <row r="5267" spans="1:8" x14ac:dyDescent="0.25">
      <c r="A5267">
        <v>8651722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  <c r="H5267">
        <v>0</v>
      </c>
    </row>
    <row r="5268" spans="1:8" x14ac:dyDescent="0.25">
      <c r="A5268">
        <v>8658508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  <c r="H5268">
        <v>0</v>
      </c>
    </row>
    <row r="5269" spans="1:8" x14ac:dyDescent="0.25">
      <c r="A5269">
        <v>8659531</v>
      </c>
      <c r="B5269">
        <v>19</v>
      </c>
      <c r="C5269">
        <v>20</v>
      </c>
      <c r="D5269">
        <v>7</v>
      </c>
      <c r="E5269">
        <v>22</v>
      </c>
      <c r="F5269">
        <v>70</v>
      </c>
      <c r="G5269">
        <v>119</v>
      </c>
      <c r="H5269">
        <v>5.9470999999999998</v>
      </c>
    </row>
    <row r="5270" spans="1:8" x14ac:dyDescent="0.25">
      <c r="A5270">
        <v>8669029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  <c r="H5270">
        <v>0</v>
      </c>
    </row>
    <row r="5271" spans="1:8" x14ac:dyDescent="0.25">
      <c r="A5271">
        <v>8671107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  <c r="H5271">
        <v>0</v>
      </c>
    </row>
    <row r="5272" spans="1:8" x14ac:dyDescent="0.25">
      <c r="A5272">
        <v>8674146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  <c r="H5272">
        <v>0</v>
      </c>
    </row>
    <row r="5273" spans="1:8" x14ac:dyDescent="0.25">
      <c r="A5273">
        <v>8674334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  <c r="H5273">
        <v>0</v>
      </c>
    </row>
    <row r="5274" spans="1:8" x14ac:dyDescent="0.25">
      <c r="A5274">
        <v>8674684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  <c r="H5274">
        <v>0</v>
      </c>
    </row>
    <row r="5275" spans="1:8" x14ac:dyDescent="0.25">
      <c r="A5275">
        <v>8676044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  <c r="H5275">
        <v>0</v>
      </c>
    </row>
    <row r="5276" spans="1:8" x14ac:dyDescent="0.25">
      <c r="A5276">
        <v>8676048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  <c r="H5276">
        <v>0</v>
      </c>
    </row>
    <row r="5277" spans="1:8" x14ac:dyDescent="0.25">
      <c r="A5277">
        <v>8680969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  <c r="H5277">
        <v>0</v>
      </c>
    </row>
    <row r="5278" spans="1:8" x14ac:dyDescent="0.25">
      <c r="A5278">
        <v>8683417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  <c r="H5278">
        <v>0</v>
      </c>
    </row>
    <row r="5279" spans="1:8" x14ac:dyDescent="0.25">
      <c r="A5279">
        <v>8695017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  <c r="H5279">
        <v>0</v>
      </c>
    </row>
    <row r="5280" spans="1:8" x14ac:dyDescent="0.25">
      <c r="A5280">
        <v>8703189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  <c r="H5280">
        <v>0</v>
      </c>
    </row>
    <row r="5281" spans="1:8" x14ac:dyDescent="0.25">
      <c r="A5281">
        <v>8706072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  <c r="H5281">
        <v>0</v>
      </c>
    </row>
    <row r="5282" spans="1:8" x14ac:dyDescent="0.25">
      <c r="A5282">
        <v>8733940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  <c r="H5282">
        <v>0</v>
      </c>
    </row>
    <row r="5283" spans="1:8" x14ac:dyDescent="0.25">
      <c r="A5283">
        <v>8734256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  <c r="H5283">
        <v>0</v>
      </c>
    </row>
    <row r="5284" spans="1:8" x14ac:dyDescent="0.25">
      <c r="A5284">
        <v>8736319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  <c r="H5284">
        <v>0</v>
      </c>
    </row>
    <row r="5285" spans="1:8" x14ac:dyDescent="0.25">
      <c r="A5285">
        <v>8743160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  <c r="H5285">
        <v>0</v>
      </c>
    </row>
    <row r="5286" spans="1:8" x14ac:dyDescent="0.25">
      <c r="A5286">
        <v>8752045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  <c r="H5286">
        <v>0</v>
      </c>
    </row>
    <row r="5287" spans="1:8" x14ac:dyDescent="0.25">
      <c r="A5287">
        <v>8772922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  <c r="H5287">
        <v>0</v>
      </c>
    </row>
    <row r="5288" spans="1:8" x14ac:dyDescent="0.25">
      <c r="A5288">
        <v>8772932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  <c r="H5288">
        <v>0</v>
      </c>
    </row>
    <row r="5289" spans="1:8" x14ac:dyDescent="0.25">
      <c r="A5289">
        <v>8775826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  <c r="H5289">
        <v>0</v>
      </c>
    </row>
    <row r="5290" spans="1:8" x14ac:dyDescent="0.25">
      <c r="A5290">
        <v>8776095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  <c r="H5290">
        <v>0</v>
      </c>
    </row>
    <row r="5291" spans="1:8" x14ac:dyDescent="0.25">
      <c r="A5291">
        <v>8795063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  <c r="H5291">
        <v>0</v>
      </c>
    </row>
    <row r="5292" spans="1:8" x14ac:dyDescent="0.25">
      <c r="A5292">
        <v>8798021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  <c r="H5292">
        <v>0</v>
      </c>
    </row>
    <row r="5293" spans="1:8" x14ac:dyDescent="0.25">
      <c r="A5293">
        <v>8826777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  <c r="H5293">
        <v>0</v>
      </c>
    </row>
    <row r="5294" spans="1:8" x14ac:dyDescent="0.25">
      <c r="A5294">
        <v>8826791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  <c r="H5294">
        <v>0</v>
      </c>
    </row>
    <row r="5295" spans="1:8" x14ac:dyDescent="0.25">
      <c r="A5295">
        <v>8843899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  <c r="H5295">
        <v>0</v>
      </c>
    </row>
    <row r="5296" spans="1:8" x14ac:dyDescent="0.25">
      <c r="A5296">
        <v>8847892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  <c r="H5296">
        <v>0</v>
      </c>
    </row>
    <row r="5297" spans="1:8" x14ac:dyDescent="0.25">
      <c r="A5297">
        <v>8868634</v>
      </c>
      <c r="B5297">
        <v>22</v>
      </c>
      <c r="C5297">
        <v>0</v>
      </c>
      <c r="D5297">
        <v>2</v>
      </c>
      <c r="E5297">
        <v>8</v>
      </c>
      <c r="F5297">
        <v>35</v>
      </c>
      <c r="G5297">
        <v>108</v>
      </c>
      <c r="H5297">
        <v>15.574999999999999</v>
      </c>
    </row>
    <row r="5298" spans="1:8" x14ac:dyDescent="0.25">
      <c r="A5298">
        <v>8868664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  <c r="H5298">
        <v>0</v>
      </c>
    </row>
    <row r="5299" spans="1:8" x14ac:dyDescent="0.25">
      <c r="A5299">
        <v>8871062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  <c r="H5299">
        <v>0</v>
      </c>
    </row>
    <row r="5300" spans="1:8" x14ac:dyDescent="0.25">
      <c r="A5300">
        <v>8871063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  <c r="H5300">
        <v>0</v>
      </c>
    </row>
    <row r="5301" spans="1:8" x14ac:dyDescent="0.25">
      <c r="A5301">
        <v>8880835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  <c r="H5301">
        <v>0</v>
      </c>
    </row>
    <row r="5302" spans="1:8" x14ac:dyDescent="0.25">
      <c r="A5302">
        <v>8890110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  <c r="H5302">
        <v>0</v>
      </c>
    </row>
    <row r="5303" spans="1:8" x14ac:dyDescent="0.25">
      <c r="A5303">
        <v>8897512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  <c r="H5303">
        <v>0</v>
      </c>
    </row>
    <row r="5304" spans="1:8" x14ac:dyDescent="0.25">
      <c r="A5304">
        <v>8897513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  <c r="H5304">
        <v>0</v>
      </c>
    </row>
    <row r="5305" spans="1:8" x14ac:dyDescent="0.25">
      <c r="A5305">
        <v>8897515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  <c r="H5305">
        <v>0</v>
      </c>
    </row>
    <row r="5306" spans="1:8" x14ac:dyDescent="0.25">
      <c r="A5306">
        <v>8897518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  <c r="H5306">
        <v>0</v>
      </c>
    </row>
    <row r="5307" spans="1:8" x14ac:dyDescent="0.25">
      <c r="A5307">
        <v>8897522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  <c r="H5307">
        <v>0</v>
      </c>
    </row>
    <row r="5308" spans="1:8" x14ac:dyDescent="0.25">
      <c r="A5308">
        <v>8901659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  <c r="H5308">
        <v>0</v>
      </c>
    </row>
    <row r="5309" spans="1:8" x14ac:dyDescent="0.25">
      <c r="A5309">
        <v>8902085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  <c r="H5309">
        <v>0</v>
      </c>
    </row>
    <row r="5310" spans="1:8" x14ac:dyDescent="0.25">
      <c r="A5310">
        <v>8907973</v>
      </c>
      <c r="B5310">
        <v>0</v>
      </c>
      <c r="C5310">
        <v>0</v>
      </c>
      <c r="D5310">
        <v>0</v>
      </c>
      <c r="E5310">
        <v>0</v>
      </c>
      <c r="F5310">
        <v>1</v>
      </c>
      <c r="G5310">
        <v>11</v>
      </c>
      <c r="H5310">
        <v>0</v>
      </c>
    </row>
    <row r="5311" spans="1:8" x14ac:dyDescent="0.25">
      <c r="A5311">
        <v>8908055</v>
      </c>
      <c r="B5311">
        <v>134</v>
      </c>
      <c r="C5311">
        <v>6</v>
      </c>
      <c r="D5311">
        <v>4</v>
      </c>
      <c r="E5311">
        <v>13</v>
      </c>
      <c r="F5311">
        <v>61</v>
      </c>
      <c r="G5311">
        <v>162</v>
      </c>
      <c r="H5311">
        <v>25.572500000000002</v>
      </c>
    </row>
    <row r="5312" spans="1:8" x14ac:dyDescent="0.25">
      <c r="A5312">
        <v>8909897</v>
      </c>
      <c r="B5312">
        <v>31</v>
      </c>
      <c r="C5312">
        <v>12</v>
      </c>
      <c r="D5312">
        <v>2</v>
      </c>
      <c r="E5312">
        <v>8</v>
      </c>
      <c r="F5312">
        <v>28</v>
      </c>
      <c r="G5312">
        <v>65</v>
      </c>
      <c r="H5312">
        <v>39.450000000000003</v>
      </c>
    </row>
    <row r="5313" spans="1:8" x14ac:dyDescent="0.25">
      <c r="A5313">
        <v>8910739</v>
      </c>
      <c r="B5313">
        <v>1</v>
      </c>
      <c r="C5313">
        <v>0</v>
      </c>
      <c r="D5313">
        <v>0</v>
      </c>
      <c r="E5313">
        <v>0</v>
      </c>
      <c r="F5313">
        <v>0</v>
      </c>
      <c r="G5313">
        <v>0</v>
      </c>
      <c r="H5313">
        <v>0</v>
      </c>
    </row>
    <row r="5314" spans="1:8" x14ac:dyDescent="0.25">
      <c r="A5314">
        <v>8911425</v>
      </c>
      <c r="B5314">
        <v>43</v>
      </c>
      <c r="C5314">
        <v>0</v>
      </c>
      <c r="D5314">
        <v>1</v>
      </c>
      <c r="E5314">
        <v>4</v>
      </c>
      <c r="F5314">
        <v>16</v>
      </c>
      <c r="G5314">
        <v>45</v>
      </c>
      <c r="H5314">
        <v>29</v>
      </c>
    </row>
    <row r="5315" spans="1:8" x14ac:dyDescent="0.25">
      <c r="A5315">
        <v>8964198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  <c r="H5315">
        <v>0</v>
      </c>
    </row>
    <row r="5316" spans="1:8" x14ac:dyDescent="0.25">
      <c r="A5316">
        <v>8965806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  <c r="H5316">
        <v>0</v>
      </c>
    </row>
    <row r="5317" spans="1:8" x14ac:dyDescent="0.25">
      <c r="A5317">
        <v>8965905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  <c r="H5317">
        <v>0</v>
      </c>
    </row>
    <row r="5318" spans="1:8" x14ac:dyDescent="0.25">
      <c r="A5318">
        <v>8968128</v>
      </c>
      <c r="B5318">
        <v>11</v>
      </c>
      <c r="C5318">
        <v>10</v>
      </c>
      <c r="D5318">
        <v>1</v>
      </c>
      <c r="E5318">
        <v>10</v>
      </c>
      <c r="F5318">
        <v>26</v>
      </c>
      <c r="G5318">
        <v>44</v>
      </c>
      <c r="H5318">
        <v>5.03</v>
      </c>
    </row>
    <row r="5319" spans="1:8" x14ac:dyDescent="0.25">
      <c r="A5319">
        <v>8969783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  <c r="H5319">
        <v>0</v>
      </c>
    </row>
    <row r="5320" spans="1:8" x14ac:dyDescent="0.25">
      <c r="A5320">
        <v>8977102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  <c r="H5320">
        <v>0</v>
      </c>
    </row>
    <row r="5321" spans="1:8" x14ac:dyDescent="0.25">
      <c r="A5321">
        <v>8978088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  <c r="H5321">
        <v>0</v>
      </c>
    </row>
    <row r="5322" spans="1:8" x14ac:dyDescent="0.25">
      <c r="A5322">
        <v>8995256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  <c r="H5322">
        <v>0</v>
      </c>
    </row>
    <row r="5323" spans="1:8" x14ac:dyDescent="0.25">
      <c r="A5323">
        <v>9023737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  <c r="H5323">
        <v>0</v>
      </c>
    </row>
    <row r="5324" spans="1:8" x14ac:dyDescent="0.25">
      <c r="A5324">
        <v>9039175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  <c r="H5324">
        <v>0</v>
      </c>
    </row>
    <row r="5325" spans="1:8" x14ac:dyDescent="0.25">
      <c r="A5325">
        <v>9053910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  <c r="H5325">
        <v>0</v>
      </c>
    </row>
    <row r="5326" spans="1:8" x14ac:dyDescent="0.25">
      <c r="A5326">
        <v>9060273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  <c r="H5326">
        <v>0</v>
      </c>
    </row>
    <row r="5327" spans="1:8" x14ac:dyDescent="0.25">
      <c r="A5327">
        <v>9067064</v>
      </c>
      <c r="B5327">
        <v>6</v>
      </c>
      <c r="C5327">
        <v>0</v>
      </c>
      <c r="D5327">
        <v>0</v>
      </c>
      <c r="E5327">
        <v>1</v>
      </c>
      <c r="F5327">
        <v>0</v>
      </c>
      <c r="G5327">
        <v>3</v>
      </c>
      <c r="H5327">
        <v>0</v>
      </c>
    </row>
    <row r="5328" spans="1:8" x14ac:dyDescent="0.25">
      <c r="A5328">
        <v>906895</v>
      </c>
      <c r="B5328">
        <v>1</v>
      </c>
      <c r="C5328">
        <v>0</v>
      </c>
      <c r="D5328">
        <v>0</v>
      </c>
      <c r="E5328">
        <v>0</v>
      </c>
      <c r="F5328">
        <v>1</v>
      </c>
      <c r="G5328">
        <v>1</v>
      </c>
      <c r="H5328">
        <v>0</v>
      </c>
    </row>
    <row r="5329" spans="1:8" x14ac:dyDescent="0.25">
      <c r="A5329">
        <v>907053</v>
      </c>
      <c r="B5329">
        <v>19</v>
      </c>
      <c r="C5329">
        <v>0</v>
      </c>
      <c r="D5329">
        <v>0</v>
      </c>
      <c r="E5329">
        <v>0</v>
      </c>
      <c r="F5329">
        <v>3</v>
      </c>
      <c r="G5329">
        <v>12</v>
      </c>
      <c r="H5329">
        <v>0</v>
      </c>
    </row>
    <row r="5330" spans="1:8" x14ac:dyDescent="0.25">
      <c r="A5330">
        <v>9093960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  <c r="H5330">
        <v>0</v>
      </c>
    </row>
    <row r="5331" spans="1:8" x14ac:dyDescent="0.25">
      <c r="A5331">
        <v>9094114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  <c r="H5331">
        <v>0</v>
      </c>
    </row>
    <row r="5332" spans="1:8" x14ac:dyDescent="0.25">
      <c r="A5332">
        <v>9095880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  <c r="H5332">
        <v>0</v>
      </c>
    </row>
    <row r="5333" spans="1:8" x14ac:dyDescent="0.25">
      <c r="A5333">
        <v>9101012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  <c r="H5333">
        <v>0</v>
      </c>
    </row>
    <row r="5334" spans="1:8" x14ac:dyDescent="0.25">
      <c r="A5334">
        <v>9119434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  <c r="H5334">
        <v>0</v>
      </c>
    </row>
    <row r="5335" spans="1:8" x14ac:dyDescent="0.25">
      <c r="A5335">
        <v>9127618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  <c r="H5335">
        <v>0</v>
      </c>
    </row>
    <row r="5336" spans="1:8" x14ac:dyDescent="0.25">
      <c r="A5336">
        <v>9128067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  <c r="H5336">
        <v>0</v>
      </c>
    </row>
    <row r="5337" spans="1:8" x14ac:dyDescent="0.25">
      <c r="A5337">
        <v>9129464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  <c r="H5337">
        <v>0</v>
      </c>
    </row>
    <row r="5338" spans="1:8" x14ac:dyDescent="0.25">
      <c r="A5338">
        <v>9129469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  <c r="H5338">
        <v>0</v>
      </c>
    </row>
    <row r="5339" spans="1:8" x14ac:dyDescent="0.25">
      <c r="A5339">
        <v>9136724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  <c r="H5339">
        <v>0</v>
      </c>
    </row>
    <row r="5340" spans="1:8" x14ac:dyDescent="0.25">
      <c r="A5340">
        <v>9151702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  <c r="H5340">
        <v>0</v>
      </c>
    </row>
    <row r="5341" spans="1:8" x14ac:dyDescent="0.25">
      <c r="A5341">
        <v>9151726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  <c r="H5341">
        <v>0</v>
      </c>
    </row>
    <row r="5342" spans="1:8" x14ac:dyDescent="0.25">
      <c r="A5342">
        <v>9155850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  <c r="H5342">
        <v>0</v>
      </c>
    </row>
    <row r="5343" spans="1:8" x14ac:dyDescent="0.25">
      <c r="A5343">
        <v>9157246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  <c r="H5343">
        <v>0</v>
      </c>
    </row>
    <row r="5344" spans="1:8" x14ac:dyDescent="0.25">
      <c r="A5344">
        <v>9160014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  <c r="H5344">
        <v>0</v>
      </c>
    </row>
    <row r="5345" spans="1:8" x14ac:dyDescent="0.25">
      <c r="A5345">
        <v>9181897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  <c r="H5345">
        <v>0</v>
      </c>
    </row>
    <row r="5346" spans="1:8" x14ac:dyDescent="0.25">
      <c r="A5346">
        <v>9183201</v>
      </c>
      <c r="B5346">
        <v>46</v>
      </c>
      <c r="C5346">
        <v>25</v>
      </c>
      <c r="D5346">
        <v>2</v>
      </c>
      <c r="E5346">
        <v>16</v>
      </c>
      <c r="F5346">
        <v>36</v>
      </c>
      <c r="G5346">
        <v>89</v>
      </c>
      <c r="H5346">
        <v>24.99</v>
      </c>
    </row>
    <row r="5347" spans="1:8" x14ac:dyDescent="0.25">
      <c r="A5347">
        <v>9189735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  <c r="H5347">
        <v>0</v>
      </c>
    </row>
    <row r="5348" spans="1:8" x14ac:dyDescent="0.25">
      <c r="A5348">
        <v>9189737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  <c r="H5348">
        <v>0</v>
      </c>
    </row>
    <row r="5349" spans="1:8" x14ac:dyDescent="0.25">
      <c r="A5349">
        <v>9194261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  <c r="H5349">
        <v>0</v>
      </c>
    </row>
    <row r="5350" spans="1:8" x14ac:dyDescent="0.25">
      <c r="A5350">
        <v>9203491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  <c r="H5350">
        <v>0</v>
      </c>
    </row>
    <row r="5351" spans="1:8" x14ac:dyDescent="0.25">
      <c r="A5351">
        <v>9206239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  <c r="H5351">
        <v>0</v>
      </c>
    </row>
    <row r="5352" spans="1:8" x14ac:dyDescent="0.25">
      <c r="A5352">
        <v>9207466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  <c r="H5352">
        <v>0</v>
      </c>
    </row>
    <row r="5353" spans="1:8" x14ac:dyDescent="0.25">
      <c r="A5353">
        <v>9214519</v>
      </c>
      <c r="B5353">
        <v>5</v>
      </c>
      <c r="C5353">
        <v>0</v>
      </c>
      <c r="D5353">
        <v>0</v>
      </c>
      <c r="E5353">
        <v>2</v>
      </c>
      <c r="F5353">
        <v>2</v>
      </c>
      <c r="G5353">
        <v>5</v>
      </c>
      <c r="H5353">
        <v>0</v>
      </c>
    </row>
    <row r="5354" spans="1:8" x14ac:dyDescent="0.25">
      <c r="A5354">
        <v>9243929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  <c r="H5354">
        <v>0</v>
      </c>
    </row>
    <row r="5355" spans="1:8" x14ac:dyDescent="0.25">
      <c r="A5355">
        <v>9246362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  <c r="H5355">
        <v>0</v>
      </c>
    </row>
    <row r="5356" spans="1:8" x14ac:dyDescent="0.25">
      <c r="A5356">
        <v>9263534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  <c r="H5356">
        <v>0</v>
      </c>
    </row>
    <row r="5357" spans="1:8" x14ac:dyDescent="0.25">
      <c r="A5357">
        <v>9271871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  <c r="H5357">
        <v>0</v>
      </c>
    </row>
    <row r="5358" spans="1:8" x14ac:dyDescent="0.25">
      <c r="A5358">
        <v>9274218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  <c r="H5358">
        <v>0</v>
      </c>
    </row>
    <row r="5359" spans="1:8" x14ac:dyDescent="0.25">
      <c r="A5359">
        <v>9274220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  <c r="H5359">
        <v>0</v>
      </c>
    </row>
    <row r="5360" spans="1:8" x14ac:dyDescent="0.25">
      <c r="A5360">
        <v>9274221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  <c r="H5360">
        <v>0</v>
      </c>
    </row>
    <row r="5361" spans="1:8" x14ac:dyDescent="0.25">
      <c r="A5361">
        <v>9274223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  <c r="H5361">
        <v>0</v>
      </c>
    </row>
    <row r="5362" spans="1:8" x14ac:dyDescent="0.25">
      <c r="A5362">
        <v>9274224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  <c r="H5362">
        <v>0</v>
      </c>
    </row>
    <row r="5363" spans="1:8" x14ac:dyDescent="0.25">
      <c r="A5363">
        <v>9274228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  <c r="H5363">
        <v>0</v>
      </c>
    </row>
    <row r="5364" spans="1:8" x14ac:dyDescent="0.25">
      <c r="A5364">
        <v>9274229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  <c r="H5364">
        <v>0</v>
      </c>
    </row>
    <row r="5365" spans="1:8" x14ac:dyDescent="0.25">
      <c r="A5365">
        <v>9274231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  <c r="H5365">
        <v>0</v>
      </c>
    </row>
    <row r="5366" spans="1:8" x14ac:dyDescent="0.25">
      <c r="A5366">
        <v>9274234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  <c r="H5366">
        <v>0</v>
      </c>
    </row>
    <row r="5367" spans="1:8" x14ac:dyDescent="0.25">
      <c r="A5367">
        <v>9274237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  <c r="H5367">
        <v>0</v>
      </c>
    </row>
    <row r="5368" spans="1:8" x14ac:dyDescent="0.25">
      <c r="A5368">
        <v>9274238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  <c r="H5368">
        <v>0</v>
      </c>
    </row>
    <row r="5369" spans="1:8" x14ac:dyDescent="0.25">
      <c r="A5369">
        <v>9274239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  <c r="H5369">
        <v>0</v>
      </c>
    </row>
    <row r="5370" spans="1:8" x14ac:dyDescent="0.25">
      <c r="A5370">
        <v>9274242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  <c r="H5370">
        <v>0</v>
      </c>
    </row>
    <row r="5371" spans="1:8" x14ac:dyDescent="0.25">
      <c r="A5371">
        <v>9274243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  <c r="H5371">
        <v>0</v>
      </c>
    </row>
    <row r="5372" spans="1:8" x14ac:dyDescent="0.25">
      <c r="A5372">
        <v>9274249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  <c r="H5372">
        <v>0</v>
      </c>
    </row>
    <row r="5373" spans="1:8" x14ac:dyDescent="0.25">
      <c r="A5373">
        <v>9274251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  <c r="H5373">
        <v>0</v>
      </c>
    </row>
    <row r="5374" spans="1:8" x14ac:dyDescent="0.25">
      <c r="A5374">
        <v>9274254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  <c r="H5374">
        <v>0</v>
      </c>
    </row>
    <row r="5375" spans="1:8" x14ac:dyDescent="0.25">
      <c r="A5375">
        <v>9274256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  <c r="H5375">
        <v>0</v>
      </c>
    </row>
    <row r="5376" spans="1:8" x14ac:dyDescent="0.25">
      <c r="A5376">
        <v>9274260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  <c r="H5376">
        <v>0</v>
      </c>
    </row>
    <row r="5377" spans="1:8" x14ac:dyDescent="0.25">
      <c r="A5377">
        <v>9274261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  <c r="H5377">
        <v>0</v>
      </c>
    </row>
    <row r="5378" spans="1:8" x14ac:dyDescent="0.25">
      <c r="A5378">
        <v>9274262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  <c r="H5378">
        <v>0</v>
      </c>
    </row>
    <row r="5379" spans="1:8" x14ac:dyDescent="0.25">
      <c r="A5379">
        <v>9274266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  <c r="H5379">
        <v>0</v>
      </c>
    </row>
    <row r="5380" spans="1:8" x14ac:dyDescent="0.25">
      <c r="A5380">
        <v>9275364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  <c r="H5380">
        <v>0</v>
      </c>
    </row>
    <row r="5381" spans="1:8" x14ac:dyDescent="0.25">
      <c r="A5381">
        <v>9275395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  <c r="H5381">
        <v>0</v>
      </c>
    </row>
    <row r="5382" spans="1:8" x14ac:dyDescent="0.25">
      <c r="A5382">
        <v>9282870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  <c r="H5382">
        <v>0</v>
      </c>
    </row>
    <row r="5383" spans="1:8" x14ac:dyDescent="0.25">
      <c r="A5383">
        <v>9282926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  <c r="H5383">
        <v>0</v>
      </c>
    </row>
    <row r="5384" spans="1:8" x14ac:dyDescent="0.25">
      <c r="A5384">
        <v>9284484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  <c r="H5384">
        <v>0</v>
      </c>
    </row>
    <row r="5385" spans="1:8" x14ac:dyDescent="0.25">
      <c r="A5385">
        <v>9284532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  <c r="H5385">
        <v>0</v>
      </c>
    </row>
    <row r="5386" spans="1:8" x14ac:dyDescent="0.25">
      <c r="A5386">
        <v>9302473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  <c r="H5386">
        <v>0</v>
      </c>
    </row>
    <row r="5387" spans="1:8" x14ac:dyDescent="0.25">
      <c r="A5387">
        <v>9310340</v>
      </c>
      <c r="B5387">
        <v>50</v>
      </c>
      <c r="C5387">
        <v>0</v>
      </c>
      <c r="D5387">
        <v>0</v>
      </c>
      <c r="E5387">
        <v>3</v>
      </c>
      <c r="F5387">
        <v>10</v>
      </c>
      <c r="G5387">
        <v>25</v>
      </c>
      <c r="H5387">
        <v>0</v>
      </c>
    </row>
    <row r="5388" spans="1:8" x14ac:dyDescent="0.25">
      <c r="A5388">
        <v>9314532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  <c r="H5388">
        <v>0</v>
      </c>
    </row>
    <row r="5389" spans="1:8" x14ac:dyDescent="0.25">
      <c r="A5389">
        <v>9325567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  <c r="H5389">
        <v>0</v>
      </c>
    </row>
    <row r="5390" spans="1:8" x14ac:dyDescent="0.25">
      <c r="A5390">
        <v>9325568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  <c r="H5390">
        <v>0</v>
      </c>
    </row>
    <row r="5391" spans="1:8" x14ac:dyDescent="0.25">
      <c r="A5391">
        <v>9325569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  <c r="H5391">
        <v>0</v>
      </c>
    </row>
    <row r="5392" spans="1:8" x14ac:dyDescent="0.25">
      <c r="A5392">
        <v>9325573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  <c r="H5392">
        <v>0</v>
      </c>
    </row>
    <row r="5393" spans="1:8" x14ac:dyDescent="0.25">
      <c r="A5393">
        <v>9325576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  <c r="H5393">
        <v>0</v>
      </c>
    </row>
    <row r="5394" spans="1:8" x14ac:dyDescent="0.25">
      <c r="A5394">
        <v>9325578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  <c r="H5394">
        <v>0</v>
      </c>
    </row>
    <row r="5395" spans="1:8" x14ac:dyDescent="0.25">
      <c r="A5395">
        <v>9325593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  <c r="H5395">
        <v>0</v>
      </c>
    </row>
    <row r="5396" spans="1:8" x14ac:dyDescent="0.25">
      <c r="A5396">
        <v>9325594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  <c r="H5396">
        <v>0</v>
      </c>
    </row>
    <row r="5397" spans="1:8" x14ac:dyDescent="0.25">
      <c r="A5397">
        <v>9325596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  <c r="H5397">
        <v>0</v>
      </c>
    </row>
    <row r="5398" spans="1:8" x14ac:dyDescent="0.25">
      <c r="A5398">
        <v>9325597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  <c r="H5398">
        <v>0</v>
      </c>
    </row>
    <row r="5399" spans="1:8" x14ac:dyDescent="0.25">
      <c r="A5399">
        <v>9325599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  <c r="H5399">
        <v>0</v>
      </c>
    </row>
    <row r="5400" spans="1:8" x14ac:dyDescent="0.25">
      <c r="A5400">
        <v>9325603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  <c r="H5400">
        <v>0</v>
      </c>
    </row>
    <row r="5401" spans="1:8" x14ac:dyDescent="0.25">
      <c r="A5401">
        <v>9325606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  <c r="H5401">
        <v>0</v>
      </c>
    </row>
    <row r="5402" spans="1:8" x14ac:dyDescent="0.25">
      <c r="A5402">
        <v>9325607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  <c r="H5402">
        <v>0</v>
      </c>
    </row>
    <row r="5403" spans="1:8" x14ac:dyDescent="0.25">
      <c r="A5403">
        <v>9325614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  <c r="H5403">
        <v>0</v>
      </c>
    </row>
    <row r="5404" spans="1:8" x14ac:dyDescent="0.25">
      <c r="A5404">
        <v>9325617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  <c r="H5404">
        <v>0</v>
      </c>
    </row>
    <row r="5405" spans="1:8" x14ac:dyDescent="0.25">
      <c r="A5405">
        <v>9325618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  <c r="H5405">
        <v>0</v>
      </c>
    </row>
    <row r="5406" spans="1:8" x14ac:dyDescent="0.25">
      <c r="A5406">
        <v>9325621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  <c r="H5406">
        <v>0</v>
      </c>
    </row>
    <row r="5407" spans="1:8" x14ac:dyDescent="0.25">
      <c r="A5407">
        <v>9325627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  <c r="H5407">
        <v>0</v>
      </c>
    </row>
    <row r="5408" spans="1:8" x14ac:dyDescent="0.25">
      <c r="A5408">
        <v>9325629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  <c r="H5408">
        <v>0</v>
      </c>
    </row>
    <row r="5409" spans="1:8" x14ac:dyDescent="0.25">
      <c r="A5409">
        <v>9325632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  <c r="H5409">
        <v>0</v>
      </c>
    </row>
    <row r="5410" spans="1:8" x14ac:dyDescent="0.25">
      <c r="A5410">
        <v>9325634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  <c r="H5410">
        <v>0</v>
      </c>
    </row>
    <row r="5411" spans="1:8" x14ac:dyDescent="0.25">
      <c r="A5411">
        <v>9325636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  <c r="H5411">
        <v>0</v>
      </c>
    </row>
    <row r="5412" spans="1:8" x14ac:dyDescent="0.25">
      <c r="A5412">
        <v>9325638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  <c r="H5412">
        <v>0</v>
      </c>
    </row>
    <row r="5413" spans="1:8" x14ac:dyDescent="0.25">
      <c r="A5413">
        <v>9325646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  <c r="H5413">
        <v>0</v>
      </c>
    </row>
    <row r="5414" spans="1:8" x14ac:dyDescent="0.25">
      <c r="A5414">
        <v>9325648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  <c r="H5414">
        <v>0</v>
      </c>
    </row>
    <row r="5415" spans="1:8" x14ac:dyDescent="0.25">
      <c r="A5415">
        <v>9325650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  <c r="H5415">
        <v>0</v>
      </c>
    </row>
    <row r="5416" spans="1:8" x14ac:dyDescent="0.25">
      <c r="A5416">
        <v>9325652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  <c r="H5416">
        <v>0</v>
      </c>
    </row>
    <row r="5417" spans="1:8" x14ac:dyDescent="0.25">
      <c r="A5417">
        <v>9325653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  <c r="H5417">
        <v>0</v>
      </c>
    </row>
    <row r="5418" spans="1:8" x14ac:dyDescent="0.25">
      <c r="A5418">
        <v>9325662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  <c r="H5418">
        <v>0</v>
      </c>
    </row>
    <row r="5419" spans="1:8" x14ac:dyDescent="0.25">
      <c r="A5419">
        <v>9325665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  <c r="H5419">
        <v>0</v>
      </c>
    </row>
    <row r="5420" spans="1:8" x14ac:dyDescent="0.25">
      <c r="A5420">
        <v>9325666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  <c r="H5420">
        <v>0</v>
      </c>
    </row>
    <row r="5421" spans="1:8" x14ac:dyDescent="0.25">
      <c r="A5421">
        <v>9325668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  <c r="H5421">
        <v>0</v>
      </c>
    </row>
    <row r="5422" spans="1:8" x14ac:dyDescent="0.25">
      <c r="A5422">
        <v>9325672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  <c r="H5422">
        <v>0</v>
      </c>
    </row>
    <row r="5423" spans="1:8" x14ac:dyDescent="0.25">
      <c r="A5423">
        <v>9325673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  <c r="H5423">
        <v>0</v>
      </c>
    </row>
    <row r="5424" spans="1:8" x14ac:dyDescent="0.25">
      <c r="A5424">
        <v>9325676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  <c r="H5424">
        <v>0</v>
      </c>
    </row>
    <row r="5425" spans="1:8" x14ac:dyDescent="0.25">
      <c r="A5425">
        <v>9325678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  <c r="H5425">
        <v>0</v>
      </c>
    </row>
    <row r="5426" spans="1:8" x14ac:dyDescent="0.25">
      <c r="A5426">
        <v>9325679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  <c r="H5426">
        <v>0</v>
      </c>
    </row>
    <row r="5427" spans="1:8" x14ac:dyDescent="0.25">
      <c r="A5427">
        <v>9325681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  <c r="H5427">
        <v>0</v>
      </c>
    </row>
    <row r="5428" spans="1:8" x14ac:dyDescent="0.25">
      <c r="A5428">
        <v>9325682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  <c r="H5428">
        <v>0</v>
      </c>
    </row>
    <row r="5429" spans="1:8" x14ac:dyDescent="0.25">
      <c r="A5429">
        <v>9325684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  <c r="H5429">
        <v>0</v>
      </c>
    </row>
    <row r="5430" spans="1:8" x14ac:dyDescent="0.25">
      <c r="A5430">
        <v>9325685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  <c r="H5430">
        <v>0</v>
      </c>
    </row>
    <row r="5431" spans="1:8" x14ac:dyDescent="0.25">
      <c r="A5431">
        <v>9325693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  <c r="H5431">
        <v>0</v>
      </c>
    </row>
    <row r="5432" spans="1:8" x14ac:dyDescent="0.25">
      <c r="A5432">
        <v>9325694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  <c r="H5432">
        <v>0</v>
      </c>
    </row>
    <row r="5433" spans="1:8" x14ac:dyDescent="0.25">
      <c r="A5433">
        <v>9336672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  <c r="H5433">
        <v>0</v>
      </c>
    </row>
    <row r="5434" spans="1:8" x14ac:dyDescent="0.25">
      <c r="A5434">
        <v>9340499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  <c r="H5434">
        <v>0</v>
      </c>
    </row>
    <row r="5435" spans="1:8" x14ac:dyDescent="0.25">
      <c r="A5435">
        <v>9351402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  <c r="H5435">
        <v>0</v>
      </c>
    </row>
    <row r="5436" spans="1:8" x14ac:dyDescent="0.25">
      <c r="A5436">
        <v>9355801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  <c r="H5436">
        <v>0</v>
      </c>
    </row>
    <row r="5437" spans="1:8" x14ac:dyDescent="0.25">
      <c r="A5437">
        <v>9369031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  <c r="H5437">
        <v>0</v>
      </c>
    </row>
    <row r="5438" spans="1:8" x14ac:dyDescent="0.25">
      <c r="A5438">
        <v>9374981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  <c r="H5438">
        <v>0</v>
      </c>
    </row>
    <row r="5439" spans="1:8" x14ac:dyDescent="0.25">
      <c r="A5439">
        <v>9375322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  <c r="H5439">
        <v>0</v>
      </c>
    </row>
    <row r="5440" spans="1:8" x14ac:dyDescent="0.25">
      <c r="A5440">
        <v>9375412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  <c r="H5440">
        <v>0</v>
      </c>
    </row>
    <row r="5441" spans="1:8" x14ac:dyDescent="0.25">
      <c r="A5441">
        <v>9386872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  <c r="H5441">
        <v>0</v>
      </c>
    </row>
    <row r="5442" spans="1:8" x14ac:dyDescent="0.25">
      <c r="A5442">
        <v>9393098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  <c r="H5442">
        <v>0</v>
      </c>
    </row>
    <row r="5443" spans="1:8" x14ac:dyDescent="0.25">
      <c r="A5443">
        <v>9393273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  <c r="H5443">
        <v>0</v>
      </c>
    </row>
    <row r="5444" spans="1:8" x14ac:dyDescent="0.25">
      <c r="A5444">
        <v>9393347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  <c r="H5444">
        <v>0</v>
      </c>
    </row>
    <row r="5445" spans="1:8" x14ac:dyDescent="0.25">
      <c r="A5445">
        <v>9393513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  <c r="H5445">
        <v>0</v>
      </c>
    </row>
    <row r="5446" spans="1:8" x14ac:dyDescent="0.25">
      <c r="A5446">
        <v>9395286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  <c r="H5446">
        <v>0</v>
      </c>
    </row>
    <row r="5447" spans="1:8" x14ac:dyDescent="0.25">
      <c r="A5447">
        <v>9411799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  <c r="H5447">
        <v>0</v>
      </c>
    </row>
    <row r="5448" spans="1:8" x14ac:dyDescent="0.25">
      <c r="A5448">
        <v>9415789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  <c r="H5448">
        <v>0</v>
      </c>
    </row>
    <row r="5449" spans="1:8" x14ac:dyDescent="0.25">
      <c r="A5449">
        <v>9424027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  <c r="H5449">
        <v>0</v>
      </c>
    </row>
    <row r="5450" spans="1:8" x14ac:dyDescent="0.25">
      <c r="A5450">
        <v>9426159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  <c r="H5450">
        <v>0</v>
      </c>
    </row>
    <row r="5451" spans="1:8" x14ac:dyDescent="0.25">
      <c r="A5451">
        <v>9427169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  <c r="H5451">
        <v>0</v>
      </c>
    </row>
    <row r="5452" spans="1:8" x14ac:dyDescent="0.25">
      <c r="A5452">
        <v>9427295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  <c r="H5452">
        <v>0</v>
      </c>
    </row>
    <row r="5453" spans="1:8" x14ac:dyDescent="0.25">
      <c r="A5453">
        <v>9437776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  <c r="H5453">
        <v>0</v>
      </c>
    </row>
    <row r="5454" spans="1:8" x14ac:dyDescent="0.25">
      <c r="A5454">
        <v>9442119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  <c r="H5454">
        <v>0</v>
      </c>
    </row>
    <row r="5455" spans="1:8" x14ac:dyDescent="0.25">
      <c r="A5455">
        <v>9452135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  <c r="H5455">
        <v>0</v>
      </c>
    </row>
    <row r="5456" spans="1:8" x14ac:dyDescent="0.25">
      <c r="A5456">
        <v>9454813</v>
      </c>
      <c r="B5456">
        <v>22</v>
      </c>
      <c r="C5456">
        <v>0</v>
      </c>
      <c r="D5456">
        <v>0</v>
      </c>
      <c r="E5456">
        <v>0</v>
      </c>
      <c r="F5456">
        <v>1</v>
      </c>
      <c r="G5456">
        <v>8</v>
      </c>
      <c r="H5456">
        <v>0</v>
      </c>
    </row>
    <row r="5457" spans="1:8" x14ac:dyDescent="0.25">
      <c r="A5457">
        <v>9464127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  <c r="H5457">
        <v>0</v>
      </c>
    </row>
    <row r="5458" spans="1:8" x14ac:dyDescent="0.25">
      <c r="A5458">
        <v>9472177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  <c r="H5458">
        <v>0</v>
      </c>
    </row>
    <row r="5459" spans="1:8" x14ac:dyDescent="0.25">
      <c r="A5459">
        <v>9473574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  <c r="H5459">
        <v>0</v>
      </c>
    </row>
    <row r="5460" spans="1:8" x14ac:dyDescent="0.25">
      <c r="A5460">
        <v>9475645</v>
      </c>
      <c r="B5460">
        <v>282</v>
      </c>
      <c r="C5460">
        <v>42</v>
      </c>
      <c r="D5460">
        <v>29</v>
      </c>
      <c r="E5460">
        <v>107</v>
      </c>
      <c r="F5460">
        <v>466</v>
      </c>
      <c r="G5460">
        <v>944</v>
      </c>
      <c r="H5460">
        <v>29.287199999999999</v>
      </c>
    </row>
    <row r="5461" spans="1:8" x14ac:dyDescent="0.25">
      <c r="A5461">
        <v>9475647</v>
      </c>
      <c r="B5461">
        <v>242</v>
      </c>
      <c r="C5461">
        <v>21</v>
      </c>
      <c r="D5461">
        <v>22</v>
      </c>
      <c r="E5461">
        <v>70</v>
      </c>
      <c r="F5461">
        <v>263</v>
      </c>
      <c r="G5461">
        <v>556</v>
      </c>
      <c r="H5461">
        <v>33.474499999999999</v>
      </c>
    </row>
    <row r="5462" spans="1:8" x14ac:dyDescent="0.25">
      <c r="A5462">
        <v>9494898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  <c r="H5462">
        <v>0</v>
      </c>
    </row>
    <row r="5463" spans="1:8" x14ac:dyDescent="0.25">
      <c r="A5463">
        <v>9497392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  <c r="H5463">
        <v>0</v>
      </c>
    </row>
    <row r="5464" spans="1:8" x14ac:dyDescent="0.25">
      <c r="A5464">
        <v>9499846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  <c r="H5464">
        <v>0</v>
      </c>
    </row>
    <row r="5465" spans="1:8" x14ac:dyDescent="0.25">
      <c r="A5465">
        <v>9509786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  <c r="H5465">
        <v>0</v>
      </c>
    </row>
    <row r="5466" spans="1:8" x14ac:dyDescent="0.25">
      <c r="A5466">
        <v>9510984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  <c r="H5466">
        <v>0</v>
      </c>
    </row>
    <row r="5467" spans="1:8" x14ac:dyDescent="0.25">
      <c r="A5467">
        <v>9516715</v>
      </c>
      <c r="B5467">
        <v>114</v>
      </c>
      <c r="C5467">
        <v>5</v>
      </c>
      <c r="D5467">
        <v>4</v>
      </c>
      <c r="E5467">
        <v>9</v>
      </c>
      <c r="F5467">
        <v>54</v>
      </c>
      <c r="G5467">
        <v>96</v>
      </c>
      <c r="H5467">
        <v>13.99</v>
      </c>
    </row>
    <row r="5468" spans="1:8" x14ac:dyDescent="0.25">
      <c r="A5468">
        <v>9516717</v>
      </c>
      <c r="B5468">
        <v>145</v>
      </c>
      <c r="C5468">
        <v>10</v>
      </c>
      <c r="D5468">
        <v>8</v>
      </c>
      <c r="E5468">
        <v>26</v>
      </c>
      <c r="F5468">
        <v>115</v>
      </c>
      <c r="G5468">
        <v>148</v>
      </c>
      <c r="H5468">
        <v>9.99</v>
      </c>
    </row>
    <row r="5469" spans="1:8" x14ac:dyDescent="0.25">
      <c r="A5469">
        <v>9526375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  <c r="H5469">
        <v>0</v>
      </c>
    </row>
    <row r="5470" spans="1:8" x14ac:dyDescent="0.25">
      <c r="A5470">
        <v>9530258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  <c r="H5470">
        <v>0</v>
      </c>
    </row>
    <row r="5471" spans="1:8" x14ac:dyDescent="0.25">
      <c r="A5471">
        <v>9542078</v>
      </c>
      <c r="B5471">
        <v>504</v>
      </c>
      <c r="C5471">
        <v>36</v>
      </c>
      <c r="D5471">
        <v>7</v>
      </c>
      <c r="E5471">
        <v>28</v>
      </c>
      <c r="F5471">
        <v>120</v>
      </c>
      <c r="G5471">
        <v>232</v>
      </c>
      <c r="H5471">
        <v>46.067100000000003</v>
      </c>
    </row>
    <row r="5472" spans="1:8" x14ac:dyDescent="0.25">
      <c r="A5472">
        <v>9542090</v>
      </c>
      <c r="B5472">
        <v>415</v>
      </c>
      <c r="C5472">
        <v>56</v>
      </c>
      <c r="D5472">
        <v>14</v>
      </c>
      <c r="E5472">
        <v>76</v>
      </c>
      <c r="F5472">
        <v>281</v>
      </c>
      <c r="G5472">
        <v>591</v>
      </c>
      <c r="H5472">
        <v>17.822900000000001</v>
      </c>
    </row>
    <row r="5473" spans="1:8" x14ac:dyDescent="0.25">
      <c r="A5473">
        <v>959528</v>
      </c>
      <c r="B5473">
        <v>25</v>
      </c>
      <c r="C5473">
        <v>0</v>
      </c>
      <c r="D5473">
        <v>0</v>
      </c>
      <c r="E5473">
        <v>0</v>
      </c>
      <c r="F5473">
        <v>1</v>
      </c>
      <c r="G5473">
        <v>2</v>
      </c>
      <c r="H5473">
        <v>0</v>
      </c>
    </row>
    <row r="5474" spans="1:8" x14ac:dyDescent="0.25">
      <c r="A5474">
        <v>9670673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  <c r="H5474">
        <v>0</v>
      </c>
    </row>
    <row r="5475" spans="1:8" x14ac:dyDescent="0.25">
      <c r="A5475">
        <v>9670729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  <c r="H5475">
        <v>0</v>
      </c>
    </row>
    <row r="5476" spans="1:8" x14ac:dyDescent="0.25">
      <c r="A5476">
        <v>9671020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  <c r="H5476">
        <v>0</v>
      </c>
    </row>
    <row r="5477" spans="1:8" x14ac:dyDescent="0.25">
      <c r="A5477">
        <v>9681301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  <c r="H5477">
        <v>0</v>
      </c>
    </row>
    <row r="5478" spans="1:8" x14ac:dyDescent="0.25">
      <c r="A5478">
        <v>9683054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  <c r="H5478">
        <v>0</v>
      </c>
    </row>
    <row r="5479" spans="1:8" x14ac:dyDescent="0.25">
      <c r="A5479">
        <v>9683787</v>
      </c>
      <c r="B5479">
        <v>1004</v>
      </c>
      <c r="C5479">
        <v>324</v>
      </c>
      <c r="D5479">
        <v>59</v>
      </c>
      <c r="E5479">
        <v>219</v>
      </c>
      <c r="F5479">
        <v>749</v>
      </c>
      <c r="G5479">
        <v>1425</v>
      </c>
      <c r="H5479">
        <v>9.4563000000000006</v>
      </c>
    </row>
    <row r="5480" spans="1:8" x14ac:dyDescent="0.25">
      <c r="A5480">
        <v>9684589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  <c r="H5480">
        <v>0</v>
      </c>
    </row>
    <row r="5481" spans="1:8" x14ac:dyDescent="0.25">
      <c r="A5481">
        <v>9684601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  <c r="H5481">
        <v>0</v>
      </c>
    </row>
    <row r="5482" spans="1:8" x14ac:dyDescent="0.25">
      <c r="A5482">
        <v>9686559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  <c r="H5482">
        <v>0</v>
      </c>
    </row>
    <row r="5483" spans="1:8" x14ac:dyDescent="0.25">
      <c r="A5483">
        <v>9687466</v>
      </c>
      <c r="B5483">
        <v>446</v>
      </c>
      <c r="C5483">
        <v>16</v>
      </c>
      <c r="D5483">
        <v>7</v>
      </c>
      <c r="E5483">
        <v>43</v>
      </c>
      <c r="F5483">
        <v>135</v>
      </c>
      <c r="G5483">
        <v>320</v>
      </c>
      <c r="H5483">
        <v>17.989999999999998</v>
      </c>
    </row>
    <row r="5484" spans="1:8" x14ac:dyDescent="0.25">
      <c r="A5484">
        <v>9687866</v>
      </c>
      <c r="B5484">
        <v>586</v>
      </c>
      <c r="C5484">
        <v>70</v>
      </c>
      <c r="D5484">
        <v>71</v>
      </c>
      <c r="E5484">
        <v>312</v>
      </c>
      <c r="F5484">
        <v>1091</v>
      </c>
      <c r="G5484">
        <v>3239</v>
      </c>
      <c r="H5484">
        <v>21.530799999999999</v>
      </c>
    </row>
    <row r="5485" spans="1:8" x14ac:dyDescent="0.25">
      <c r="A5485">
        <v>9702769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  <c r="H5485">
        <v>0</v>
      </c>
    </row>
    <row r="5486" spans="1:8" x14ac:dyDescent="0.25">
      <c r="A5486">
        <v>9714749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  <c r="H5486">
        <v>0</v>
      </c>
    </row>
    <row r="5487" spans="1:8" x14ac:dyDescent="0.25">
      <c r="A5487">
        <v>9716698</v>
      </c>
      <c r="B5487">
        <v>3</v>
      </c>
      <c r="C5487">
        <v>0</v>
      </c>
      <c r="D5487">
        <v>0</v>
      </c>
      <c r="E5487">
        <v>0</v>
      </c>
      <c r="F5487">
        <v>2</v>
      </c>
      <c r="G5487">
        <v>7</v>
      </c>
      <c r="H5487">
        <v>0</v>
      </c>
    </row>
    <row r="5488" spans="1:8" x14ac:dyDescent="0.25">
      <c r="A5488">
        <v>9723627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  <c r="H5488">
        <v>0</v>
      </c>
    </row>
    <row r="5489" spans="1:8" x14ac:dyDescent="0.25">
      <c r="A5489">
        <v>9724855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  <c r="H5489">
        <v>0</v>
      </c>
    </row>
    <row r="5490" spans="1:8" x14ac:dyDescent="0.25">
      <c r="A5490">
        <v>9726642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  <c r="H5490">
        <v>0</v>
      </c>
    </row>
    <row r="5491" spans="1:8" x14ac:dyDescent="0.25">
      <c r="A5491">
        <v>9734909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  <c r="H5491">
        <v>0</v>
      </c>
    </row>
    <row r="5492" spans="1:8" x14ac:dyDescent="0.25">
      <c r="A5492">
        <v>9737970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  <c r="H5492">
        <v>0</v>
      </c>
    </row>
    <row r="5493" spans="1:8" x14ac:dyDescent="0.25">
      <c r="A5493">
        <v>9758850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  <c r="H5493">
        <v>0</v>
      </c>
    </row>
    <row r="5494" spans="1:8" x14ac:dyDescent="0.25">
      <c r="A5494">
        <v>9760304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  <c r="H5494">
        <v>0</v>
      </c>
    </row>
    <row r="5495" spans="1:8" x14ac:dyDescent="0.25">
      <c r="A5495">
        <v>9762305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  <c r="H5495">
        <v>0</v>
      </c>
    </row>
    <row r="5496" spans="1:8" x14ac:dyDescent="0.25">
      <c r="A5496">
        <v>9768882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  <c r="H5496">
        <v>0</v>
      </c>
    </row>
    <row r="5497" spans="1:8" x14ac:dyDescent="0.25">
      <c r="A5497">
        <v>9784573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  <c r="H5497">
        <v>0</v>
      </c>
    </row>
    <row r="5498" spans="1:8" x14ac:dyDescent="0.25">
      <c r="A5498">
        <v>9788547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  <c r="H5498">
        <v>0</v>
      </c>
    </row>
    <row r="5499" spans="1:8" x14ac:dyDescent="0.25">
      <c r="A5499">
        <v>9788575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  <c r="H5499">
        <v>0</v>
      </c>
    </row>
    <row r="5500" spans="1:8" x14ac:dyDescent="0.25">
      <c r="A5500">
        <v>9806009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  <c r="H5500">
        <v>0</v>
      </c>
    </row>
    <row r="5501" spans="1:8" x14ac:dyDescent="0.25">
      <c r="A5501">
        <v>9806818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  <c r="H5501">
        <v>0</v>
      </c>
    </row>
    <row r="5502" spans="1:8" x14ac:dyDescent="0.25">
      <c r="A5502">
        <v>9822974</v>
      </c>
      <c r="B5502">
        <v>-1</v>
      </c>
      <c r="C5502">
        <v>0</v>
      </c>
      <c r="D5502">
        <v>0</v>
      </c>
      <c r="E5502">
        <v>0</v>
      </c>
      <c r="F5502">
        <v>1</v>
      </c>
      <c r="G5502">
        <v>2</v>
      </c>
      <c r="H5502">
        <v>0</v>
      </c>
    </row>
    <row r="5503" spans="1:8" x14ac:dyDescent="0.25">
      <c r="A5503">
        <v>9828476</v>
      </c>
      <c r="B5503">
        <v>45</v>
      </c>
      <c r="C5503">
        <v>6</v>
      </c>
      <c r="D5503">
        <v>0</v>
      </c>
      <c r="E5503">
        <v>4</v>
      </c>
      <c r="F5503">
        <v>8</v>
      </c>
      <c r="G5503">
        <v>15</v>
      </c>
      <c r="H5503">
        <v>0</v>
      </c>
    </row>
    <row r="5504" spans="1:8" x14ac:dyDescent="0.25">
      <c r="A5504">
        <v>9846605</v>
      </c>
      <c r="B5504">
        <v>711</v>
      </c>
      <c r="C5504">
        <v>30</v>
      </c>
      <c r="D5504">
        <v>33</v>
      </c>
      <c r="E5504">
        <v>130</v>
      </c>
      <c r="F5504">
        <v>461</v>
      </c>
      <c r="G5504">
        <v>948</v>
      </c>
      <c r="H5504">
        <v>18.5779</v>
      </c>
    </row>
    <row r="5505" spans="1:8" x14ac:dyDescent="0.25">
      <c r="A5505">
        <v>9848861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  <c r="H5505">
        <v>0</v>
      </c>
    </row>
    <row r="5506" spans="1:8" x14ac:dyDescent="0.25">
      <c r="A5506">
        <v>9860043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1</v>
      </c>
      <c r="H5506">
        <v>0</v>
      </c>
    </row>
    <row r="5507" spans="1:8" x14ac:dyDescent="0.25">
      <c r="A5507">
        <v>9864928</v>
      </c>
      <c r="B5507">
        <v>1</v>
      </c>
      <c r="C5507">
        <v>0</v>
      </c>
      <c r="D5507">
        <v>0</v>
      </c>
      <c r="E5507">
        <v>2</v>
      </c>
      <c r="F5507">
        <v>7</v>
      </c>
      <c r="G5507">
        <v>16</v>
      </c>
      <c r="H5507">
        <v>0</v>
      </c>
    </row>
    <row r="5508" spans="1:8" x14ac:dyDescent="0.25">
      <c r="A5508">
        <v>9864929</v>
      </c>
      <c r="B5508">
        <v>4</v>
      </c>
      <c r="C5508">
        <v>0</v>
      </c>
      <c r="D5508">
        <v>0</v>
      </c>
      <c r="E5508">
        <v>0</v>
      </c>
      <c r="F5508">
        <v>9</v>
      </c>
      <c r="G5508">
        <v>17</v>
      </c>
      <c r="H5508">
        <v>0</v>
      </c>
    </row>
    <row r="5509" spans="1:8" x14ac:dyDescent="0.25">
      <c r="A5509">
        <v>9879848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  <c r="H5509">
        <v>0</v>
      </c>
    </row>
    <row r="5510" spans="1:8" x14ac:dyDescent="0.25">
      <c r="A5510">
        <v>9882005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  <c r="H5510">
        <v>0</v>
      </c>
    </row>
    <row r="5511" spans="1:8" x14ac:dyDescent="0.25">
      <c r="A5511">
        <v>9910457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  <c r="H5511">
        <v>0</v>
      </c>
    </row>
    <row r="5512" spans="1:8" x14ac:dyDescent="0.25">
      <c r="A5512">
        <v>9923850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  <c r="H5512">
        <v>0</v>
      </c>
    </row>
    <row r="5513" spans="1:8" x14ac:dyDescent="0.25">
      <c r="A5513">
        <v>9923876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  <c r="H5513">
        <v>0</v>
      </c>
    </row>
    <row r="5514" spans="1:8" x14ac:dyDescent="0.25">
      <c r="A5514">
        <v>9923976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  <c r="H5514">
        <v>0</v>
      </c>
    </row>
    <row r="5515" spans="1:8" x14ac:dyDescent="0.25">
      <c r="A5515">
        <v>9924154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  <c r="H5515">
        <v>0</v>
      </c>
    </row>
    <row r="5516" spans="1:8" x14ac:dyDescent="0.25">
      <c r="A5516">
        <v>9924165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  <c r="H5516">
        <v>0</v>
      </c>
    </row>
    <row r="5517" spans="1:8" x14ac:dyDescent="0.25">
      <c r="A5517">
        <v>9924199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  <c r="H5517">
        <v>0</v>
      </c>
    </row>
    <row r="5518" spans="1:8" x14ac:dyDescent="0.25">
      <c r="A5518">
        <v>9929728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  <c r="H5518">
        <v>0</v>
      </c>
    </row>
    <row r="5519" spans="1:8" x14ac:dyDescent="0.25">
      <c r="A5519">
        <v>9939428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  <c r="H5519">
        <v>0</v>
      </c>
    </row>
    <row r="5520" spans="1:8" x14ac:dyDescent="0.25">
      <c r="A5520">
        <v>9944346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  <c r="H5520">
        <v>0</v>
      </c>
    </row>
    <row r="5521" spans="1:8" x14ac:dyDescent="0.25">
      <c r="A5521">
        <v>9963403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  <c r="H5521">
        <v>0</v>
      </c>
    </row>
    <row r="5522" spans="1:8" x14ac:dyDescent="0.25">
      <c r="A5522">
        <v>9978631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  <c r="H5522">
        <v>0</v>
      </c>
    </row>
    <row r="5523" spans="1:8" x14ac:dyDescent="0.25">
      <c r="A5523">
        <v>9997116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  <c r="H5523">
        <v>0</v>
      </c>
    </row>
    <row r="5524" spans="1:8" x14ac:dyDescent="0.25">
      <c r="A5524">
        <v>9999953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  <c r="H5524">
        <v>0</v>
      </c>
    </row>
  </sheetData>
  <customSheetViews>
    <customSheetView guid="{FE60293F-D66D-444E-A1CD-0D97CF17EBD5}">
      <selection activeCell="J3" sqref="J3"/>
      <pageMargins left="0.75" right="0.75" top="1" bottom="1" header="0.511811023622047" footer="0.511811023622047"/>
      <pageSetup paperSize="9" orientation="portrait" horizontalDpi="300" verticalDpi="300"/>
    </customSheetView>
    <customSheetView guid="{3301D7ED-6574-40EB-BC76-168E5F04FB0F}" state="hidden">
      <selection sqref="A1:H1"/>
      <pageMargins left="0.75" right="0.75" top="1" bottom="1" header="0.511811023622047" footer="0.511811023622047"/>
      <pageSetup paperSize="9" orientation="portrait" horizontalDpi="300" verticalDpi="300"/>
    </customSheetView>
    <customSheetView guid="{747C58B5-1285-44D2-9D58-49973DC73188}" state="hidden">
      <pageMargins left="0.75" right="0.75" top="1" bottom="1" header="0.511811023622047" footer="0.511811023622047"/>
      <pageSetup paperSize="9" orientation="portrait" horizontalDpi="300" verticalDpi="300"/>
    </customSheetView>
    <customSheetView guid="{BFC23A99-8068-4F7A-A3EF-B0436B22DBB2}" state="hidden">
      <selection sqref="A1:H1"/>
      <pageMargins left="0.75" right="0.75" top="1" bottom="1" header="0.511811023622047" footer="0.511811023622047"/>
      <pageSetup paperSize="9" orientation="portrait" horizontalDpi="300" verticalDpi="300"/>
    </customSheetView>
    <customSheetView guid="{051F7B8E-8887-4F7C-BE84-39381F59BBAB}" state="hidden">
      <selection sqref="A1:H1"/>
      <pageMargins left="0.75" right="0.75" top="1" bottom="1" header="0.511811023622047" footer="0.511811023622047"/>
      <pageSetup paperSize="9" orientation="portrait" horizontalDpi="300" verticalDpi="300"/>
    </customSheetView>
  </customSheetViews>
  <mergeCells count="2">
    <mergeCell ref="A1:H1"/>
    <mergeCell ref="A2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EEFF-4184-4DC6-8A2B-51E50431B89A}">
  <sheetPr codeName="Sheet6"/>
  <dimension ref="A1:C1"/>
  <sheetViews>
    <sheetView workbookViewId="0">
      <selection activeCell="F20" sqref="F20"/>
    </sheetView>
  </sheetViews>
  <sheetFormatPr defaultRowHeight="15" x14ac:dyDescent="0.25"/>
  <cols>
    <col min="2" max="2" width="26.85546875" bestFit="1" customWidth="1"/>
    <col min="3" max="3" width="13.42578125" bestFit="1" customWidth="1"/>
  </cols>
  <sheetData>
    <row r="1" spans="1:3" x14ac:dyDescent="0.25">
      <c r="A1" t="s">
        <v>21</v>
      </c>
      <c r="B1" t="s">
        <v>10</v>
      </c>
      <c r="C1" t="s">
        <v>157</v>
      </c>
    </row>
  </sheetData>
  <customSheetViews>
    <customSheetView guid="{FE60293F-D66D-444E-A1CD-0D97CF17EBD5}">
      <selection activeCell="I48" sqref="I48"/>
      <pageMargins left="0.7" right="0.7" top="0.75" bottom="0.75" header="0.3" footer="0.3"/>
    </customSheetView>
    <customSheetView guid="{3301D7ED-6574-40EB-BC76-168E5F04FB0F}">
      <selection activeCell="C15" sqref="C15"/>
      <pageMargins left="0.7" right="0.7" top="0.75" bottom="0.75" header="0.3" footer="0.3"/>
    </customSheetView>
    <customSheetView guid="{BFC23A99-8068-4F7A-A3EF-B0436B22DBB2}">
      <selection activeCell="C15" sqref="C15"/>
      <pageMargins left="0.7" right="0.7" top="0.75" bottom="0.75" header="0.3" footer="0.3"/>
    </customSheetView>
    <customSheetView guid="{051F7B8E-8887-4F7C-BE84-39381F59BBAB}">
      <selection activeCell="C15" sqref="C15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86352-58B7-4C2E-BC60-BEB8C9013C41}">
  <sheetPr codeName="Sheet9"/>
  <dimension ref="A1:B14"/>
  <sheetViews>
    <sheetView workbookViewId="0">
      <selection activeCell="E7" sqref="E7:F7"/>
    </sheetView>
  </sheetViews>
  <sheetFormatPr defaultRowHeight="15" x14ac:dyDescent="0.25"/>
  <sheetData>
    <row r="1" spans="1:2" x14ac:dyDescent="0.25">
      <c r="A1" s="1" t="s">
        <v>11</v>
      </c>
      <c r="B1" s="1" t="s">
        <v>12</v>
      </c>
    </row>
    <row r="2" spans="1:2" x14ac:dyDescent="0.25">
      <c r="A2" s="12"/>
      <c r="B2" s="12"/>
    </row>
    <row r="3" spans="1:2" x14ac:dyDescent="0.25">
      <c r="A3" s="12"/>
      <c r="B3" s="12"/>
    </row>
    <row r="4" spans="1:2" x14ac:dyDescent="0.25">
      <c r="A4" s="12"/>
      <c r="B4" s="12"/>
    </row>
    <row r="5" spans="1:2" x14ac:dyDescent="0.25">
      <c r="A5" s="12"/>
      <c r="B5" s="12"/>
    </row>
    <row r="6" spans="1:2" x14ac:dyDescent="0.25">
      <c r="A6" s="12"/>
      <c r="B6" s="12"/>
    </row>
    <row r="7" spans="1:2" x14ac:dyDescent="0.25">
      <c r="A7" s="12"/>
      <c r="B7" s="12"/>
    </row>
    <row r="8" spans="1:2" x14ac:dyDescent="0.25">
      <c r="A8" s="12"/>
      <c r="B8" s="12"/>
    </row>
    <row r="9" spans="1:2" x14ac:dyDescent="0.25">
      <c r="A9" s="12"/>
      <c r="B9" s="12"/>
    </row>
    <row r="10" spans="1:2" x14ac:dyDescent="0.25">
      <c r="A10" s="12"/>
      <c r="B10" s="12"/>
    </row>
    <row r="11" spans="1:2" x14ac:dyDescent="0.25">
      <c r="A11" s="12"/>
      <c r="B11" s="12"/>
    </row>
    <row r="12" spans="1:2" x14ac:dyDescent="0.25">
      <c r="A12" s="12"/>
      <c r="B12" s="12"/>
    </row>
    <row r="13" spans="1:2" x14ac:dyDescent="0.25">
      <c r="A13" s="12"/>
      <c r="B13" s="12"/>
    </row>
    <row r="14" spans="1:2" x14ac:dyDescent="0.25">
      <c r="A14" s="12"/>
      <c r="B14" s="12"/>
    </row>
  </sheetData>
  <customSheetViews>
    <customSheetView guid="{FE60293F-D66D-444E-A1CD-0D97CF17EBD5}">
      <selection activeCell="M31" sqref="M31"/>
      <pageMargins left="0.7" right="0.7" top="0.75" bottom="0.75" header="0.3" footer="0.3"/>
    </customSheetView>
    <customSheetView guid="{3301D7ED-6574-40EB-BC76-168E5F04FB0F}">
      <selection activeCell="A19" sqref="A19"/>
      <pageMargins left="0.7" right="0.7" top="0.75" bottom="0.75" header="0.3" footer="0.3"/>
    </customSheetView>
    <customSheetView guid="{BFC23A99-8068-4F7A-A3EF-B0436B22DBB2}">
      <selection activeCell="A19" sqref="A19"/>
      <pageMargins left="0.7" right="0.7" top="0.75" bottom="0.75" header="0.3" footer="0.3"/>
    </customSheetView>
    <customSheetView guid="{051F7B8E-8887-4F7C-BE84-39381F59BBAB}">
      <selection activeCell="E6" sqref="E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SQL</vt:lpstr>
      <vt:lpstr>Instructions</vt:lpstr>
      <vt:lpstr>Master Assortment</vt:lpstr>
      <vt:lpstr>Executive Dashboard</vt:lpstr>
      <vt:lpstr>Buyer View</vt:lpstr>
      <vt:lpstr>Settings</vt:lpstr>
      <vt:lpstr>Ad Week Dates</vt:lpstr>
      <vt:lpstr>WEEKLY_DATA</vt:lpstr>
      <vt:lpstr>Location Lists</vt:lpstr>
      <vt:lpstr>BrandList</vt:lpstr>
      <vt:lpstr>brandlist</vt:lpstr>
      <vt:lpstr>SQL!rngrmsquery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Gray, Ryan</cp:lastModifiedBy>
  <cp:revision>0</cp:revision>
  <dcterms:created xsi:type="dcterms:W3CDTF">2026-03-27T19:20:14Z</dcterms:created>
  <dcterms:modified xsi:type="dcterms:W3CDTF">2026-06-10T15:43:04Z</dcterms:modified>
  <dc:language>en-US</dc:language>
</cp:coreProperties>
</file>