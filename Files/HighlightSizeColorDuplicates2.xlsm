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yr\Desktop\Macros\"/>
    </mc:Choice>
  </mc:AlternateContent>
  <xr:revisionPtr revIDLastSave="0" documentId="13_ncr:1_{F4C71D02-4EA1-4AED-AF30-75BF43E60C24}" xr6:coauthVersionLast="47" xr6:coauthVersionMax="47" xr10:uidLastSave="{00000000-0000-0000-0000-000000000000}"/>
  <bookViews>
    <workbookView visibility="hidden" xWindow="-120" yWindow="-120" windowWidth="29040" windowHeight="15720" activeTab="1" xr2:uid="{C56A686D-C8A3-4E8F-87B7-6780CCB327C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Q12" i="1" l="1"/>
  <c r="AM12" i="1"/>
  <c r="R12" i="1"/>
  <c r="Q12" i="1"/>
  <c r="P12" i="1"/>
  <c r="K12" i="1"/>
  <c r="F12" i="1"/>
  <c r="E12" i="1"/>
  <c r="D12" i="1"/>
  <c r="BQ11" i="1"/>
  <c r="AM11" i="1"/>
  <c r="R11" i="1"/>
  <c r="Q11" i="1"/>
  <c r="P11" i="1"/>
  <c r="K11" i="1"/>
  <c r="F11" i="1"/>
  <c r="E11" i="1"/>
  <c r="D11" i="1"/>
  <c r="BQ10" i="1"/>
  <c r="AM10" i="1"/>
  <c r="R10" i="1"/>
  <c r="Q10" i="1"/>
  <c r="P10" i="1"/>
  <c r="K10" i="1"/>
  <c r="F10" i="1"/>
  <c r="E10" i="1"/>
  <c r="D10" i="1"/>
  <c r="BQ9" i="1"/>
  <c r="AM9" i="1"/>
  <c r="R9" i="1"/>
  <c r="Q9" i="1"/>
  <c r="P9" i="1"/>
  <c r="K9" i="1"/>
  <c r="F9" i="1"/>
  <c r="E9" i="1"/>
  <c r="D9" i="1"/>
  <c r="BQ8" i="1"/>
  <c r="AM8" i="1"/>
  <c r="R8" i="1"/>
  <c r="Q8" i="1"/>
  <c r="P8" i="1"/>
  <c r="K8" i="1"/>
  <c r="F8" i="1"/>
  <c r="E8" i="1"/>
  <c r="D8" i="1"/>
</calcChain>
</file>

<file path=xl/sharedStrings.xml><?xml version="1.0" encoding="utf-8"?>
<sst xmlns="http://schemas.openxmlformats.org/spreadsheetml/2006/main" count="264" uniqueCount="161">
  <si>
    <t>Action</t>
  </si>
  <si>
    <t>Status</t>
  </si>
  <si>
    <t>Item Type</t>
  </si>
  <si>
    <t>Sellable</t>
  </si>
  <si>
    <t>Orderable</t>
  </si>
  <si>
    <t>Inventory</t>
  </si>
  <si>
    <t>Item Family ID</t>
  </si>
  <si>
    <t>Parent Item</t>
  </si>
  <si>
    <t>Transaction Item</t>
  </si>
  <si>
    <t>Standard UOM</t>
  </si>
  <si>
    <t>UOM Conversion Factor</t>
  </si>
  <si>
    <t>Dept</t>
  </si>
  <si>
    <t>Class</t>
  </si>
  <si>
    <t>Subclass</t>
  </si>
  <si>
    <t>Parent
Item Description</t>
  </si>
  <si>
    <t>Transaction
Item Description</t>
  </si>
  <si>
    <t>Web Description</t>
  </si>
  <si>
    <t>Supplier Color</t>
  </si>
  <si>
    <t>Primary Ref Ind</t>
  </si>
  <si>
    <t>Item Number Type</t>
  </si>
  <si>
    <t>GTIN</t>
  </si>
  <si>
    <t>VPN</t>
  </si>
  <si>
    <t>Node Description</t>
  </si>
  <si>
    <t>Product Description</t>
  </si>
  <si>
    <t>Vendor Account</t>
  </si>
  <si>
    <t>NRF Color Code</t>
  </si>
  <si>
    <t>NRF Color Description</t>
  </si>
  <si>
    <t>NRF Size Code</t>
  </si>
  <si>
    <t>NRF Size Description</t>
  </si>
  <si>
    <t>Size Group ID</t>
  </si>
  <si>
    <t>RMS Size</t>
  </si>
  <si>
    <t>Aggregate By Color</t>
  </si>
  <si>
    <t>Initial Retail</t>
  </si>
  <si>
    <t>Selling UOM</t>
  </si>
  <si>
    <t>Multi Units</t>
  </si>
  <si>
    <t>Multi Unit Retail</t>
  </si>
  <si>
    <t>Multi Unit UOM</t>
  </si>
  <si>
    <t>MSRP</t>
  </si>
  <si>
    <t>Markup (%)</t>
  </si>
  <si>
    <t>Brand</t>
  </si>
  <si>
    <t>Season ID</t>
  </si>
  <si>
    <t>Phase ID</t>
  </si>
  <si>
    <t>Ticket Type</t>
  </si>
  <si>
    <t>Comments</t>
  </si>
  <si>
    <t>Merchandise</t>
  </si>
  <si>
    <t>Plan-o-gram Required</t>
  </si>
  <si>
    <t>Package Size</t>
  </si>
  <si>
    <t>Package UOM</t>
  </si>
  <si>
    <t>Retail Label Type</t>
  </si>
  <si>
    <t>Retail Label Value</t>
  </si>
  <si>
    <t>Handling Sensitivity</t>
  </si>
  <si>
    <t>Handling Temp</t>
  </si>
  <si>
    <t>Wastage Type</t>
  </si>
  <si>
    <t>Default Daily Wastage %</t>
  </si>
  <si>
    <t>Wastage Percentage</t>
  </si>
  <si>
    <t>Perishable</t>
  </si>
  <si>
    <t>Supplier Site</t>
  </si>
  <si>
    <t>Supplier Site Name</t>
  </si>
  <si>
    <t>Primary Supplier Ind</t>
  </si>
  <si>
    <t>Drop Ship Ind</t>
  </si>
  <si>
    <t>Consignment Rate</t>
  </si>
  <si>
    <t>Source Country</t>
  </si>
  <si>
    <t>Primary Source Country Ind</t>
  </si>
  <si>
    <t>Manufacture Country</t>
  </si>
  <si>
    <t>Primary Manufacture Country Ind</t>
  </si>
  <si>
    <t>Unit Cost</t>
  </si>
  <si>
    <t>Manufacturer</t>
  </si>
  <si>
    <t>Pickup Lead Time</t>
  </si>
  <si>
    <t>Default UOP</t>
  </si>
  <si>
    <t>Inner Size</t>
  </si>
  <si>
    <t>Case Size</t>
  </si>
  <si>
    <t>Ti</t>
  </si>
  <si>
    <t>Hi</t>
  </si>
  <si>
    <t>Round Level</t>
  </si>
  <si>
    <t>Package Type</t>
  </si>
  <si>
    <t>Depth</t>
  </si>
  <si>
    <t>Width</t>
  </si>
  <si>
    <t>Height</t>
  </si>
  <si>
    <t>Gross Weight</t>
  </si>
  <si>
    <t>Weight UOM</t>
  </si>
  <si>
    <t>Presentation Method</t>
  </si>
  <si>
    <t>1–UDA Value
(Ecomm Color Family)</t>
  </si>
  <si>
    <t>2–UDA Value
(Ecomm Warranty Plan Eligible)</t>
  </si>
  <si>
    <t>3–UDA Value
(Ecomm Gender)</t>
  </si>
  <si>
    <t>4–UDA ID</t>
  </si>
  <si>
    <t>4–UDA Value</t>
  </si>
  <si>
    <t>5–UDA ID</t>
  </si>
  <si>
    <t>5–UDA Value</t>
  </si>
  <si>
    <t>6–UDA ID</t>
  </si>
  <si>
    <t>6–UDA Value</t>
  </si>
  <si>
    <t>7–UDA ID</t>
  </si>
  <si>
    <t>7–UDA Value</t>
  </si>
  <si>
    <t>8–UDA ID</t>
  </si>
  <si>
    <t>8–UDA Value</t>
  </si>
  <si>
    <t>9–UDA ID</t>
  </si>
  <si>
    <t>9–UDA Value</t>
  </si>
  <si>
    <t>10–UDA ID</t>
  </si>
  <si>
    <t>10–UDA Value</t>
  </si>
  <si>
    <t>11–UDA ID</t>
  </si>
  <si>
    <t>11–UDA Value</t>
  </si>
  <si>
    <t>12–UDA ID</t>
  </si>
  <si>
    <t>12–UDA Value</t>
  </si>
  <si>
    <t>13–UDA ID</t>
  </si>
  <si>
    <t>13–UDA Value</t>
  </si>
  <si>
    <t>14–UDA ID</t>
  </si>
  <si>
    <t>14–UDA Value</t>
  </si>
  <si>
    <t>15–UDA ID</t>
  </si>
  <si>
    <t>15–UDA Value</t>
  </si>
  <si>
    <t>1- UDA Text
(Ecomm Family ID)</t>
  </si>
  <si>
    <t>2- UDA ID</t>
  </si>
  <si>
    <t>2- UDA Text</t>
  </si>
  <si>
    <t>1-UDA ID</t>
  </si>
  <si>
    <t>1-UDA Date</t>
  </si>
  <si>
    <t>Base Zone</t>
  </si>
  <si>
    <t>Buyer</t>
  </si>
  <si>
    <t>Create
Parent</t>
  </si>
  <si>
    <t>RPZ Ind</t>
  </si>
  <si>
    <t>Processed
Status</t>
  </si>
  <si>
    <t>Error Description</t>
  </si>
  <si>
    <t>Create Item Family</t>
  </si>
  <si>
    <t>Approved</t>
  </si>
  <si>
    <t>Consignment/Concession</t>
  </si>
  <si>
    <t>UDLabGrown7212683</t>
  </si>
  <si>
    <t>EA</t>
  </si>
  <si>
    <t>D7UD 1/4 Cttw Lab Grown Diamond Engagement Ring</t>
  </si>
  <si>
    <t>Yes</t>
  </si>
  <si>
    <t>UCC12</t>
  </si>
  <si>
    <t>LGD-JOR5781-GW4</t>
  </si>
  <si>
    <t>711</t>
  </si>
  <si>
    <t>14k White Gold</t>
  </si>
  <si>
    <t>072S</t>
  </si>
  <si>
    <t>No</t>
  </si>
  <si>
    <t>USA</t>
  </si>
  <si>
    <t>Case</t>
  </si>
  <si>
    <t>LBS</t>
  </si>
  <si>
    <t>1 - Yes</t>
  </si>
  <si>
    <t>1 - BASIC</t>
  </si>
  <si>
    <t>Hazardous Materials</t>
  </si>
  <si>
    <t>AAC</t>
  </si>
  <si>
    <t>LGD-JOR5781-GY4</t>
  </si>
  <si>
    <t>710</t>
  </si>
  <si>
    <t>14k Yellow Gold</t>
  </si>
  <si>
    <t>1 - S24</t>
  </si>
  <si>
    <t>Propane - Handle with Caution</t>
  </si>
  <si>
    <t>ABW</t>
  </si>
  <si>
    <t>UDLabGrown7212667</t>
  </si>
  <si>
    <t>D7UD 2 1/2 Cttw Lab Grown Diamond Round Engagement Ring</t>
  </si>
  <si>
    <t>LGD-JRZ7876-GY4-8</t>
  </si>
  <si>
    <t>2 - S24 RIMPAC</t>
  </si>
  <si>
    <t>Ammunition - Handle with Caution</t>
  </si>
  <si>
    <t>AEE</t>
  </si>
  <si>
    <t>LGD-JRZ7876GW4-5.5</t>
  </si>
  <si>
    <t>3 - S24 FEB</t>
  </si>
  <si>
    <t xml:space="preserve">Flammable - Handle with Caution </t>
  </si>
  <si>
    <t>AFG</t>
  </si>
  <si>
    <t>UDLabGrown7212664</t>
  </si>
  <si>
    <t>D7UD 2 1/2 Cttw Lab Grown Diamond Engagement Ring</t>
  </si>
  <si>
    <t>LGD-JRZ7880GY3-5.5</t>
  </si>
  <si>
    <t>4 - S24 MAR</t>
  </si>
  <si>
    <t>Explosive - Handle with Caution</t>
  </si>
  <si>
    <t>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</si>
</sst>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u/>
      <sz val="11"/>
      <color rgb="FFFFCC99"/>
      <name val="Arial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C00000"/>
        <bgColor rgb="FFB2B2B2"/>
      </patternFill>
    </fill>
    <fill>
      <patternFill patternType="solid">
        <fgColor rgb="FF336699"/>
        <bgColor rgb="FF336699"/>
      </patternFill>
    </fill>
    <fill>
      <patternFill patternType="solid">
        <fgColor rgb="FFC00000"/>
        <bgColor rgb="FF336699"/>
      </patternFill>
    </fill>
    <fill>
      <patternFill patternType="solid">
        <fgColor theme="0" tint="-0.499984740745262"/>
        <bgColor rgb="FF3366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E07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8D278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49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2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49" fontId="3" fillId="3" borderId="2" xfId="0" quotePrefix="1" applyNumberFormat="1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3" fillId="4" borderId="2" xfId="0" applyFont="1" applyFill="1" applyBorder="1" applyAlignment="1" applyProtection="1">
      <alignment horizontal="center" vertical="center" wrapText="1"/>
      <protection locked="0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5" borderId="2" xfId="0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center" vertical="center" wrapText="1"/>
      <protection locked="0"/>
    </xf>
    <xf numFmtId="0" fontId="4" fillId="4" borderId="6" xfId="1" applyFont="1" applyFill="1" applyBorder="1" applyAlignment="1" applyProtection="1">
      <alignment horizontal="center" vertical="center" wrapText="1"/>
      <protection locked="0"/>
    </xf>
    <xf numFmtId="0" fontId="3" fillId="3" borderId="6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6" xfId="0" applyNumberFormat="1" applyBorder="1" applyAlignment="1" applyProtection="1">
      <alignment wrapText="1"/>
      <protection locked="0"/>
    </xf>
    <xf numFmtId="0" fontId="0" fillId="6" borderId="6" xfId="0" applyFill="1" applyBorder="1" applyProtection="1">
      <protection locked="0"/>
    </xf>
    <xf numFmtId="2" fontId="0" fillId="0" borderId="6" xfId="0" applyNumberFormat="1" applyBorder="1" applyProtection="1">
      <protection locked="0"/>
    </xf>
    <xf numFmtId="0" fontId="0" fillId="7" borderId="6" xfId="0" applyFill="1" applyBorder="1" applyProtection="1">
      <protection locked="0"/>
    </xf>
    <xf numFmtId="15" fontId="0" fillId="0" borderId="7" xfId="0" applyNumberFormat="1" applyBorder="1" applyProtection="1">
      <protection locked="0"/>
    </xf>
    <xf numFmtId="14" fontId="0" fillId="8" borderId="0" xfId="0" applyNumberFormat="1" applyFill="1" applyProtection="1">
      <protection locked="0"/>
    </xf>
    <xf numFmtId="0" fontId="0" fillId="8" borderId="6" xfId="0" applyFill="1" applyBorder="1" applyProtection="1">
      <protection locked="0"/>
    </xf>
    <xf numFmtId="0" fontId="0" fillId="9" borderId="0" xfId="0" applyFill="1" applyProtection="1">
      <protection locked="0"/>
    </xf>
    <xf numFmtId="0" fontId="0" fillId="10" borderId="0" xfId="0" applyFill="1" applyProtection="1">
      <protection locked="0"/>
    </xf>
    <xf numFmtId="49" fontId="0" fillId="6" borderId="6" xfId="0" applyNumberFormat="1" applyFill="1" applyBorder="1" applyProtection="1">
      <protection locked="0"/>
    </xf>
    <xf numFmtId="2" fontId="0" fillId="6" borderId="6" xfId="0" applyNumberFormat="1" applyFill="1" applyBorder="1" applyProtection="1">
      <protection locked="0"/>
    </xf>
    <xf numFmtId="15" fontId="0" fillId="6" borderId="7" xfId="0" applyNumberFormat="1" applyFill="1" applyBorder="1" applyProtection="1">
      <protection locked="0"/>
    </xf>
    <xf numFmtId="14" fontId="0" fillId="8" borderId="6" xfId="0" applyNumberFormat="1" applyFill="1" applyBorder="1" applyProtection="1">
      <protection locked="0"/>
    </xf>
    <xf numFmtId="0" fontId="0" fillId="9" borderId="0" xfId="0" applyFill="1"/>
    <xf numFmtId="14" fontId="0" fillId="11" borderId="6" xfId="0" applyNumberFormat="1" applyFill="1" applyBorder="1" applyProtection="1">
      <protection locked="0"/>
    </xf>
    <xf numFmtId="0" fontId="0" fillId="11" borderId="6" xfId="0" applyFill="1" applyBorder="1" applyProtection="1">
      <protection locked="0"/>
    </xf>
    <xf numFmtId="14" fontId="0" fillId="12" borderId="6" xfId="0" applyNumberFormat="1" applyFill="1" applyBorder="1" applyProtection="1">
      <protection locked="0"/>
    </xf>
    <xf numFmtId="0" fontId="0" fillId="12" borderId="6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4</xdr:row>
          <xdr:rowOff>161925</xdr:rowOff>
        </xdr:from>
        <xdr:to>
          <xdr:col>15</xdr:col>
          <xdr:colOff>85725</xdr:colOff>
          <xdr:row>14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ntranet.nexad.nexweb.us/M/MS/ORUP%20Training%20Materials/ECOMM%20UDA%20with%20Descriptions%20and%20Value.xlsx" TargetMode="External"/><Relationship Id="rId13" Type="http://schemas.openxmlformats.org/officeDocument/2006/relationships/hyperlink" Target="https://intranet.nexad.nexweb.us/M/MS/ORUP%20Training%20Materials/Consignment%20Depts.xlsx" TargetMode="External"/><Relationship Id="rId3" Type="http://schemas.openxmlformats.org/officeDocument/2006/relationships/hyperlink" Target="https://intranet.nexad.nexweb.us/M/MS/ORUP%20Training%20Materials/SIZE.xlsx" TargetMode="External"/><Relationship Id="rId7" Type="http://schemas.openxmlformats.org/officeDocument/2006/relationships/hyperlink" Target="https://intranet.nexad.nexweb.us/M/MS/ORUP%20Training%20Materials/Expiry%20Depts.xlsx" TargetMode="External"/><Relationship Id="rId12" Type="http://schemas.openxmlformats.org/officeDocument/2006/relationships/hyperlink" Target="https://intranet.nexad.nexweb.us/M/MS/ORUP%20Training%20Materials/Warranty%20Eligible%20Depts.xlsx" TargetMode="External"/><Relationship Id="rId2" Type="http://schemas.openxmlformats.org/officeDocument/2006/relationships/hyperlink" Target="https://intranet.nexad.nexweb.us/M/MS/ORUP%20Training%20Materials/Item%20Description%20Standardization.xlsx" TargetMode="External"/><Relationship Id="rId1" Type="http://schemas.openxmlformats.org/officeDocument/2006/relationships/hyperlink" Target="https://intranet.nexad.nexweb.us/M/MS/ORUP%20Training%20Materials/Web%20Naming%20Convention.xlsx" TargetMode="External"/><Relationship Id="rId6" Type="http://schemas.openxmlformats.org/officeDocument/2006/relationships/hyperlink" Target="https://intranet.nexad.nexweb.us/M/MS/ORUP%20Training%20Materials/Brand%20Names.xlsx" TargetMode="External"/><Relationship Id="rId11" Type="http://schemas.openxmlformats.org/officeDocument/2006/relationships/hyperlink" Target="https://intranet.nexad.nexweb.us/M/MS/ORUP%20Training%20Materials/Dimension%20Required%20Depts.xlsx" TargetMode="External"/><Relationship Id="rId5" Type="http://schemas.openxmlformats.org/officeDocument/2006/relationships/hyperlink" Target="https://intranet.nexad.nexweb.us/M/MS/ORUP%20Training%20Materials/NRF%20Color%20Codes.xlsx" TargetMode="External"/><Relationship Id="rId10" Type="http://schemas.openxmlformats.org/officeDocument/2006/relationships/hyperlink" Target="https://intranet.nexad.nexweb.us/M/MS/ORUP%20Training%20Materials/Buyer%20Numbers.xlsx" TargetMode="External"/><Relationship Id="rId4" Type="http://schemas.openxmlformats.org/officeDocument/2006/relationships/hyperlink" Target="https://intranet.nexad.nexweb.us/M/MS/Code%20MR%20Reports/RETEK%20Department%20Hierarchies.xlsx" TargetMode="External"/><Relationship Id="rId9" Type="http://schemas.openxmlformats.org/officeDocument/2006/relationships/hyperlink" Target="https://intranet.nexad.nexweb.us/M/MS/ORUP%20Training%20Materials/UDA%20with%20Description%20and%20Value.xlsx" TargetMode="External"/><Relationship Id="rId14" Type="http://schemas.openxmlformats.org/officeDocument/2006/relationships/hyperlink" Target="https://intranet.nexad.nexweb.us/M/MS/ORUP%20Training%20Materials/Manufacturer%20Country%20Codes.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B46F8-C5D0-4F65-9DCA-93E4930D14A3}">
  <sheetPr codeName="Sheet1"/>
  <dimension ref="A6:EM12"/>
  <sheetViews>
    <sheetView topLeftCell="F1" workbookViewId="0">
      <selection activeCell="V23" sqref="V23"/>
    </sheetView>
  </sheetViews>
  <sheetFormatPr defaultRowHeight="15" x14ac:dyDescent="0.25"/>
  <sheetData>
    <row r="6" spans="1:143" ht="15.75" thickBot="1" x14ac:dyDescent="0.3"/>
    <row r="7" spans="1:143" s="21" customFormat="1" ht="105" x14ac:dyDescent="0.25">
      <c r="A7" s="1" t="s">
        <v>0</v>
      </c>
      <c r="B7" s="2" t="s">
        <v>1</v>
      </c>
      <c r="C7" s="2" t="s">
        <v>2</v>
      </c>
      <c r="D7" s="3" t="s">
        <v>3</v>
      </c>
      <c r="E7" s="3" t="s">
        <v>4</v>
      </c>
      <c r="F7" s="4" t="s">
        <v>5</v>
      </c>
      <c r="G7" s="3" t="s">
        <v>6</v>
      </c>
      <c r="H7" s="5" t="s">
        <v>7</v>
      </c>
      <c r="I7" s="5" t="s">
        <v>8</v>
      </c>
      <c r="J7" s="6" t="s">
        <v>9</v>
      </c>
      <c r="K7" s="6" t="s">
        <v>10</v>
      </c>
      <c r="L7" s="7" t="s">
        <v>11</v>
      </c>
      <c r="M7" s="6" t="s">
        <v>12</v>
      </c>
      <c r="N7" s="6" t="s">
        <v>13</v>
      </c>
      <c r="O7" s="7" t="s">
        <v>14</v>
      </c>
      <c r="P7" s="6" t="s">
        <v>15</v>
      </c>
      <c r="Q7" s="7" t="s">
        <v>16</v>
      </c>
      <c r="R7" s="8" t="s">
        <v>17</v>
      </c>
      <c r="S7" s="6" t="s">
        <v>18</v>
      </c>
      <c r="T7" s="6" t="s">
        <v>19</v>
      </c>
      <c r="U7" s="6" t="s">
        <v>20</v>
      </c>
      <c r="V7" s="9" t="s">
        <v>21</v>
      </c>
      <c r="W7" s="10" t="s">
        <v>22</v>
      </c>
      <c r="X7" s="10" t="s">
        <v>23</v>
      </c>
      <c r="Y7" s="10" t="s">
        <v>24</v>
      </c>
      <c r="Z7" s="7" t="s">
        <v>25</v>
      </c>
      <c r="AA7" s="9" t="s">
        <v>26</v>
      </c>
      <c r="AB7" s="9" t="s">
        <v>27</v>
      </c>
      <c r="AC7" s="9" t="s">
        <v>28</v>
      </c>
      <c r="AD7" s="7" t="s">
        <v>29</v>
      </c>
      <c r="AE7" s="8" t="s">
        <v>30</v>
      </c>
      <c r="AF7" s="9" t="s">
        <v>31</v>
      </c>
      <c r="AG7" s="8" t="s">
        <v>32</v>
      </c>
      <c r="AH7" s="8" t="s">
        <v>33</v>
      </c>
      <c r="AI7" s="9" t="s">
        <v>34</v>
      </c>
      <c r="AJ7" s="9" t="s">
        <v>35</v>
      </c>
      <c r="AK7" s="9" t="s">
        <v>36</v>
      </c>
      <c r="AL7" s="9" t="s">
        <v>37</v>
      </c>
      <c r="AM7" s="9" t="s">
        <v>38</v>
      </c>
      <c r="AN7" s="7" t="s">
        <v>39</v>
      </c>
      <c r="AO7" s="9" t="s">
        <v>40</v>
      </c>
      <c r="AP7" s="9" t="s">
        <v>41</v>
      </c>
      <c r="AQ7" s="9" t="s">
        <v>42</v>
      </c>
      <c r="AR7" s="9" t="s">
        <v>43</v>
      </c>
      <c r="AS7" s="6" t="s">
        <v>44</v>
      </c>
      <c r="AT7" s="6" t="s">
        <v>45</v>
      </c>
      <c r="AU7" s="9" t="s">
        <v>46</v>
      </c>
      <c r="AV7" s="9" t="s">
        <v>47</v>
      </c>
      <c r="AW7" s="9" t="s">
        <v>48</v>
      </c>
      <c r="AX7" s="9" t="s">
        <v>49</v>
      </c>
      <c r="AY7" s="9" t="s">
        <v>50</v>
      </c>
      <c r="AZ7" s="9" t="s">
        <v>51</v>
      </c>
      <c r="BA7" s="9" t="s">
        <v>52</v>
      </c>
      <c r="BB7" s="9" t="s">
        <v>53</v>
      </c>
      <c r="BC7" s="9" t="s">
        <v>54</v>
      </c>
      <c r="BD7" s="11" t="s">
        <v>55</v>
      </c>
      <c r="BE7" s="12" t="s">
        <v>56</v>
      </c>
      <c r="BF7" s="13" t="s">
        <v>57</v>
      </c>
      <c r="BG7" s="12" t="s">
        <v>58</v>
      </c>
      <c r="BH7" s="12" t="s">
        <v>59</v>
      </c>
      <c r="BI7" s="14" t="s">
        <v>60</v>
      </c>
      <c r="BJ7" s="12" t="s">
        <v>61</v>
      </c>
      <c r="BK7" s="12" t="s">
        <v>62</v>
      </c>
      <c r="BL7" s="7" t="s">
        <v>63</v>
      </c>
      <c r="BM7" s="12" t="s">
        <v>64</v>
      </c>
      <c r="BN7" s="12" t="s">
        <v>65</v>
      </c>
      <c r="BO7" s="15" t="s">
        <v>66</v>
      </c>
      <c r="BP7" s="15" t="s">
        <v>67</v>
      </c>
      <c r="BQ7" s="12" t="s">
        <v>68</v>
      </c>
      <c r="BR7" s="16" t="s">
        <v>69</v>
      </c>
      <c r="BS7" s="16" t="s">
        <v>70</v>
      </c>
      <c r="BT7" s="16" t="s">
        <v>71</v>
      </c>
      <c r="BU7" s="16" t="s">
        <v>72</v>
      </c>
      <c r="BV7" s="16" t="s">
        <v>73</v>
      </c>
      <c r="BW7" s="7" t="s">
        <v>74</v>
      </c>
      <c r="BX7" s="16" t="s">
        <v>75</v>
      </c>
      <c r="BY7" s="16" t="s">
        <v>76</v>
      </c>
      <c r="BZ7" s="16" t="s">
        <v>77</v>
      </c>
      <c r="CA7" s="16" t="s">
        <v>78</v>
      </c>
      <c r="CB7" s="16" t="s">
        <v>79</v>
      </c>
      <c r="CC7" s="16" t="s">
        <v>80</v>
      </c>
      <c r="CD7" s="14" t="s">
        <v>81</v>
      </c>
      <c r="CE7" s="14" t="s">
        <v>82</v>
      </c>
      <c r="CF7" s="13" t="s">
        <v>83</v>
      </c>
      <c r="CG7" s="13" t="s">
        <v>84</v>
      </c>
      <c r="CH7" s="13" t="s">
        <v>85</v>
      </c>
      <c r="CI7" s="14" t="s">
        <v>86</v>
      </c>
      <c r="CJ7" s="13" t="s">
        <v>87</v>
      </c>
      <c r="CK7" s="13" t="s">
        <v>88</v>
      </c>
      <c r="CL7" s="13" t="s">
        <v>89</v>
      </c>
      <c r="CM7" s="13" t="s">
        <v>90</v>
      </c>
      <c r="CN7" s="13" t="s">
        <v>91</v>
      </c>
      <c r="CO7" s="13" t="s">
        <v>92</v>
      </c>
      <c r="CP7" s="13" t="s">
        <v>93</v>
      </c>
      <c r="CQ7" s="13" t="s">
        <v>94</v>
      </c>
      <c r="CR7" s="13" t="s">
        <v>95</v>
      </c>
      <c r="CS7" s="13" t="s">
        <v>96</v>
      </c>
      <c r="CT7" s="13" t="s">
        <v>97</v>
      </c>
      <c r="CU7" s="13" t="s">
        <v>98</v>
      </c>
      <c r="CV7" s="13" t="s">
        <v>99</v>
      </c>
      <c r="CW7" s="13" t="s">
        <v>100</v>
      </c>
      <c r="CX7" s="13" t="s">
        <v>101</v>
      </c>
      <c r="CY7" s="13" t="s">
        <v>102</v>
      </c>
      <c r="CZ7" s="13" t="s">
        <v>103</v>
      </c>
      <c r="DA7" s="13" t="s">
        <v>104</v>
      </c>
      <c r="DB7" s="13" t="s">
        <v>105</v>
      </c>
      <c r="DC7" s="13" t="s">
        <v>106</v>
      </c>
      <c r="DD7" s="13" t="s">
        <v>107</v>
      </c>
      <c r="DE7" s="13" t="s">
        <v>108</v>
      </c>
      <c r="DF7" s="13" t="s">
        <v>109</v>
      </c>
      <c r="DG7" s="13" t="s">
        <v>110</v>
      </c>
      <c r="DH7" s="17" t="s">
        <v>111</v>
      </c>
      <c r="DI7" s="18" t="s">
        <v>112</v>
      </c>
      <c r="DJ7" s="18" t="s">
        <v>113</v>
      </c>
      <c r="DK7" s="19" t="s">
        <v>114</v>
      </c>
      <c r="DL7" s="20" t="s">
        <v>115</v>
      </c>
      <c r="DM7" s="20" t="s">
        <v>116</v>
      </c>
      <c r="DN7" s="20" t="s">
        <v>117</v>
      </c>
      <c r="DO7" s="20" t="s">
        <v>118</v>
      </c>
    </row>
    <row r="8" spans="1:143" s="31" customFormat="1" x14ac:dyDescent="0.25">
      <c r="A8" s="22" t="s">
        <v>119</v>
      </c>
      <c r="B8" s="23" t="s">
        <v>120</v>
      </c>
      <c r="C8" s="23" t="s">
        <v>121</v>
      </c>
      <c r="D8" s="24" t="str">
        <f t="shared" ref="D8:D12" si="0">IF(C8="Regular Item", "Yes", "Yes")</f>
        <v>Yes</v>
      </c>
      <c r="E8" s="24" t="str">
        <f t="shared" ref="E8:E12" si="1">IF(C8="Regular Item", "Yes", "No")</f>
        <v>No</v>
      </c>
      <c r="F8" s="24" t="str">
        <f t="shared" ref="F8:F12" si="2">IF(C8="Regular Item", "Yes", "No")</f>
        <v>No</v>
      </c>
      <c r="G8" t="s">
        <v>122</v>
      </c>
      <c r="H8"/>
      <c r="I8"/>
      <c r="J8" t="s">
        <v>123</v>
      </c>
      <c r="K8">
        <f t="shared" ref="K8:K12" si="3">IF(J8&lt;&gt;"EA", 1, 0)</f>
        <v>0</v>
      </c>
      <c r="L8">
        <v>587</v>
      </c>
      <c r="M8">
        <v>3004</v>
      </c>
      <c r="N8">
        <v>1</v>
      </c>
      <c r="O8" t="s">
        <v>124</v>
      </c>
      <c r="P8" t="str">
        <f t="shared" ref="P8:P12" si="4">IF(AE8="0000", CONCATENATE(O8, " ", AA8), CONCATENATE(O8, " ", AA8, " ", AE8))</f>
        <v>D7UD 1/4 Cttw Lab Grown Diamond Engagement Ring 14k White Gold 7</v>
      </c>
      <c r="Q8" t="str">
        <f t="shared" ref="Q8:Q12" si="5">IF(O8="", "", O8)</f>
        <v>D7UD 1/4 Cttw Lab Grown Diamond Engagement Ring</v>
      </c>
      <c r="R8" t="str">
        <f t="shared" ref="R8:R12" si="6">IF(AA8="", "", AA8)</f>
        <v>14k White Gold</v>
      </c>
      <c r="S8" t="s">
        <v>125</v>
      </c>
      <c r="T8" t="s">
        <v>126</v>
      </c>
      <c r="U8">
        <v>197825950136</v>
      </c>
      <c r="V8" t="s">
        <v>127</v>
      </c>
      <c r="W8"/>
      <c r="X8"/>
      <c r="Y8"/>
      <c r="Z8" t="s">
        <v>128</v>
      </c>
      <c r="AA8" t="s">
        <v>129</v>
      </c>
      <c r="AB8"/>
      <c r="AC8"/>
      <c r="AD8" t="s">
        <v>130</v>
      </c>
      <c r="AE8">
        <v>7</v>
      </c>
      <c r="AF8" s="22" t="s">
        <v>131</v>
      </c>
      <c r="AG8" s="22">
        <v>489.29999999999995</v>
      </c>
      <c r="AH8" s="23" t="s">
        <v>123</v>
      </c>
      <c r="AI8" s="22"/>
      <c r="AJ8" s="22"/>
      <c r="AK8" s="23" t="s">
        <v>123</v>
      </c>
      <c r="AL8" s="22">
        <v>699</v>
      </c>
      <c r="AM8" s="26">
        <f t="shared" ref="AM8:AM12" si="7">IF(ISERROR((AG8-BN8)*100/AG8),0,(AG8-BN8)*100/AG8)</f>
        <v>35.999999999999993</v>
      </c>
      <c r="AN8" s="27"/>
      <c r="AO8" s="22"/>
      <c r="AP8" s="22"/>
      <c r="AQ8" s="23"/>
      <c r="AR8" s="22"/>
      <c r="AS8" s="22" t="s">
        <v>125</v>
      </c>
      <c r="AT8" s="22" t="s">
        <v>125</v>
      </c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>
        <v>502257</v>
      </c>
      <c r="BF8" s="22"/>
      <c r="BG8" s="22" t="s">
        <v>125</v>
      </c>
      <c r="BH8" s="22" t="s">
        <v>131</v>
      </c>
      <c r="BI8" s="22">
        <v>64</v>
      </c>
      <c r="BJ8" s="22" t="s">
        <v>132</v>
      </c>
      <c r="BK8" s="22" t="s">
        <v>125</v>
      </c>
      <c r="BL8" s="22" t="s">
        <v>132</v>
      </c>
      <c r="BM8" s="22" t="s">
        <v>125</v>
      </c>
      <c r="BN8" s="22">
        <v>313.15199999999999</v>
      </c>
      <c r="BO8" s="22"/>
      <c r="BP8" s="22"/>
      <c r="BQ8" s="22" t="str">
        <f t="shared" ref="BQ8:BQ12" si="8">J8</f>
        <v>EA</v>
      </c>
      <c r="BR8" s="22">
        <v>1</v>
      </c>
      <c r="BS8" s="22">
        <v>1</v>
      </c>
      <c r="BT8" s="22">
        <v>1</v>
      </c>
      <c r="BU8" s="22">
        <v>1</v>
      </c>
      <c r="BV8" s="22" t="s">
        <v>133</v>
      </c>
      <c r="BW8" s="22"/>
      <c r="BX8" s="27"/>
      <c r="BY8" s="27"/>
      <c r="BZ8" s="27"/>
      <c r="CA8" s="27"/>
      <c r="CB8" s="22" t="s">
        <v>134</v>
      </c>
      <c r="CC8" s="22"/>
      <c r="CD8" s="22"/>
      <c r="CE8" s="22" t="s">
        <v>135</v>
      </c>
      <c r="CF8" s="22"/>
      <c r="CG8" s="22"/>
      <c r="CH8" s="22"/>
      <c r="CI8" s="22">
        <v>25001</v>
      </c>
      <c r="CJ8" s="22">
        <v>1</v>
      </c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8"/>
      <c r="DJ8" s="22"/>
      <c r="DK8" s="22">
        <v>70</v>
      </c>
      <c r="DL8" s="29"/>
      <c r="DM8" s="29"/>
      <c r="DN8" s="30"/>
      <c r="DO8" s="30"/>
      <c r="DR8" s="32"/>
      <c r="ED8" s="31" t="s">
        <v>136</v>
      </c>
      <c r="EH8" s="31" t="s">
        <v>137</v>
      </c>
      <c r="EM8" s="31" t="s">
        <v>138</v>
      </c>
    </row>
    <row r="9" spans="1:143" s="31" customFormat="1" x14ac:dyDescent="0.25">
      <c r="A9" s="25" t="s">
        <v>119</v>
      </c>
      <c r="B9" s="33" t="s">
        <v>120</v>
      </c>
      <c r="C9" s="33" t="s">
        <v>121</v>
      </c>
      <c r="D9" s="25" t="str">
        <f t="shared" si="0"/>
        <v>Yes</v>
      </c>
      <c r="E9" s="25" t="str">
        <f t="shared" si="1"/>
        <v>No</v>
      </c>
      <c r="F9" s="25" t="str">
        <f t="shared" si="2"/>
        <v>No</v>
      </c>
      <c r="G9" t="s">
        <v>122</v>
      </c>
      <c r="H9"/>
      <c r="I9"/>
      <c r="J9" t="s">
        <v>123</v>
      </c>
      <c r="K9">
        <f t="shared" si="3"/>
        <v>0</v>
      </c>
      <c r="L9">
        <v>587</v>
      </c>
      <c r="M9">
        <v>3004</v>
      </c>
      <c r="N9">
        <v>1</v>
      </c>
      <c r="O9" t="s">
        <v>124</v>
      </c>
      <c r="P9" t="str">
        <f t="shared" si="4"/>
        <v>D7UD 1/4 Cttw Lab Grown Diamond Engagement Ring 14k White Gold 7</v>
      </c>
      <c r="Q9" t="str">
        <f t="shared" si="5"/>
        <v>D7UD 1/4 Cttw Lab Grown Diamond Engagement Ring</v>
      </c>
      <c r="R9" t="str">
        <f t="shared" si="6"/>
        <v>14k White Gold</v>
      </c>
      <c r="S9" t="s">
        <v>125</v>
      </c>
      <c r="T9" t="s">
        <v>126</v>
      </c>
      <c r="U9">
        <v>197825950143</v>
      </c>
      <c r="V9" t="s">
        <v>139</v>
      </c>
      <c r="W9"/>
      <c r="X9"/>
      <c r="Y9"/>
      <c r="Z9" t="s">
        <v>140</v>
      </c>
      <c r="AA9" t="s">
        <v>129</v>
      </c>
      <c r="AB9"/>
      <c r="AC9"/>
      <c r="AD9" t="s">
        <v>130</v>
      </c>
      <c r="AE9">
        <v>7</v>
      </c>
      <c r="AF9" s="25" t="s">
        <v>131</v>
      </c>
      <c r="AG9" s="25">
        <v>489.29999999999995</v>
      </c>
      <c r="AH9" s="33" t="s">
        <v>123</v>
      </c>
      <c r="AI9" s="25"/>
      <c r="AJ9" s="25"/>
      <c r="AK9" s="33" t="s">
        <v>123</v>
      </c>
      <c r="AL9" s="25">
        <v>699</v>
      </c>
      <c r="AM9" s="34">
        <f t="shared" si="7"/>
        <v>35.999999999999993</v>
      </c>
      <c r="AN9" s="27"/>
      <c r="AO9" s="25"/>
      <c r="AP9" s="25"/>
      <c r="AQ9" s="33"/>
      <c r="AR9" s="25"/>
      <c r="AS9" s="25" t="s">
        <v>125</v>
      </c>
      <c r="AT9" s="25" t="s">
        <v>125</v>
      </c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>
        <v>502257</v>
      </c>
      <c r="BF9" s="25"/>
      <c r="BG9" s="25" t="s">
        <v>125</v>
      </c>
      <c r="BH9" s="25" t="s">
        <v>131</v>
      </c>
      <c r="BI9" s="25">
        <v>64</v>
      </c>
      <c r="BJ9" s="25" t="s">
        <v>132</v>
      </c>
      <c r="BK9" s="25" t="s">
        <v>125</v>
      </c>
      <c r="BL9" s="25" t="s">
        <v>132</v>
      </c>
      <c r="BM9" s="25" t="s">
        <v>125</v>
      </c>
      <c r="BN9" s="25">
        <v>313.15199999999999</v>
      </c>
      <c r="BO9" s="25"/>
      <c r="BP9" s="25"/>
      <c r="BQ9" s="33" t="str">
        <f t="shared" si="8"/>
        <v>EA</v>
      </c>
      <c r="BR9" s="25">
        <v>1</v>
      </c>
      <c r="BS9" s="25">
        <v>1</v>
      </c>
      <c r="BT9" s="25">
        <v>1</v>
      </c>
      <c r="BU9" s="25">
        <v>1</v>
      </c>
      <c r="BV9" s="25" t="s">
        <v>133</v>
      </c>
      <c r="BW9" s="25"/>
      <c r="BX9" s="27"/>
      <c r="BY9" s="27"/>
      <c r="BZ9" s="27"/>
      <c r="CA9" s="27"/>
      <c r="CB9" s="25" t="s">
        <v>134</v>
      </c>
      <c r="CC9" s="25"/>
      <c r="CD9" s="25"/>
      <c r="CE9" s="25" t="s">
        <v>135</v>
      </c>
      <c r="CF9" s="25"/>
      <c r="CG9" s="25"/>
      <c r="CH9" s="25"/>
      <c r="CI9" s="25">
        <v>25001</v>
      </c>
      <c r="CJ9" s="25">
        <v>1</v>
      </c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35"/>
      <c r="DJ9" s="25"/>
      <c r="DK9" s="25">
        <v>70</v>
      </c>
      <c r="DL9" s="36"/>
      <c r="DM9" s="36"/>
      <c r="DN9" s="30"/>
      <c r="DO9" s="30"/>
      <c r="DR9" s="32"/>
      <c r="ED9" s="37" t="s">
        <v>142</v>
      </c>
      <c r="EH9" s="31" t="s">
        <v>143</v>
      </c>
      <c r="EM9" s="31" t="s">
        <v>144</v>
      </c>
    </row>
    <row r="10" spans="1:143" s="31" customFormat="1" x14ac:dyDescent="0.25">
      <c r="A10" s="22" t="s">
        <v>119</v>
      </c>
      <c r="B10" s="23" t="s">
        <v>120</v>
      </c>
      <c r="C10" s="23" t="s">
        <v>121</v>
      </c>
      <c r="D10" s="22" t="str">
        <f t="shared" si="0"/>
        <v>Yes</v>
      </c>
      <c r="E10" s="22" t="str">
        <f t="shared" si="1"/>
        <v>No</v>
      </c>
      <c r="F10" s="22" t="str">
        <f t="shared" si="2"/>
        <v>No</v>
      </c>
      <c r="G10" t="s">
        <v>145</v>
      </c>
      <c r="H10"/>
      <c r="I10"/>
      <c r="J10" t="s">
        <v>123</v>
      </c>
      <c r="K10">
        <f t="shared" si="3"/>
        <v>0</v>
      </c>
      <c r="L10">
        <v>587</v>
      </c>
      <c r="M10">
        <v>3004</v>
      </c>
      <c r="N10">
        <v>1</v>
      </c>
      <c r="O10" t="s">
        <v>146</v>
      </c>
      <c r="P10" t="str">
        <f t="shared" si="4"/>
        <v>D7UD 2 1/2 Cttw Lab Grown Diamond Round Engagement Ring 14k Yellow Gold 8</v>
      </c>
      <c r="Q10" t="str">
        <f t="shared" si="5"/>
        <v>D7UD 2 1/2 Cttw Lab Grown Diamond Round Engagement Ring</v>
      </c>
      <c r="R10" t="str">
        <f t="shared" si="6"/>
        <v>14k Yellow Gold</v>
      </c>
      <c r="S10" t="s">
        <v>125</v>
      </c>
      <c r="T10" t="s">
        <v>126</v>
      </c>
      <c r="U10">
        <v>197825949970</v>
      </c>
      <c r="V10" t="s">
        <v>147</v>
      </c>
      <c r="W10"/>
      <c r="X10"/>
      <c r="Y10"/>
      <c r="Z10" t="s">
        <v>140</v>
      </c>
      <c r="AA10" t="s">
        <v>141</v>
      </c>
      <c r="AB10"/>
      <c r="AC10"/>
      <c r="AD10" t="s">
        <v>130</v>
      </c>
      <c r="AE10">
        <v>8</v>
      </c>
      <c r="AF10" s="22" t="s">
        <v>131</v>
      </c>
      <c r="AG10" s="22">
        <v>1679.3</v>
      </c>
      <c r="AH10" s="23" t="s">
        <v>123</v>
      </c>
      <c r="AI10" s="22"/>
      <c r="AJ10" s="22"/>
      <c r="AK10" s="23" t="s">
        <v>123</v>
      </c>
      <c r="AL10" s="22">
        <v>2399</v>
      </c>
      <c r="AM10" s="26">
        <f t="shared" si="7"/>
        <v>36</v>
      </c>
      <c r="AN10" s="27"/>
      <c r="AO10" s="22"/>
      <c r="AP10" s="22"/>
      <c r="AQ10" s="23"/>
      <c r="AR10" s="22"/>
      <c r="AS10" s="22" t="s">
        <v>125</v>
      </c>
      <c r="AT10" s="22" t="s">
        <v>125</v>
      </c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>
        <v>502257</v>
      </c>
      <c r="BF10" s="22"/>
      <c r="BG10" s="22" t="s">
        <v>125</v>
      </c>
      <c r="BH10" s="22" t="s">
        <v>131</v>
      </c>
      <c r="BI10" s="22">
        <v>64</v>
      </c>
      <c r="BJ10" s="22" t="s">
        <v>132</v>
      </c>
      <c r="BK10" s="22" t="s">
        <v>125</v>
      </c>
      <c r="BL10" s="22" t="s">
        <v>132</v>
      </c>
      <c r="BM10" s="22" t="s">
        <v>125</v>
      </c>
      <c r="BN10" s="22">
        <v>1074.752</v>
      </c>
      <c r="BO10" s="22"/>
      <c r="BP10" s="22"/>
      <c r="BQ10" s="23" t="str">
        <f t="shared" si="8"/>
        <v>EA</v>
      </c>
      <c r="BR10" s="22">
        <v>1</v>
      </c>
      <c r="BS10" s="22">
        <v>1</v>
      </c>
      <c r="BT10" s="22">
        <v>1</v>
      </c>
      <c r="BU10" s="22">
        <v>1</v>
      </c>
      <c r="BV10" s="22" t="s">
        <v>133</v>
      </c>
      <c r="BW10" s="22"/>
      <c r="BX10" s="27"/>
      <c r="BY10" s="27"/>
      <c r="BZ10" s="27"/>
      <c r="CA10" s="27"/>
      <c r="CB10" s="22" t="s">
        <v>134</v>
      </c>
      <c r="CC10" s="22"/>
      <c r="CD10" s="22"/>
      <c r="CE10" s="22" t="s">
        <v>135</v>
      </c>
      <c r="CF10" s="22"/>
      <c r="CG10" s="22"/>
      <c r="CH10" s="22"/>
      <c r="CI10" s="22">
        <v>25001</v>
      </c>
      <c r="CJ10" s="22">
        <v>1</v>
      </c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8"/>
      <c r="DJ10" s="22"/>
      <c r="DK10" s="22">
        <v>70</v>
      </c>
      <c r="DL10" s="38"/>
      <c r="DM10" s="38"/>
      <c r="DN10" s="39"/>
      <c r="DO10" s="39"/>
      <c r="DR10" s="32"/>
      <c r="ED10" s="37" t="s">
        <v>148</v>
      </c>
      <c r="EH10" s="31" t="s">
        <v>149</v>
      </c>
      <c r="EM10" s="31" t="s">
        <v>150</v>
      </c>
    </row>
    <row r="11" spans="1:143" s="31" customFormat="1" x14ac:dyDescent="0.25">
      <c r="A11" s="25" t="s">
        <v>119</v>
      </c>
      <c r="B11" s="33" t="s">
        <v>120</v>
      </c>
      <c r="C11" s="33" t="s">
        <v>121</v>
      </c>
      <c r="D11" s="25" t="str">
        <f t="shared" si="0"/>
        <v>Yes</v>
      </c>
      <c r="E11" s="25" t="str">
        <f t="shared" si="1"/>
        <v>No</v>
      </c>
      <c r="F11" s="25" t="str">
        <f t="shared" si="2"/>
        <v>No</v>
      </c>
      <c r="G11" t="s">
        <v>145</v>
      </c>
      <c r="H11"/>
      <c r="I11"/>
      <c r="J11" t="s">
        <v>123</v>
      </c>
      <c r="K11">
        <f t="shared" si="3"/>
        <v>0</v>
      </c>
      <c r="L11">
        <v>587</v>
      </c>
      <c r="M11">
        <v>3004</v>
      </c>
      <c r="N11">
        <v>1</v>
      </c>
      <c r="O11" t="s">
        <v>146</v>
      </c>
      <c r="P11" t="str">
        <f t="shared" si="4"/>
        <v>D7UD 2 1/2 Cttw Lab Grown Diamond Round Engagement Ring 14k White Gold 5.5</v>
      </c>
      <c r="Q11" t="str">
        <f t="shared" si="5"/>
        <v>D7UD 2 1/2 Cttw Lab Grown Diamond Round Engagement Ring</v>
      </c>
      <c r="R11" t="str">
        <f t="shared" si="6"/>
        <v>14k White Gold</v>
      </c>
      <c r="S11" t="s">
        <v>125</v>
      </c>
      <c r="T11" t="s">
        <v>126</v>
      </c>
      <c r="U11">
        <v>197825950099</v>
      </c>
      <c r="V11" t="s">
        <v>151</v>
      </c>
      <c r="W11"/>
      <c r="X11"/>
      <c r="Y11"/>
      <c r="Z11" t="s">
        <v>128</v>
      </c>
      <c r="AA11" t="s">
        <v>129</v>
      </c>
      <c r="AB11"/>
      <c r="AC11"/>
      <c r="AD11" t="s">
        <v>130</v>
      </c>
      <c r="AE11">
        <v>5.5</v>
      </c>
      <c r="AF11" s="25" t="s">
        <v>131</v>
      </c>
      <c r="AG11" s="25">
        <v>1679.3</v>
      </c>
      <c r="AH11" s="33" t="s">
        <v>123</v>
      </c>
      <c r="AI11" s="25"/>
      <c r="AJ11" s="25"/>
      <c r="AK11" s="33" t="s">
        <v>123</v>
      </c>
      <c r="AL11" s="25">
        <v>2399</v>
      </c>
      <c r="AM11" s="34">
        <f t="shared" si="7"/>
        <v>36</v>
      </c>
      <c r="AN11" s="27"/>
      <c r="AO11" s="25"/>
      <c r="AP11" s="25"/>
      <c r="AQ11" s="33"/>
      <c r="AR11" s="25"/>
      <c r="AS11" s="25" t="s">
        <v>125</v>
      </c>
      <c r="AT11" s="25" t="s">
        <v>125</v>
      </c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>
        <v>502257</v>
      </c>
      <c r="BF11" s="25"/>
      <c r="BG11" s="25" t="s">
        <v>125</v>
      </c>
      <c r="BH11" s="25" t="s">
        <v>131</v>
      </c>
      <c r="BI11" s="25">
        <v>64</v>
      </c>
      <c r="BJ11" s="25" t="s">
        <v>132</v>
      </c>
      <c r="BK11" s="25" t="s">
        <v>125</v>
      </c>
      <c r="BL11" s="25" t="s">
        <v>132</v>
      </c>
      <c r="BM11" s="25" t="s">
        <v>125</v>
      </c>
      <c r="BN11" s="25">
        <v>1074.752</v>
      </c>
      <c r="BO11" s="25"/>
      <c r="BP11" s="25"/>
      <c r="BQ11" s="33" t="str">
        <f t="shared" si="8"/>
        <v>EA</v>
      </c>
      <c r="BR11" s="25">
        <v>1</v>
      </c>
      <c r="BS11" s="25">
        <v>1</v>
      </c>
      <c r="BT11" s="25">
        <v>1</v>
      </c>
      <c r="BU11" s="25">
        <v>1</v>
      </c>
      <c r="BV11" s="25" t="s">
        <v>133</v>
      </c>
      <c r="BW11" s="25"/>
      <c r="BX11" s="27"/>
      <c r="BY11" s="27"/>
      <c r="BZ11" s="27"/>
      <c r="CA11" s="27"/>
      <c r="CB11" s="25" t="s">
        <v>134</v>
      </c>
      <c r="CC11" s="25"/>
      <c r="CD11" s="25"/>
      <c r="CE11" s="25" t="s">
        <v>135</v>
      </c>
      <c r="CF11" s="25"/>
      <c r="CG11" s="25"/>
      <c r="CH11" s="25"/>
      <c r="CI11" s="25">
        <v>25001</v>
      </c>
      <c r="CJ11" s="25">
        <v>1</v>
      </c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35"/>
      <c r="DJ11" s="25"/>
      <c r="DK11" s="25">
        <v>70</v>
      </c>
      <c r="DL11" s="38"/>
      <c r="DM11" s="38"/>
      <c r="DN11" s="39"/>
      <c r="DO11" s="39"/>
      <c r="DR11" s="32"/>
      <c r="ED11" s="37" t="s">
        <v>152</v>
      </c>
      <c r="EH11" s="31" t="s">
        <v>153</v>
      </c>
      <c r="EM11" s="31" t="s">
        <v>154</v>
      </c>
    </row>
    <row r="12" spans="1:143" s="31" customFormat="1" x14ac:dyDescent="0.25">
      <c r="A12" s="22" t="s">
        <v>119</v>
      </c>
      <c r="B12" s="23" t="s">
        <v>120</v>
      </c>
      <c r="C12" s="23" t="s">
        <v>121</v>
      </c>
      <c r="D12" s="22" t="str">
        <f t="shared" si="0"/>
        <v>Yes</v>
      </c>
      <c r="E12" s="22" t="str">
        <f t="shared" si="1"/>
        <v>No</v>
      </c>
      <c r="F12" s="22" t="str">
        <f t="shared" si="2"/>
        <v>No</v>
      </c>
      <c r="G12" t="s">
        <v>155</v>
      </c>
      <c r="H12"/>
      <c r="I12"/>
      <c r="J12" t="s">
        <v>123</v>
      </c>
      <c r="K12">
        <f t="shared" si="3"/>
        <v>0</v>
      </c>
      <c r="L12">
        <v>587</v>
      </c>
      <c r="M12">
        <v>3004</v>
      </c>
      <c r="N12">
        <v>1</v>
      </c>
      <c r="O12" t="s">
        <v>156</v>
      </c>
      <c r="P12" t="str">
        <f t="shared" si="4"/>
        <v>D7UD 2 1/2 Cttw Lab Grown Diamond Engagement Ring 14k Yellow Gold 5.5</v>
      </c>
      <c r="Q12" t="str">
        <f t="shared" si="5"/>
        <v>D7UD 2 1/2 Cttw Lab Grown Diamond Engagement Ring</v>
      </c>
      <c r="R12" t="str">
        <f t="shared" si="6"/>
        <v>14k Yellow Gold</v>
      </c>
      <c r="S12" t="s">
        <v>125</v>
      </c>
      <c r="T12" t="s">
        <v>126</v>
      </c>
      <c r="U12">
        <v>197825949949</v>
      </c>
      <c r="V12" t="s">
        <v>157</v>
      </c>
      <c r="W12"/>
      <c r="X12"/>
      <c r="Y12"/>
      <c r="Z12" t="s">
        <v>140</v>
      </c>
      <c r="AA12" t="s">
        <v>141</v>
      </c>
      <c r="AB12"/>
      <c r="AC12"/>
      <c r="AD12" t="s">
        <v>130</v>
      </c>
      <c r="AE12">
        <v>5.5</v>
      </c>
      <c r="AF12" s="22" t="s">
        <v>131</v>
      </c>
      <c r="AG12" s="22">
        <v>2099.2999999999997</v>
      </c>
      <c r="AH12" s="23" t="s">
        <v>123</v>
      </c>
      <c r="AI12" s="22"/>
      <c r="AJ12" s="22"/>
      <c r="AK12" s="23" t="s">
        <v>123</v>
      </c>
      <c r="AL12" s="22">
        <v>2999</v>
      </c>
      <c r="AM12" s="26">
        <f t="shared" si="7"/>
        <v>36</v>
      </c>
      <c r="AN12" s="27"/>
      <c r="AO12" s="22"/>
      <c r="AP12" s="22"/>
      <c r="AQ12" s="23"/>
      <c r="AR12" s="22"/>
      <c r="AS12" s="22" t="s">
        <v>125</v>
      </c>
      <c r="AT12" s="22" t="s">
        <v>125</v>
      </c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>
        <v>502257</v>
      </c>
      <c r="BF12" s="22"/>
      <c r="BG12" s="22" t="s">
        <v>125</v>
      </c>
      <c r="BH12" s="22" t="s">
        <v>131</v>
      </c>
      <c r="BI12" s="22">
        <v>64</v>
      </c>
      <c r="BJ12" s="22" t="s">
        <v>132</v>
      </c>
      <c r="BK12" s="22" t="s">
        <v>125</v>
      </c>
      <c r="BL12" s="22" t="s">
        <v>132</v>
      </c>
      <c r="BM12" s="22" t="s">
        <v>125</v>
      </c>
      <c r="BN12" s="22">
        <v>1343.5519999999999</v>
      </c>
      <c r="BO12" s="22"/>
      <c r="BP12" s="22"/>
      <c r="BQ12" s="23" t="str">
        <f t="shared" si="8"/>
        <v>EA</v>
      </c>
      <c r="BR12" s="22">
        <v>1</v>
      </c>
      <c r="BS12" s="22">
        <v>1</v>
      </c>
      <c r="BT12" s="22">
        <v>1</v>
      </c>
      <c r="BU12" s="22">
        <v>1</v>
      </c>
      <c r="BV12" s="22" t="s">
        <v>133</v>
      </c>
      <c r="BW12" s="22"/>
      <c r="BX12" s="27"/>
      <c r="BY12" s="27"/>
      <c r="BZ12" s="27"/>
      <c r="CA12" s="27"/>
      <c r="CB12" s="22" t="s">
        <v>134</v>
      </c>
      <c r="CC12" s="22"/>
      <c r="CD12" s="22"/>
      <c r="CE12" s="22" t="s">
        <v>135</v>
      </c>
      <c r="CF12" s="22"/>
      <c r="CG12" s="22"/>
      <c r="CH12" s="22"/>
      <c r="CI12" s="22">
        <v>25001</v>
      </c>
      <c r="CJ12" s="22">
        <v>1</v>
      </c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8"/>
      <c r="DJ12" s="22"/>
      <c r="DK12" s="22">
        <v>70</v>
      </c>
      <c r="DL12" s="40"/>
      <c r="DM12" s="40"/>
      <c r="DN12" s="41"/>
      <c r="DO12" s="41"/>
      <c r="DR12" s="32"/>
      <c r="ED12" s="37" t="s">
        <v>158</v>
      </c>
      <c r="EH12" s="31" t="s">
        <v>159</v>
      </c>
      <c r="EM12" s="31" t="s">
        <v>160</v>
      </c>
    </row>
  </sheetData>
  <phoneticPr fontId="5" type="noConversion"/>
  <conditionalFormatting sqref="BE8:BV12">
    <cfRule type="expression" dxfId="2" priority="4">
      <formula>AND($E8="No",$C8="Regular Item")</formula>
    </cfRule>
  </conditionalFormatting>
  <conditionalFormatting sqref="BJ8:CC12">
    <cfRule type="expression" dxfId="1" priority="3">
      <formula>AND($A8="Add Tran Item or GTIN", NOT(ISBLANK($H8)), NOT(ISBLANK($I8)))</formula>
    </cfRule>
  </conditionalFormatting>
  <conditionalFormatting sqref="AG8:AL12">
    <cfRule type="expression" dxfId="0" priority="2">
      <formula>IF($D8="No",TRUE,FALSE)</formula>
    </cfRule>
  </conditionalFormatting>
  <dataValidations count="28">
    <dataValidation type="list" allowBlank="1" showInputMessage="1" sqref="BL8:BL12" xr:uid="{D02EF33D-EA2C-4B1D-A56D-73B663F76D7D}">
      <formula1>$EM$8:$EM$255</formula1>
    </dataValidation>
    <dataValidation type="list" allowBlank="1" showInputMessage="1" showErrorMessage="1" sqref="AP8:AP12" xr:uid="{513EE135-5F54-4F5C-96E8-3137A5EF2F65}">
      <formula1>$ED$8:$ED$130</formula1>
    </dataValidation>
    <dataValidation type="list" allowBlank="1" showInputMessage="1" showErrorMessage="1" sqref="AO8:AO12" xr:uid="{43DA8E12-304C-4B27-9DF2-2CBBFEBD0740}">
      <formula1>"23 - BASIC, 915 - S24, 916 - F24, 917 - S25, 918 - F25, 919 - SPR26, 920 - SUM26, 921 - FAL26, 922 - WNT26, 923 - SPR27, 924 - SUM27, 925 - FAL27, 926 - WNT27"</formula1>
    </dataValidation>
    <dataValidation type="list" allowBlank="1" showInputMessage="1" showErrorMessage="1" sqref="AY8:AY12" xr:uid="{8D022ACE-BA83-49C1-854C-CB614FBD6B14}">
      <formula1>$EH$8:$EH$15</formula1>
    </dataValidation>
    <dataValidation type="list" allowBlank="1" showInputMessage="1" showErrorMessage="1" sqref="AV8:AV12" xr:uid="{EAD8A6FB-2C0C-45CE-B8AB-2C5FC139137B}">
      <formula1>"EA, OZ, FZ, PG, PCS, L, PZ"</formula1>
    </dataValidation>
    <dataValidation type="list" allowBlank="1" showInputMessage="1" showErrorMessage="1" sqref="BQ8:BQ12" xr:uid="{E980B314-C841-4DC5-8CC8-ADA358345984}">
      <formula1>"CS, EA, IN, PAL, GL, LB, LBS, PG, PR"</formula1>
    </dataValidation>
    <dataValidation type="list" allowBlank="1" showInputMessage="1" showErrorMessage="1" sqref="CC8:CC12" xr:uid="{A975FDD1-99AA-421A-9CDE-5E5EAE2AA5F2}">
      <formula1>"Peggable Packaging, Stackable Packaging, Plan-o-gram Peggable, Plan-o-gram Stackable"</formula1>
    </dataValidation>
    <dataValidation type="list" allowBlank="1" showInputMessage="1" showErrorMessage="1" sqref="CB8:CB12" xr:uid="{7094E3E8-4A1E-485C-9D4A-7D7AC61395AF}">
      <formula1>"LB, LBS, OZ, G"</formula1>
    </dataValidation>
    <dataValidation type="list" allowBlank="1" showInputMessage="1" showErrorMessage="1" sqref="AQ8:AQ12" xr:uid="{99D818F5-C67D-4A15-B396-F0195F0AC13F}">
      <formula1>"01 - Vendor Preticket, 04 - Garment Tag, 05 - Gum Ticket, 07 - Jewelry Rattail"</formula1>
    </dataValidation>
    <dataValidation type="list" allowBlank="1" showInputMessage="1" showErrorMessage="1" sqref="J8:J12" xr:uid="{94E88987-2946-43ED-BBAE-ABA92CDC55A6}">
      <formula1>"EA, GL, LB, LBS, PG, PR"</formula1>
    </dataValidation>
    <dataValidation type="list" operator="greaterThan" allowBlank="1" showInputMessage="1" showErrorMessage="1" sqref="AH8:AH12 AK8:AK12" xr:uid="{A64C24C2-0A31-4DC2-A44F-E7DE84368F08}">
      <formula1>"EA, GL, LB, LBS, PG, PR"</formula1>
    </dataValidation>
    <dataValidation type="decimal" operator="greaterThanOrEqual" allowBlank="1" showInputMessage="1" showErrorMessage="1" sqref="AJ8:AJ12 AG8:AG12 AL8:AM12 BN8:BN12 K8:K12" xr:uid="{0AC96710-320E-4463-B94C-A070120F22ED}">
      <formula1>0</formula1>
    </dataValidation>
    <dataValidation type="list" allowBlank="1" showInputMessage="1" showErrorMessage="1" sqref="A8:A12" xr:uid="{5CAA9EAC-82B9-4936-A3C9-E4AB6D34D070}">
      <formula1>"Create Item Family, Add Tran Item or GTIN, Add Item Supplier, Add Item Supp Country Dimension, Add Item CFAs, Add UDAs"</formula1>
    </dataValidation>
    <dataValidation type="textLength" operator="lessThanOrEqual" allowBlank="1" showInputMessage="1" showErrorMessage="1" sqref="G8:G12" xr:uid="{CF6D10C8-17AC-4EC0-A14D-D932496C5E75}">
      <formula1>25</formula1>
    </dataValidation>
    <dataValidation type="list" allowBlank="1" showInputMessage="1" showErrorMessage="1" sqref="CF8:CF12" xr:uid="{D67C280B-1E0F-426B-9A5C-FF59B70C15AA}">
      <formula1>"1 - Men's, 2 - Women's, 3 - Boys, 4 - Girls, 5 - Baby, 6 - Gender Neutral"</formula1>
    </dataValidation>
    <dataValidation type="list" allowBlank="1" showInputMessage="1" showErrorMessage="1" sqref="CE8:CE12" xr:uid="{F88EA534-A550-490E-8FD3-805A9241F646}">
      <formula1>"1 - Yes, 2 - No"</formula1>
    </dataValidation>
    <dataValidation type="list" allowBlank="1" showInputMessage="1" showErrorMessage="1" sqref="CD8:CD12" xr:uid="{17587158-8CB7-4A2B-A53F-274EB2D90EB9}">
      <formula1>"1 - BLACK, 2 - GREY, 3 - SILVER, 4 - WHITE, 5 - IVORY, 6 - BROWN, 7 - TAN, 8 - GREEN, 9 - BLUE, 10 - PURPLE, 11 - RED, 12 - PINK, 13 - YELLOW, 14 - GOLD, 15 - ORANGE, 16 - METALLIC, 17 - MULTI, 18 - NO COLOR"</formula1>
    </dataValidation>
    <dataValidation type="list" allowBlank="1" showInputMessage="1" showErrorMessage="1" sqref="T8:T12" xr:uid="{57E92765-42BD-4B47-97B4-6628154CFF7A}">
      <formula1>"UCC12, EAN/UCC-13, MANL, EAN/UCC-14"</formula1>
    </dataValidation>
    <dataValidation type="list" allowBlank="1" showInputMessage="1" showErrorMessage="1" sqref="BA8:BA12" xr:uid="{5FFC20B0-BE0E-4E62-A8AC-DBCBC3FC172A}">
      <formula1>"Sales Wastage,Spoilage Wastage"</formula1>
    </dataValidation>
    <dataValidation type="list" allowBlank="1" showInputMessage="1" showErrorMessage="1" sqref="AZ8:AZ12" xr:uid="{22968203-6341-42A5-BC19-39391F698D59}">
      <formula1>"Keep Frozen,Keep Hot,Keep Refrigerated,Keep at Room Temperature"</formula1>
    </dataValidation>
    <dataValidation type="list" allowBlank="1" showInputMessage="1" showErrorMessage="1" sqref="AW8:AW12" xr:uid="{BC82C679-1B4C-48B9-B050-0360B25A8A1E}">
      <formula1>"Cents Off,Extra Product,Pre-Priced"</formula1>
    </dataValidation>
    <dataValidation type="list" allowBlank="1" showInputMessage="1" showErrorMessage="1" sqref="BW8:BW12" xr:uid="{AB44A3A9-4C5A-4289-A895-BC4297DC01EE}">
      <formula1>"Each, Inner, Case, Pallet "</formula1>
    </dataValidation>
    <dataValidation type="list" allowBlank="1" showInputMessage="1" showErrorMessage="1" sqref="BV8:BV12" xr:uid="{BE856B34-83D5-4E91-AD8B-F1CAFFC6D774}">
      <formula1>"Case,Case/Layer,Case/Layer/Pallet,Layer,Layer/Pallet,Pallet"</formula1>
    </dataValidation>
    <dataValidation type="list" allowBlank="1" showInputMessage="1" showErrorMessage="1" sqref="C8:C12" xr:uid="{FE807DF2-E098-4C7C-836D-60555AB8FA1A}">
      <formula1>"Regular Item,Consignment/Concession"</formula1>
    </dataValidation>
    <dataValidation type="list" allowBlank="1" showInputMessage="1" showErrorMessage="1" sqref="B8:B12" xr:uid="{8DF19FEA-98FE-44CF-B284-32A32B9EBEEF}">
      <formula1>"Approved, Submitted, Worksheet"</formula1>
    </dataValidation>
    <dataValidation type="list" allowBlank="1" showInputMessage="1" showErrorMessage="1" sqref="BG8:BH12 AS8:AT12 AF8:AF12 BK8:BK12 S8:S12 BM8:BM12 BD8:BD12 D8:F12" xr:uid="{B488D9B2-AE11-4D72-A886-B4005F86964D}">
      <formula1>"Yes, No"</formula1>
    </dataValidation>
    <dataValidation type="decimal" operator="greaterThan" allowBlank="1" showInputMessage="1" showErrorMessage="1" sqref="AI8 AI10 AI12 AX8:AX12 AU8:AU12 BX8:CA12 BI8:BI12 BB8:BC12" xr:uid="{1D7638AD-AFD6-461F-B546-BA5D49C44684}">
      <formula1>0</formula1>
    </dataValidation>
    <dataValidation type="whole" operator="greaterThan" allowBlank="1" showInputMessage="1" showErrorMessage="1" sqref="AI9 AI11 BE8:BE12 L8:N12 DJ8:DK12 CG8:DD12 DH8:DH12 DF8:DF12 BP8:BP12 BR8:BU12" xr:uid="{67E9229D-52EC-400A-AE03-A1B72ED13399}">
      <formula1>0</formula1>
    </dataValidation>
  </dataValidations>
  <hyperlinks>
    <hyperlink ref="Q7" r:id="rId1" xr:uid="{08757CA5-B4F9-469E-8B3E-932310C98C8C}"/>
    <hyperlink ref="O7" r:id="rId2" display="https://intranet.nexad.nexweb.us/M/MS/ORUP Training Materials/Item Description Standardization.xlsx" xr:uid="{3E0E6DB7-E019-4E17-B41C-8B2AEC0AA76E}"/>
    <hyperlink ref="AD7" r:id="rId3" xr:uid="{ADDB00C7-FA66-4D9D-B939-42B612A1F1E0}"/>
    <hyperlink ref="L7" r:id="rId4" xr:uid="{881118F5-1133-4A83-BE05-E9B4AF345C4E}"/>
    <hyperlink ref="Z7" r:id="rId5" xr:uid="{833D2FDE-8BFB-43E7-BF25-B1B8923F40F1}"/>
    <hyperlink ref="AN7" r:id="rId6" xr:uid="{386882B8-33A5-4FCC-B5F9-D6C7863EAC6B}"/>
    <hyperlink ref="BD7" r:id="rId7" xr:uid="{C4D076E8-9422-409E-A7B9-E7749DAC4A92}"/>
    <hyperlink ref="CD7" r:id="rId8" display="https://intranet.nexad.nexweb.us/M/MS/ORUP Training Materials/ECOMM UDA with Descriptions and Value.xlsx" xr:uid="{7E58CC1A-448F-484F-BE7C-118FA8866887}"/>
    <hyperlink ref="CI7" r:id="rId9" xr:uid="{44EC67DA-C16B-4D39-9204-5A4AFB9E423B}"/>
    <hyperlink ref="DK7" r:id="rId10" xr:uid="{F457CC55-BB69-4CA4-8993-56BD7B289CFC}"/>
    <hyperlink ref="BW7" r:id="rId11" xr:uid="{E65D71C8-67FB-4CD3-B1AE-C90055A60F2C}"/>
    <hyperlink ref="CE7" r:id="rId12" display="https://intranet.nexad.nexweb.us/M/MS/ORUP Training Materials/Warranty Eligible Depts.xlsx" xr:uid="{40E8A6C0-25DA-4CD0-A04F-6A37F99E9F12}"/>
    <hyperlink ref="BI7" r:id="rId13" xr:uid="{9F269557-3F3D-4F8F-93DB-309E2204E26F}"/>
    <hyperlink ref="BL7" r:id="rId14" xr:uid="{1BFA2145-1E3D-472A-9431-7B53B1AA2CF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6CEC0-5B3F-4CB2-B31B-7DED04F7A936}">
  <sheetPr codeName="Sheet2"/>
  <dimension ref="A1"/>
  <sheetViews>
    <sheetView tabSelected="1" workbookViewId="0">
      <selection activeCell="T11" sqref="T1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ghlightSizeColorDuplicates">
                <anchor moveWithCells="1" sizeWithCells="1">
                  <from>
                    <xdr:col>6</xdr:col>
                    <xdr:colOff>95250</xdr:colOff>
                    <xdr:row>4</xdr:row>
                    <xdr:rowOff>161925</xdr:rowOff>
                  </from>
                  <to>
                    <xdr:col>15</xdr:col>
                    <xdr:colOff>85725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Rose, Yuqian FN</dc:creator>
  <cp:lastModifiedBy>Gray, Ryan</cp:lastModifiedBy>
  <dcterms:created xsi:type="dcterms:W3CDTF">2026-07-30T13:49:38Z</dcterms:created>
  <dcterms:modified xsi:type="dcterms:W3CDTF">2026-10-02T19:59:34Z</dcterms:modified>
</cp:coreProperties>
</file>